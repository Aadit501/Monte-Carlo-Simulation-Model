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Honours\Pred_Anal\"/>
    </mc:Choice>
  </mc:AlternateContent>
  <xr:revisionPtr revIDLastSave="0" documentId="13_ncr:1_{F4E7F2EA-0AD7-4C70-B9C6-8693914BFF18}" xr6:coauthVersionLast="47" xr6:coauthVersionMax="47" xr10:uidLastSave="{00000000-0000-0000-0000-000000000000}"/>
  <bookViews>
    <workbookView xWindow="-120" yWindow="-120" windowWidth="29040" windowHeight="15720" activeTab="1" xr2:uid="{C2B0F790-D08D-40FA-B5AF-3694F07B52D3}"/>
  </bookViews>
  <sheets>
    <sheet name="Welcome" sheetId="5" r:id="rId1"/>
    <sheet name="Assumptions" sheetId="1" r:id="rId2"/>
    <sheet name="Monte Carlo Simulation" sheetId="2" r:id="rId3"/>
    <sheet name="Histogram" sheetId="3" r:id="rId4"/>
    <sheet name="Reflection" sheetId="4" r:id="rId5"/>
  </sheets>
  <definedNames>
    <definedName name="_xlchart.v1.0" hidden="1">'Monte Carlo Simulation'!$F$1</definedName>
    <definedName name="_xlchart.v1.1" hidden="1">'Monte Carlo Simulation'!$F$2:$F$1002</definedName>
    <definedName name="_xlchart.v1.2" hidden="1">'Monte Carlo Simulation'!$R$1</definedName>
    <definedName name="_xlchart.v1.3" hidden="1">'Monte Carlo Simulation'!$R$2:$R$1002</definedName>
    <definedName name="_xlchart.v1.4" hidden="1">'Monte Carlo Simulation'!$D$1</definedName>
    <definedName name="_xlchart.v1.5" hidden="1">'Monte Carlo Simulation'!$D$2:$D$1002</definedName>
    <definedName name="_xlchart.v1.6" hidden="1">'Monte Carlo Simulation'!$O$1</definedName>
    <definedName name="_xlchart.v1.7" hidden="1">'Monte Carlo Simulation'!$O$2:$O$1002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F17" i="1" l="1"/>
  <c r="D17" i="1"/>
  <c r="D18" i="1"/>
  <c r="P16" i="2" s="1"/>
  <c r="P959" i="2" l="1"/>
  <c r="P863" i="2"/>
  <c r="P767" i="2"/>
  <c r="P639" i="2"/>
  <c r="P527" i="2"/>
  <c r="P399" i="2"/>
  <c r="P287" i="2"/>
  <c r="P15" i="2"/>
  <c r="P990" i="2"/>
  <c r="P974" i="2"/>
  <c r="P958" i="2"/>
  <c r="P942" i="2"/>
  <c r="P926" i="2"/>
  <c r="P910" i="2"/>
  <c r="P894" i="2"/>
  <c r="P878" i="2"/>
  <c r="P862" i="2"/>
  <c r="P846" i="2"/>
  <c r="P830" i="2"/>
  <c r="P814" i="2"/>
  <c r="P798" i="2"/>
  <c r="P782" i="2"/>
  <c r="P766" i="2"/>
  <c r="P750" i="2"/>
  <c r="P734" i="2"/>
  <c r="P718" i="2"/>
  <c r="P702" i="2"/>
  <c r="P686" i="2"/>
  <c r="P670" i="2"/>
  <c r="P654" i="2"/>
  <c r="P638" i="2"/>
  <c r="P622" i="2"/>
  <c r="P606" i="2"/>
  <c r="P590" i="2"/>
  <c r="P574" i="2"/>
  <c r="P558" i="2"/>
  <c r="P542" i="2"/>
  <c r="P526" i="2"/>
  <c r="P510" i="2"/>
  <c r="P494" i="2"/>
  <c r="P478" i="2"/>
  <c r="P462" i="2"/>
  <c r="P446" i="2"/>
  <c r="P430" i="2"/>
  <c r="P414" i="2"/>
  <c r="P398" i="2"/>
  <c r="P382" i="2"/>
  <c r="P366" i="2"/>
  <c r="P350" i="2"/>
  <c r="P334" i="2"/>
  <c r="P318" i="2"/>
  <c r="P302" i="2"/>
  <c r="P286" i="2"/>
  <c r="P270" i="2"/>
  <c r="P254" i="2"/>
  <c r="P238" i="2"/>
  <c r="P222" i="2"/>
  <c r="P206" i="2"/>
  <c r="P190" i="2"/>
  <c r="P174" i="2"/>
  <c r="P158" i="2"/>
  <c r="P142" i="2"/>
  <c r="P126" i="2"/>
  <c r="P110" i="2"/>
  <c r="P94" i="2"/>
  <c r="P78" i="2"/>
  <c r="P62" i="2"/>
  <c r="P46" i="2"/>
  <c r="P30" i="2"/>
  <c r="P14" i="2"/>
  <c r="P719" i="2"/>
  <c r="P127" i="2"/>
  <c r="P957" i="2"/>
  <c r="P941" i="2"/>
  <c r="P925" i="2"/>
  <c r="P909" i="2"/>
  <c r="P893" i="2"/>
  <c r="P877" i="2"/>
  <c r="P861" i="2"/>
  <c r="P845" i="2"/>
  <c r="P829" i="2"/>
  <c r="P813" i="2"/>
  <c r="P797" i="2"/>
  <c r="P781" i="2"/>
  <c r="P765" i="2"/>
  <c r="P749" i="2"/>
  <c r="P733" i="2"/>
  <c r="P717" i="2"/>
  <c r="P701" i="2"/>
  <c r="P685" i="2"/>
  <c r="P669" i="2"/>
  <c r="P653" i="2"/>
  <c r="P637" i="2"/>
  <c r="P621" i="2"/>
  <c r="P605" i="2"/>
  <c r="P589" i="2"/>
  <c r="P573" i="2"/>
  <c r="P557" i="2"/>
  <c r="P541" i="2"/>
  <c r="P525" i="2"/>
  <c r="P509" i="2"/>
  <c r="P493" i="2"/>
  <c r="P477" i="2"/>
  <c r="P461" i="2"/>
  <c r="P445" i="2"/>
  <c r="P429" i="2"/>
  <c r="P413" i="2"/>
  <c r="P397" i="2"/>
  <c r="P381" i="2"/>
  <c r="P365" i="2"/>
  <c r="P349" i="2"/>
  <c r="P333" i="2"/>
  <c r="P317" i="2"/>
  <c r="P301" i="2"/>
  <c r="P285" i="2"/>
  <c r="P269" i="2"/>
  <c r="P253" i="2"/>
  <c r="P237" i="2"/>
  <c r="P221" i="2"/>
  <c r="P205" i="2"/>
  <c r="P189" i="2"/>
  <c r="P173" i="2"/>
  <c r="P157" i="2"/>
  <c r="P141" i="2"/>
  <c r="P125" i="2"/>
  <c r="P109" i="2"/>
  <c r="P93" i="2"/>
  <c r="P77" i="2"/>
  <c r="P61" i="2"/>
  <c r="P45" i="2"/>
  <c r="P29" i="2"/>
  <c r="P13" i="2"/>
  <c r="P988" i="2"/>
  <c r="P972" i="2"/>
  <c r="P956" i="2"/>
  <c r="P940" i="2"/>
  <c r="P924" i="2"/>
  <c r="P908" i="2"/>
  <c r="P892" i="2"/>
  <c r="P876" i="2"/>
  <c r="P860" i="2"/>
  <c r="P844" i="2"/>
  <c r="P828" i="2"/>
  <c r="P812" i="2"/>
  <c r="P796" i="2"/>
  <c r="P780" i="2"/>
  <c r="P764" i="2"/>
  <c r="P748" i="2"/>
  <c r="P732" i="2"/>
  <c r="P716" i="2"/>
  <c r="P700" i="2"/>
  <c r="P684" i="2"/>
  <c r="P668" i="2"/>
  <c r="P652" i="2"/>
  <c r="P636" i="2"/>
  <c r="P620" i="2"/>
  <c r="P604" i="2"/>
  <c r="P588" i="2"/>
  <c r="P572" i="2"/>
  <c r="P556" i="2"/>
  <c r="P540" i="2"/>
  <c r="P524" i="2"/>
  <c r="P508" i="2"/>
  <c r="P492" i="2"/>
  <c r="P476" i="2"/>
  <c r="P460" i="2"/>
  <c r="P444" i="2"/>
  <c r="P428" i="2"/>
  <c r="P412" i="2"/>
  <c r="P396" i="2"/>
  <c r="P380" i="2"/>
  <c r="P364" i="2"/>
  <c r="P348" i="2"/>
  <c r="P332" i="2"/>
  <c r="P316" i="2"/>
  <c r="P300" i="2"/>
  <c r="P284" i="2"/>
  <c r="P268" i="2"/>
  <c r="P252" i="2"/>
  <c r="P236" i="2"/>
  <c r="P220" i="2"/>
  <c r="P204" i="2"/>
  <c r="P188" i="2"/>
  <c r="P172" i="2"/>
  <c r="P156" i="2"/>
  <c r="P140" i="2"/>
  <c r="P124" i="2"/>
  <c r="P108" i="2"/>
  <c r="P92" i="2"/>
  <c r="P76" i="2"/>
  <c r="P60" i="2"/>
  <c r="P44" i="2"/>
  <c r="P28" i="2"/>
  <c r="P12" i="2"/>
  <c r="P895" i="2"/>
  <c r="P63" i="2"/>
  <c r="P987" i="2"/>
  <c r="P971" i="2"/>
  <c r="P955" i="2"/>
  <c r="P939" i="2"/>
  <c r="P923" i="2"/>
  <c r="P907" i="2"/>
  <c r="P891" i="2"/>
  <c r="P875" i="2"/>
  <c r="P859" i="2"/>
  <c r="P843" i="2"/>
  <c r="P827" i="2"/>
  <c r="P811" i="2"/>
  <c r="P795" i="2"/>
  <c r="P779" i="2"/>
  <c r="P763" i="2"/>
  <c r="P747" i="2"/>
  <c r="P731" i="2"/>
  <c r="P715" i="2"/>
  <c r="P699" i="2"/>
  <c r="P683" i="2"/>
  <c r="P667" i="2"/>
  <c r="P651" i="2"/>
  <c r="P635" i="2"/>
  <c r="P619" i="2"/>
  <c r="P603" i="2"/>
  <c r="P587" i="2"/>
  <c r="P571" i="2"/>
  <c r="P555" i="2"/>
  <c r="P539" i="2"/>
  <c r="P523" i="2"/>
  <c r="P507" i="2"/>
  <c r="P491" i="2"/>
  <c r="P475" i="2"/>
  <c r="P459" i="2"/>
  <c r="P443" i="2"/>
  <c r="P427" i="2"/>
  <c r="P411" i="2"/>
  <c r="P395" i="2"/>
  <c r="P379" i="2"/>
  <c r="P363" i="2"/>
  <c r="P347" i="2"/>
  <c r="P331" i="2"/>
  <c r="P315" i="2"/>
  <c r="P299" i="2"/>
  <c r="P283" i="2"/>
  <c r="P267" i="2"/>
  <c r="P251" i="2"/>
  <c r="P235" i="2"/>
  <c r="P219" i="2"/>
  <c r="P203" i="2"/>
  <c r="P187" i="2"/>
  <c r="P171" i="2"/>
  <c r="P155" i="2"/>
  <c r="P139" i="2"/>
  <c r="P123" i="2"/>
  <c r="P107" i="2"/>
  <c r="P91" i="2"/>
  <c r="P75" i="2"/>
  <c r="P59" i="2"/>
  <c r="P43" i="2"/>
  <c r="P27" i="2"/>
  <c r="P11" i="2"/>
  <c r="P703" i="2"/>
  <c r="P143" i="2"/>
  <c r="P989" i="2"/>
  <c r="P1002" i="2"/>
  <c r="P986" i="2"/>
  <c r="P970" i="2"/>
  <c r="P954" i="2"/>
  <c r="P938" i="2"/>
  <c r="P922" i="2"/>
  <c r="P906" i="2"/>
  <c r="P890" i="2"/>
  <c r="P874" i="2"/>
  <c r="P858" i="2"/>
  <c r="P842" i="2"/>
  <c r="P826" i="2"/>
  <c r="P810" i="2"/>
  <c r="P794" i="2"/>
  <c r="P778" i="2"/>
  <c r="P762" i="2"/>
  <c r="P746" i="2"/>
  <c r="P730" i="2"/>
  <c r="P714" i="2"/>
  <c r="P698" i="2"/>
  <c r="P682" i="2"/>
  <c r="P666" i="2"/>
  <c r="P650" i="2"/>
  <c r="P634" i="2"/>
  <c r="P618" i="2"/>
  <c r="P602" i="2"/>
  <c r="P586" i="2"/>
  <c r="P570" i="2"/>
  <c r="P554" i="2"/>
  <c r="P538" i="2"/>
  <c r="P522" i="2"/>
  <c r="P506" i="2"/>
  <c r="P490" i="2"/>
  <c r="P474" i="2"/>
  <c r="P458" i="2"/>
  <c r="P442" i="2"/>
  <c r="P426" i="2"/>
  <c r="P410" i="2"/>
  <c r="P394" i="2"/>
  <c r="P378" i="2"/>
  <c r="P362" i="2"/>
  <c r="P346" i="2"/>
  <c r="P330" i="2"/>
  <c r="P314" i="2"/>
  <c r="P298" i="2"/>
  <c r="P282" i="2"/>
  <c r="P266" i="2"/>
  <c r="P250" i="2"/>
  <c r="P234" i="2"/>
  <c r="P218" i="2"/>
  <c r="P202" i="2"/>
  <c r="P186" i="2"/>
  <c r="P170" i="2"/>
  <c r="P154" i="2"/>
  <c r="P138" i="2"/>
  <c r="P122" i="2"/>
  <c r="P106" i="2"/>
  <c r="P90" i="2"/>
  <c r="P74" i="2"/>
  <c r="P58" i="2"/>
  <c r="P42" i="2"/>
  <c r="P26" i="2"/>
  <c r="P10" i="2"/>
  <c r="P831" i="2"/>
  <c r="P495" i="2"/>
  <c r="P79" i="2"/>
  <c r="P985" i="2"/>
  <c r="P953" i="2"/>
  <c r="P937" i="2"/>
  <c r="P921" i="2"/>
  <c r="P905" i="2"/>
  <c r="P889" i="2"/>
  <c r="P873" i="2"/>
  <c r="P857" i="2"/>
  <c r="P841" i="2"/>
  <c r="P825" i="2"/>
  <c r="P809" i="2"/>
  <c r="P793" i="2"/>
  <c r="P777" i="2"/>
  <c r="P761" i="2"/>
  <c r="P745" i="2"/>
  <c r="P729" i="2"/>
  <c r="P713" i="2"/>
  <c r="P697" i="2"/>
  <c r="P681" i="2"/>
  <c r="P665" i="2"/>
  <c r="P649" i="2"/>
  <c r="P633" i="2"/>
  <c r="P617" i="2"/>
  <c r="P601" i="2"/>
  <c r="P585" i="2"/>
  <c r="P569" i="2"/>
  <c r="P553" i="2"/>
  <c r="P537" i="2"/>
  <c r="P521" i="2"/>
  <c r="P505" i="2"/>
  <c r="P489" i="2"/>
  <c r="P473" i="2"/>
  <c r="P457" i="2"/>
  <c r="P441" i="2"/>
  <c r="P425" i="2"/>
  <c r="P409" i="2"/>
  <c r="P393" i="2"/>
  <c r="P377" i="2"/>
  <c r="P361" i="2"/>
  <c r="P345" i="2"/>
  <c r="P329" i="2"/>
  <c r="P313" i="2"/>
  <c r="P297" i="2"/>
  <c r="P281" i="2"/>
  <c r="P265" i="2"/>
  <c r="P249" i="2"/>
  <c r="P233" i="2"/>
  <c r="P217" i="2"/>
  <c r="P201" i="2"/>
  <c r="P185" i="2"/>
  <c r="P169" i="2"/>
  <c r="P153" i="2"/>
  <c r="P137" i="2"/>
  <c r="P121" i="2"/>
  <c r="P105" i="2"/>
  <c r="P89" i="2"/>
  <c r="P73" i="2"/>
  <c r="P57" i="2"/>
  <c r="P41" i="2"/>
  <c r="P25" i="2"/>
  <c r="P9" i="2"/>
  <c r="P943" i="2"/>
  <c r="P751" i="2"/>
  <c r="P511" i="2"/>
  <c r="P111" i="2"/>
  <c r="P973" i="2"/>
  <c r="P969" i="2"/>
  <c r="P1000" i="2"/>
  <c r="P984" i="2"/>
  <c r="P968" i="2"/>
  <c r="P952" i="2"/>
  <c r="P936" i="2"/>
  <c r="P920" i="2"/>
  <c r="P904" i="2"/>
  <c r="P888" i="2"/>
  <c r="P872" i="2"/>
  <c r="P856" i="2"/>
  <c r="P840" i="2"/>
  <c r="P824" i="2"/>
  <c r="P808" i="2"/>
  <c r="P792" i="2"/>
  <c r="P776" i="2"/>
  <c r="P760" i="2"/>
  <c r="P744" i="2"/>
  <c r="P728" i="2"/>
  <c r="P712" i="2"/>
  <c r="P696" i="2"/>
  <c r="P680" i="2"/>
  <c r="P664" i="2"/>
  <c r="P648" i="2"/>
  <c r="P632" i="2"/>
  <c r="P616" i="2"/>
  <c r="P600" i="2"/>
  <c r="P584" i="2"/>
  <c r="P568" i="2"/>
  <c r="P552" i="2"/>
  <c r="P536" i="2"/>
  <c r="P520" i="2"/>
  <c r="P504" i="2"/>
  <c r="P488" i="2"/>
  <c r="P472" i="2"/>
  <c r="P456" i="2"/>
  <c r="P440" i="2"/>
  <c r="P424" i="2"/>
  <c r="P408" i="2"/>
  <c r="P392" i="2"/>
  <c r="P376" i="2"/>
  <c r="P360" i="2"/>
  <c r="P344" i="2"/>
  <c r="P328" i="2"/>
  <c r="P312" i="2"/>
  <c r="P296" i="2"/>
  <c r="P280" i="2"/>
  <c r="P264" i="2"/>
  <c r="P248" i="2"/>
  <c r="P232" i="2"/>
  <c r="P216" i="2"/>
  <c r="P200" i="2"/>
  <c r="P184" i="2"/>
  <c r="P168" i="2"/>
  <c r="P152" i="2"/>
  <c r="P136" i="2"/>
  <c r="P120" i="2"/>
  <c r="P104" i="2"/>
  <c r="P88" i="2"/>
  <c r="P72" i="2"/>
  <c r="P56" i="2"/>
  <c r="P40" i="2"/>
  <c r="P24" i="2"/>
  <c r="P8" i="2"/>
  <c r="P847" i="2"/>
  <c r="P687" i="2"/>
  <c r="P559" i="2"/>
  <c r="P447" i="2"/>
  <c r="P367" i="2"/>
  <c r="P319" i="2"/>
  <c r="P271" i="2"/>
  <c r="P239" i="2"/>
  <c r="P95" i="2"/>
  <c r="P2" i="2"/>
  <c r="P999" i="2"/>
  <c r="P983" i="2"/>
  <c r="P967" i="2"/>
  <c r="P951" i="2"/>
  <c r="P935" i="2"/>
  <c r="P919" i="2"/>
  <c r="P903" i="2"/>
  <c r="P887" i="2"/>
  <c r="P871" i="2"/>
  <c r="P855" i="2"/>
  <c r="P839" i="2"/>
  <c r="P823" i="2"/>
  <c r="P807" i="2"/>
  <c r="P791" i="2"/>
  <c r="P775" i="2"/>
  <c r="P759" i="2"/>
  <c r="P743" i="2"/>
  <c r="P727" i="2"/>
  <c r="P711" i="2"/>
  <c r="P695" i="2"/>
  <c r="P679" i="2"/>
  <c r="P663" i="2"/>
  <c r="P647" i="2"/>
  <c r="P631" i="2"/>
  <c r="P615" i="2"/>
  <c r="P599" i="2"/>
  <c r="P583" i="2"/>
  <c r="P567" i="2"/>
  <c r="P551" i="2"/>
  <c r="P535" i="2"/>
  <c r="P519" i="2"/>
  <c r="P503" i="2"/>
  <c r="P487" i="2"/>
  <c r="P471" i="2"/>
  <c r="P455" i="2"/>
  <c r="P439" i="2"/>
  <c r="P423" i="2"/>
  <c r="P407" i="2"/>
  <c r="P391" i="2"/>
  <c r="P375" i="2"/>
  <c r="P359" i="2"/>
  <c r="P343" i="2"/>
  <c r="P327" i="2"/>
  <c r="P311" i="2"/>
  <c r="P295" i="2"/>
  <c r="P279" i="2"/>
  <c r="P263" i="2"/>
  <c r="P247" i="2"/>
  <c r="P231" i="2"/>
  <c r="P215" i="2"/>
  <c r="P199" i="2"/>
  <c r="P183" i="2"/>
  <c r="P167" i="2"/>
  <c r="P151" i="2"/>
  <c r="P135" i="2"/>
  <c r="P119" i="2"/>
  <c r="P103" i="2"/>
  <c r="P87" i="2"/>
  <c r="P71" i="2"/>
  <c r="P55" i="2"/>
  <c r="P39" i="2"/>
  <c r="P23" i="2"/>
  <c r="P7" i="2"/>
  <c r="P927" i="2"/>
  <c r="P799" i="2"/>
  <c r="P655" i="2"/>
  <c r="P543" i="2"/>
  <c r="P431" i="2"/>
  <c r="P303" i="2"/>
  <c r="P31" i="2"/>
  <c r="P1001" i="2"/>
  <c r="P998" i="2"/>
  <c r="P982" i="2"/>
  <c r="P966" i="2"/>
  <c r="P950" i="2"/>
  <c r="P934" i="2"/>
  <c r="P918" i="2"/>
  <c r="P902" i="2"/>
  <c r="P886" i="2"/>
  <c r="P870" i="2"/>
  <c r="P854" i="2"/>
  <c r="P838" i="2"/>
  <c r="P822" i="2"/>
  <c r="P806" i="2"/>
  <c r="P790" i="2"/>
  <c r="P774" i="2"/>
  <c r="P758" i="2"/>
  <c r="P742" i="2"/>
  <c r="P726" i="2"/>
  <c r="P710" i="2"/>
  <c r="P694" i="2"/>
  <c r="P678" i="2"/>
  <c r="P662" i="2"/>
  <c r="P646" i="2"/>
  <c r="P630" i="2"/>
  <c r="P614" i="2"/>
  <c r="P598" i="2"/>
  <c r="P582" i="2"/>
  <c r="P566" i="2"/>
  <c r="P550" i="2"/>
  <c r="P534" i="2"/>
  <c r="P518" i="2"/>
  <c r="P502" i="2"/>
  <c r="P486" i="2"/>
  <c r="P470" i="2"/>
  <c r="P454" i="2"/>
  <c r="P438" i="2"/>
  <c r="P422" i="2"/>
  <c r="P406" i="2"/>
  <c r="P390" i="2"/>
  <c r="P374" i="2"/>
  <c r="P358" i="2"/>
  <c r="P342" i="2"/>
  <c r="P326" i="2"/>
  <c r="P310" i="2"/>
  <c r="P294" i="2"/>
  <c r="P278" i="2"/>
  <c r="P262" i="2"/>
  <c r="P246" i="2"/>
  <c r="P230" i="2"/>
  <c r="P214" i="2"/>
  <c r="P198" i="2"/>
  <c r="P182" i="2"/>
  <c r="P166" i="2"/>
  <c r="P150" i="2"/>
  <c r="P134" i="2"/>
  <c r="P118" i="2"/>
  <c r="P102" i="2"/>
  <c r="P86" i="2"/>
  <c r="P70" i="2"/>
  <c r="P54" i="2"/>
  <c r="P38" i="2"/>
  <c r="P22" i="2"/>
  <c r="P6" i="2"/>
  <c r="P911" i="2"/>
  <c r="P47" i="2"/>
  <c r="P997" i="2"/>
  <c r="P981" i="2"/>
  <c r="P965" i="2"/>
  <c r="P949" i="2"/>
  <c r="P933" i="2"/>
  <c r="P917" i="2"/>
  <c r="P901" i="2"/>
  <c r="P885" i="2"/>
  <c r="P869" i="2"/>
  <c r="P853" i="2"/>
  <c r="P837" i="2"/>
  <c r="P821" i="2"/>
  <c r="P805" i="2"/>
  <c r="P789" i="2"/>
  <c r="P773" i="2"/>
  <c r="P757" i="2"/>
  <c r="P741" i="2"/>
  <c r="P725" i="2"/>
  <c r="P709" i="2"/>
  <c r="P693" i="2"/>
  <c r="P677" i="2"/>
  <c r="P661" i="2"/>
  <c r="P645" i="2"/>
  <c r="P629" i="2"/>
  <c r="P613" i="2"/>
  <c r="P597" i="2"/>
  <c r="P581" i="2"/>
  <c r="P565" i="2"/>
  <c r="P549" i="2"/>
  <c r="P533" i="2"/>
  <c r="P517" i="2"/>
  <c r="P501" i="2"/>
  <c r="P485" i="2"/>
  <c r="P469" i="2"/>
  <c r="P453" i="2"/>
  <c r="P437" i="2"/>
  <c r="P421" i="2"/>
  <c r="P405" i="2"/>
  <c r="P389" i="2"/>
  <c r="P373" i="2"/>
  <c r="P357" i="2"/>
  <c r="P341" i="2"/>
  <c r="P325" i="2"/>
  <c r="P309" i="2"/>
  <c r="P293" i="2"/>
  <c r="P277" i="2"/>
  <c r="P261" i="2"/>
  <c r="P245" i="2"/>
  <c r="P229" i="2"/>
  <c r="P213" i="2"/>
  <c r="P197" i="2"/>
  <c r="P181" i="2"/>
  <c r="P165" i="2"/>
  <c r="P149" i="2"/>
  <c r="P133" i="2"/>
  <c r="P117" i="2"/>
  <c r="P101" i="2"/>
  <c r="P85" i="2"/>
  <c r="P69" i="2"/>
  <c r="P53" i="2"/>
  <c r="P37" i="2"/>
  <c r="P21" i="2"/>
  <c r="P5" i="2"/>
  <c r="P671" i="2"/>
  <c r="P159" i="2"/>
  <c r="P980" i="2"/>
  <c r="P948" i="2"/>
  <c r="P932" i="2"/>
  <c r="P916" i="2"/>
  <c r="P900" i="2"/>
  <c r="P884" i="2"/>
  <c r="P868" i="2"/>
  <c r="P852" i="2"/>
  <c r="P836" i="2"/>
  <c r="P820" i="2"/>
  <c r="P804" i="2"/>
  <c r="P788" i="2"/>
  <c r="P772" i="2"/>
  <c r="P756" i="2"/>
  <c r="P740" i="2"/>
  <c r="P724" i="2"/>
  <c r="P708" i="2"/>
  <c r="P692" i="2"/>
  <c r="P676" i="2"/>
  <c r="P660" i="2"/>
  <c r="P644" i="2"/>
  <c r="P628" i="2"/>
  <c r="P612" i="2"/>
  <c r="P596" i="2"/>
  <c r="P580" i="2"/>
  <c r="P564" i="2"/>
  <c r="P548" i="2"/>
  <c r="P532" i="2"/>
  <c r="P516" i="2"/>
  <c r="P500" i="2"/>
  <c r="P484" i="2"/>
  <c r="P468" i="2"/>
  <c r="P452" i="2"/>
  <c r="P436" i="2"/>
  <c r="P420" i="2"/>
  <c r="P404" i="2"/>
  <c r="P388" i="2"/>
  <c r="P372" i="2"/>
  <c r="P356" i="2"/>
  <c r="P340" i="2"/>
  <c r="P324" i="2"/>
  <c r="P308" i="2"/>
  <c r="P292" i="2"/>
  <c r="P276" i="2"/>
  <c r="P260" i="2"/>
  <c r="P244" i="2"/>
  <c r="P228" i="2"/>
  <c r="P212" i="2"/>
  <c r="P196" i="2"/>
  <c r="P180" i="2"/>
  <c r="P164" i="2"/>
  <c r="P148" i="2"/>
  <c r="P132" i="2"/>
  <c r="P116" i="2"/>
  <c r="P100" i="2"/>
  <c r="P84" i="2"/>
  <c r="P68" i="2"/>
  <c r="P52" i="2"/>
  <c r="P36" i="2"/>
  <c r="P20" i="2"/>
  <c r="P4" i="2"/>
  <c r="P623" i="2"/>
  <c r="P175" i="2"/>
  <c r="P996" i="2"/>
  <c r="P964" i="2"/>
  <c r="P995" i="2"/>
  <c r="P979" i="2"/>
  <c r="P963" i="2"/>
  <c r="P947" i="2"/>
  <c r="P931" i="2"/>
  <c r="P915" i="2"/>
  <c r="P899" i="2"/>
  <c r="P883" i="2"/>
  <c r="P867" i="2"/>
  <c r="P851" i="2"/>
  <c r="P835" i="2"/>
  <c r="P819" i="2"/>
  <c r="P803" i="2"/>
  <c r="P787" i="2"/>
  <c r="P771" i="2"/>
  <c r="P755" i="2"/>
  <c r="P739" i="2"/>
  <c r="P723" i="2"/>
  <c r="P707" i="2"/>
  <c r="P691" i="2"/>
  <c r="P675" i="2"/>
  <c r="P659" i="2"/>
  <c r="P643" i="2"/>
  <c r="P627" i="2"/>
  <c r="P611" i="2"/>
  <c r="P595" i="2"/>
  <c r="P579" i="2"/>
  <c r="P563" i="2"/>
  <c r="P547" i="2"/>
  <c r="P531" i="2"/>
  <c r="P515" i="2"/>
  <c r="P499" i="2"/>
  <c r="P483" i="2"/>
  <c r="P467" i="2"/>
  <c r="P451" i="2"/>
  <c r="P435" i="2"/>
  <c r="P419" i="2"/>
  <c r="P403" i="2"/>
  <c r="P387" i="2"/>
  <c r="P371" i="2"/>
  <c r="P355" i="2"/>
  <c r="P339" i="2"/>
  <c r="P323" i="2"/>
  <c r="P307" i="2"/>
  <c r="P291" i="2"/>
  <c r="P275" i="2"/>
  <c r="P259" i="2"/>
  <c r="P243" i="2"/>
  <c r="P227" i="2"/>
  <c r="P211" i="2"/>
  <c r="P195" i="2"/>
  <c r="P179" i="2"/>
  <c r="P163" i="2"/>
  <c r="P147" i="2"/>
  <c r="P131" i="2"/>
  <c r="P115" i="2"/>
  <c r="P99" i="2"/>
  <c r="P83" i="2"/>
  <c r="P67" i="2"/>
  <c r="P51" i="2"/>
  <c r="P35" i="2"/>
  <c r="P19" i="2"/>
  <c r="P3" i="2"/>
  <c r="P975" i="2"/>
  <c r="P783" i="2"/>
  <c r="P591" i="2"/>
  <c r="P479" i="2"/>
  <c r="P383" i="2"/>
  <c r="P335" i="2"/>
  <c r="P255" i="2"/>
  <c r="P223" i="2"/>
  <c r="P978" i="2"/>
  <c r="P930" i="2"/>
  <c r="P898" i="2"/>
  <c r="P866" i="2"/>
  <c r="P850" i="2"/>
  <c r="P818" i="2"/>
  <c r="P802" i="2"/>
  <c r="P786" i="2"/>
  <c r="P770" i="2"/>
  <c r="P754" i="2"/>
  <c r="P738" i="2"/>
  <c r="P722" i="2"/>
  <c r="P706" i="2"/>
  <c r="P690" i="2"/>
  <c r="P674" i="2"/>
  <c r="P658" i="2"/>
  <c r="P642" i="2"/>
  <c r="P626" i="2"/>
  <c r="P610" i="2"/>
  <c r="P594" i="2"/>
  <c r="P578" i="2"/>
  <c r="P562" i="2"/>
  <c r="P546" i="2"/>
  <c r="P530" i="2"/>
  <c r="P514" i="2"/>
  <c r="P498" i="2"/>
  <c r="P482" i="2"/>
  <c r="P466" i="2"/>
  <c r="P450" i="2"/>
  <c r="P434" i="2"/>
  <c r="P418" i="2"/>
  <c r="P402" i="2"/>
  <c r="P386" i="2"/>
  <c r="P370" i="2"/>
  <c r="P354" i="2"/>
  <c r="P338" i="2"/>
  <c r="P322" i="2"/>
  <c r="P306" i="2"/>
  <c r="P290" i="2"/>
  <c r="P274" i="2"/>
  <c r="P258" i="2"/>
  <c r="P242" i="2"/>
  <c r="P226" i="2"/>
  <c r="P210" i="2"/>
  <c r="P194" i="2"/>
  <c r="P178" i="2"/>
  <c r="P162" i="2"/>
  <c r="P146" i="2"/>
  <c r="P130" i="2"/>
  <c r="P114" i="2"/>
  <c r="P98" i="2"/>
  <c r="P82" i="2"/>
  <c r="P66" i="2"/>
  <c r="P50" i="2"/>
  <c r="P34" i="2"/>
  <c r="P18" i="2"/>
  <c r="E18" i="2"/>
  <c r="E34" i="2"/>
  <c r="E50" i="2"/>
  <c r="E66" i="2"/>
  <c r="E82" i="2"/>
  <c r="E98" i="2"/>
  <c r="E114" i="2"/>
  <c r="E130" i="2"/>
  <c r="E146" i="2"/>
  <c r="E162" i="2"/>
  <c r="E178" i="2"/>
  <c r="E194" i="2"/>
  <c r="E210" i="2"/>
  <c r="E226" i="2"/>
  <c r="E242" i="2"/>
  <c r="E258" i="2"/>
  <c r="E274" i="2"/>
  <c r="E290" i="2"/>
  <c r="E306" i="2"/>
  <c r="E322" i="2"/>
  <c r="E338" i="2"/>
  <c r="E354" i="2"/>
  <c r="E370" i="2"/>
  <c r="E386" i="2"/>
  <c r="E402" i="2"/>
  <c r="E418" i="2"/>
  <c r="E434" i="2"/>
  <c r="E450" i="2"/>
  <c r="E466" i="2"/>
  <c r="E482" i="2"/>
  <c r="E498" i="2"/>
  <c r="E514" i="2"/>
  <c r="E530" i="2"/>
  <c r="E546" i="2"/>
  <c r="E562" i="2"/>
  <c r="E578" i="2"/>
  <c r="E594" i="2"/>
  <c r="E610" i="2"/>
  <c r="E626" i="2"/>
  <c r="E642" i="2"/>
  <c r="E658" i="2"/>
  <c r="E674" i="2"/>
  <c r="E690" i="2"/>
  <c r="E706" i="2"/>
  <c r="E722" i="2"/>
  <c r="E738" i="2"/>
  <c r="E754" i="2"/>
  <c r="E770" i="2"/>
  <c r="E786" i="2"/>
  <c r="E802" i="2"/>
  <c r="E818" i="2"/>
  <c r="E834" i="2"/>
  <c r="E850" i="2"/>
  <c r="E866" i="2"/>
  <c r="E882" i="2"/>
  <c r="E898" i="2"/>
  <c r="E3" i="2"/>
  <c r="E19" i="2"/>
  <c r="E35" i="2"/>
  <c r="E51" i="2"/>
  <c r="E67" i="2"/>
  <c r="E83" i="2"/>
  <c r="E99" i="2"/>
  <c r="E115" i="2"/>
  <c r="E131" i="2"/>
  <c r="E147" i="2"/>
  <c r="E163" i="2"/>
  <c r="E179" i="2"/>
  <c r="E195" i="2"/>
  <c r="E211" i="2"/>
  <c r="E227" i="2"/>
  <c r="E243" i="2"/>
  <c r="E259" i="2"/>
  <c r="E275" i="2"/>
  <c r="E291" i="2"/>
  <c r="E307" i="2"/>
  <c r="E323" i="2"/>
  <c r="E339" i="2"/>
  <c r="E355" i="2"/>
  <c r="E371" i="2"/>
  <c r="E387" i="2"/>
  <c r="E403" i="2"/>
  <c r="E419" i="2"/>
  <c r="E435" i="2"/>
  <c r="E451" i="2"/>
  <c r="E467" i="2"/>
  <c r="E483" i="2"/>
  <c r="E499" i="2"/>
  <c r="E515" i="2"/>
  <c r="E531" i="2"/>
  <c r="E547" i="2"/>
  <c r="E563" i="2"/>
  <c r="E579" i="2"/>
  <c r="E595" i="2"/>
  <c r="E611" i="2"/>
  <c r="E627" i="2"/>
  <c r="E643" i="2"/>
  <c r="E659" i="2"/>
  <c r="E675" i="2"/>
  <c r="E691" i="2"/>
  <c r="E707" i="2"/>
  <c r="E723" i="2"/>
  <c r="E739" i="2"/>
  <c r="E755" i="2"/>
  <c r="E771" i="2"/>
  <c r="E787" i="2"/>
  <c r="E803" i="2"/>
  <c r="E819" i="2"/>
  <c r="E835" i="2"/>
  <c r="E851" i="2"/>
  <c r="E867" i="2"/>
  <c r="E883" i="2"/>
  <c r="E899" i="2"/>
  <c r="E915" i="2"/>
  <c r="E931" i="2"/>
  <c r="E947" i="2"/>
  <c r="E963" i="2"/>
  <c r="E979" i="2"/>
  <c r="E995" i="2"/>
  <c r="E452" i="2"/>
  <c r="E500" i="2"/>
  <c r="E532" i="2"/>
  <c r="E564" i="2"/>
  <c r="E580" i="2"/>
  <c r="E4" i="2"/>
  <c r="E20" i="2"/>
  <c r="E36" i="2"/>
  <c r="E52" i="2"/>
  <c r="E68" i="2"/>
  <c r="E84" i="2"/>
  <c r="E100" i="2"/>
  <c r="E116" i="2"/>
  <c r="E132" i="2"/>
  <c r="E148" i="2"/>
  <c r="E164" i="2"/>
  <c r="E180" i="2"/>
  <c r="E196" i="2"/>
  <c r="E212" i="2"/>
  <c r="E228" i="2"/>
  <c r="E244" i="2"/>
  <c r="E260" i="2"/>
  <c r="E276" i="2"/>
  <c r="E292" i="2"/>
  <c r="E308" i="2"/>
  <c r="E324" i="2"/>
  <c r="E340" i="2"/>
  <c r="E356" i="2"/>
  <c r="E372" i="2"/>
  <c r="E388" i="2"/>
  <c r="E404" i="2"/>
  <c r="E420" i="2"/>
  <c r="E436" i="2"/>
  <c r="E468" i="2"/>
  <c r="E484" i="2"/>
  <c r="E516" i="2"/>
  <c r="E548" i="2"/>
  <c r="E5" i="2"/>
  <c r="E21" i="2"/>
  <c r="E37" i="2"/>
  <c r="E53" i="2"/>
  <c r="E69" i="2"/>
  <c r="E85" i="2"/>
  <c r="E101" i="2"/>
  <c r="E117" i="2"/>
  <c r="E133" i="2"/>
  <c r="E149" i="2"/>
  <c r="E165" i="2"/>
  <c r="E181" i="2"/>
  <c r="E197" i="2"/>
  <c r="E213" i="2"/>
  <c r="E229" i="2"/>
  <c r="E245" i="2"/>
  <c r="E261" i="2"/>
  <c r="E277" i="2"/>
  <c r="E293" i="2"/>
  <c r="E309" i="2"/>
  <c r="E325" i="2"/>
  <c r="E341" i="2"/>
  <c r="E357" i="2"/>
  <c r="E373" i="2"/>
  <c r="E389" i="2"/>
  <c r="E405" i="2"/>
  <c r="E421" i="2"/>
  <c r="E437" i="2"/>
  <c r="E453" i="2"/>
  <c r="E469" i="2"/>
  <c r="E485" i="2"/>
  <c r="E501" i="2"/>
  <c r="E517" i="2"/>
  <c r="E533" i="2"/>
  <c r="E549" i="2"/>
  <c r="E565" i="2"/>
  <c r="E581" i="2"/>
  <c r="E597" i="2"/>
  <c r="E613" i="2"/>
  <c r="E629" i="2"/>
  <c r="E645" i="2"/>
  <c r="E661" i="2"/>
  <c r="E677" i="2"/>
  <c r="E693" i="2"/>
  <c r="E709" i="2"/>
  <c r="E725" i="2"/>
  <c r="E6" i="2"/>
  <c r="E22" i="2"/>
  <c r="E38" i="2"/>
  <c r="E54" i="2"/>
  <c r="E70" i="2"/>
  <c r="E86" i="2"/>
  <c r="E102" i="2"/>
  <c r="E118" i="2"/>
  <c r="E134" i="2"/>
  <c r="E150" i="2"/>
  <c r="E166" i="2"/>
  <c r="E182" i="2"/>
  <c r="E198" i="2"/>
  <c r="E214" i="2"/>
  <c r="E230" i="2"/>
  <c r="E246" i="2"/>
  <c r="E262" i="2"/>
  <c r="E278" i="2"/>
  <c r="E294" i="2"/>
  <c r="E310" i="2"/>
  <c r="E326" i="2"/>
  <c r="E342" i="2"/>
  <c r="E358" i="2"/>
  <c r="E374" i="2"/>
  <c r="E390" i="2"/>
  <c r="E406" i="2"/>
  <c r="E422" i="2"/>
  <c r="E438" i="2"/>
  <c r="E454" i="2"/>
  <c r="E470" i="2"/>
  <c r="E486" i="2"/>
  <c r="E502" i="2"/>
  <c r="E518" i="2"/>
  <c r="E534" i="2"/>
  <c r="E550" i="2"/>
  <c r="E566" i="2"/>
  <c r="E582" i="2"/>
  <c r="E598" i="2"/>
  <c r="E614" i="2"/>
  <c r="E630" i="2"/>
  <c r="E646" i="2"/>
  <c r="E662" i="2"/>
  <c r="E678" i="2"/>
  <c r="E694" i="2"/>
  <c r="E710" i="2"/>
  <c r="E726" i="2"/>
  <c r="E742" i="2"/>
  <c r="E758" i="2"/>
  <c r="E774" i="2"/>
  <c r="E790" i="2"/>
  <c r="E806" i="2"/>
  <c r="E822" i="2"/>
  <c r="E838" i="2"/>
  <c r="E854" i="2"/>
  <c r="E7" i="2"/>
  <c r="E23" i="2"/>
  <c r="E39" i="2"/>
  <c r="E55" i="2"/>
  <c r="E71" i="2"/>
  <c r="E87" i="2"/>
  <c r="E103" i="2"/>
  <c r="E119" i="2"/>
  <c r="E135" i="2"/>
  <c r="E151" i="2"/>
  <c r="E167" i="2"/>
  <c r="E183" i="2"/>
  <c r="E199" i="2"/>
  <c r="E215" i="2"/>
  <c r="E231" i="2"/>
  <c r="E247" i="2"/>
  <c r="E263" i="2"/>
  <c r="E279" i="2"/>
  <c r="E295" i="2"/>
  <c r="E311" i="2"/>
  <c r="E327" i="2"/>
  <c r="E343" i="2"/>
  <c r="E359" i="2"/>
  <c r="E375" i="2"/>
  <c r="E391" i="2"/>
  <c r="E407" i="2"/>
  <c r="E423" i="2"/>
  <c r="E439" i="2"/>
  <c r="E455" i="2"/>
  <c r="E471" i="2"/>
  <c r="E487" i="2"/>
  <c r="E503" i="2"/>
  <c r="E519" i="2"/>
  <c r="E535" i="2"/>
  <c r="E8" i="2"/>
  <c r="E24" i="2"/>
  <c r="E40" i="2"/>
  <c r="E56" i="2"/>
  <c r="E72" i="2"/>
  <c r="E88" i="2"/>
  <c r="E104" i="2"/>
  <c r="E120" i="2"/>
  <c r="E136" i="2"/>
  <c r="E152" i="2"/>
  <c r="E168" i="2"/>
  <c r="E184" i="2"/>
  <c r="E200" i="2"/>
  <c r="E216" i="2"/>
  <c r="E232" i="2"/>
  <c r="E248" i="2"/>
  <c r="E264" i="2"/>
  <c r="E280" i="2"/>
  <c r="E296" i="2"/>
  <c r="E312" i="2"/>
  <c r="E328" i="2"/>
  <c r="E344" i="2"/>
  <c r="E360" i="2"/>
  <c r="E376" i="2"/>
  <c r="E392" i="2"/>
  <c r="E408" i="2"/>
  <c r="E424" i="2"/>
  <c r="E440" i="2"/>
  <c r="E456" i="2"/>
  <c r="E472" i="2"/>
  <c r="E488" i="2"/>
  <c r="E504" i="2"/>
  <c r="E520" i="2"/>
  <c r="E536" i="2"/>
  <c r="E552" i="2"/>
  <c r="E568" i="2"/>
  <c r="E584" i="2"/>
  <c r="E600" i="2"/>
  <c r="E616" i="2"/>
  <c r="E632" i="2"/>
  <c r="E648" i="2"/>
  <c r="E664" i="2"/>
  <c r="E680" i="2"/>
  <c r="E696" i="2"/>
  <c r="E712" i="2"/>
  <c r="E728" i="2"/>
  <c r="E744" i="2"/>
  <c r="E760" i="2"/>
  <c r="E776" i="2"/>
  <c r="E792" i="2"/>
  <c r="E808" i="2"/>
  <c r="E824" i="2"/>
  <c r="E840" i="2"/>
  <c r="E856" i="2"/>
  <c r="E9" i="2"/>
  <c r="E25" i="2"/>
  <c r="E41" i="2"/>
  <c r="E57" i="2"/>
  <c r="E73" i="2"/>
  <c r="E89" i="2"/>
  <c r="E105" i="2"/>
  <c r="E121" i="2"/>
  <c r="E137" i="2"/>
  <c r="E153" i="2"/>
  <c r="E169" i="2"/>
  <c r="E185" i="2"/>
  <c r="E201" i="2"/>
  <c r="E217" i="2"/>
  <c r="E233" i="2"/>
  <c r="E249" i="2"/>
  <c r="E265" i="2"/>
  <c r="E281" i="2"/>
  <c r="E297" i="2"/>
  <c r="E313" i="2"/>
  <c r="E329" i="2"/>
  <c r="E345" i="2"/>
  <c r="E361" i="2"/>
  <c r="E377" i="2"/>
  <c r="E393" i="2"/>
  <c r="E409" i="2"/>
  <c r="E425" i="2"/>
  <c r="E441" i="2"/>
  <c r="E457" i="2"/>
  <c r="E473" i="2"/>
  <c r="E489" i="2"/>
  <c r="E505" i="2"/>
  <c r="E521" i="2"/>
  <c r="E537" i="2"/>
  <c r="E553" i="2"/>
  <c r="E569" i="2"/>
  <c r="E585" i="2"/>
  <c r="E601" i="2"/>
  <c r="E617" i="2"/>
  <c r="E633" i="2"/>
  <c r="E649" i="2"/>
  <c r="E665" i="2"/>
  <c r="E681" i="2"/>
  <c r="E697" i="2"/>
  <c r="E713" i="2"/>
  <c r="E729" i="2"/>
  <c r="E745" i="2"/>
  <c r="E761" i="2"/>
  <c r="E777" i="2"/>
  <c r="E793" i="2"/>
  <c r="E809" i="2"/>
  <c r="E825" i="2"/>
  <c r="E841" i="2"/>
  <c r="E857" i="2"/>
  <c r="E873" i="2"/>
  <c r="E889" i="2"/>
  <c r="E905" i="2"/>
  <c r="E921" i="2"/>
  <c r="E937" i="2"/>
  <c r="E953" i="2"/>
  <c r="E969" i="2"/>
  <c r="E985" i="2"/>
  <c r="E1001" i="2"/>
  <c r="E10" i="2"/>
  <c r="E26" i="2"/>
  <c r="E42" i="2"/>
  <c r="E58" i="2"/>
  <c r="E74" i="2"/>
  <c r="E90" i="2"/>
  <c r="E106" i="2"/>
  <c r="E122" i="2"/>
  <c r="E138" i="2"/>
  <c r="E154" i="2"/>
  <c r="E170" i="2"/>
  <c r="E186" i="2"/>
  <c r="E202" i="2"/>
  <c r="E218" i="2"/>
  <c r="E234" i="2"/>
  <c r="E250" i="2"/>
  <c r="E266" i="2"/>
  <c r="E282" i="2"/>
  <c r="E298" i="2"/>
  <c r="E314" i="2"/>
  <c r="E330" i="2"/>
  <c r="E346" i="2"/>
  <c r="E362" i="2"/>
  <c r="E378" i="2"/>
  <c r="E394" i="2"/>
  <c r="E410" i="2"/>
  <c r="E426" i="2"/>
  <c r="E442" i="2"/>
  <c r="E458" i="2"/>
  <c r="E474" i="2"/>
  <c r="E490" i="2"/>
  <c r="E506" i="2"/>
  <c r="E522" i="2"/>
  <c r="E538" i="2"/>
  <c r="E554" i="2"/>
  <c r="E570" i="2"/>
  <c r="E586" i="2"/>
  <c r="E602" i="2"/>
  <c r="E618" i="2"/>
  <c r="E634" i="2"/>
  <c r="E650" i="2"/>
  <c r="E666" i="2"/>
  <c r="E682" i="2"/>
  <c r="E698" i="2"/>
  <c r="E714" i="2"/>
  <c r="E730" i="2"/>
  <c r="E746" i="2"/>
  <c r="E762" i="2"/>
  <c r="E778" i="2"/>
  <c r="E794" i="2"/>
  <c r="E810" i="2"/>
  <c r="E826" i="2"/>
  <c r="E842" i="2"/>
  <c r="E858" i="2"/>
  <c r="E874" i="2"/>
  <c r="E890" i="2"/>
  <c r="E906" i="2"/>
  <c r="E922" i="2"/>
  <c r="E938" i="2"/>
  <c r="E954" i="2"/>
  <c r="E970" i="2"/>
  <c r="E986" i="2"/>
  <c r="E1002" i="2"/>
  <c r="E683" i="2"/>
  <c r="E731" i="2"/>
  <c r="E763" i="2"/>
  <c r="E779" i="2"/>
  <c r="E811" i="2"/>
  <c r="E843" i="2"/>
  <c r="E859" i="2"/>
  <c r="E11" i="2"/>
  <c r="E27" i="2"/>
  <c r="E43" i="2"/>
  <c r="E59" i="2"/>
  <c r="E75" i="2"/>
  <c r="E91" i="2"/>
  <c r="E107" i="2"/>
  <c r="E123" i="2"/>
  <c r="E139" i="2"/>
  <c r="E155" i="2"/>
  <c r="E171" i="2"/>
  <c r="E187" i="2"/>
  <c r="E203" i="2"/>
  <c r="E219" i="2"/>
  <c r="E235" i="2"/>
  <c r="E251" i="2"/>
  <c r="E267" i="2"/>
  <c r="E283" i="2"/>
  <c r="E299" i="2"/>
  <c r="E315" i="2"/>
  <c r="E331" i="2"/>
  <c r="E347" i="2"/>
  <c r="E363" i="2"/>
  <c r="E379" i="2"/>
  <c r="E395" i="2"/>
  <c r="E411" i="2"/>
  <c r="E427" i="2"/>
  <c r="E443" i="2"/>
  <c r="E459" i="2"/>
  <c r="E475" i="2"/>
  <c r="E491" i="2"/>
  <c r="E507" i="2"/>
  <c r="E523" i="2"/>
  <c r="E539" i="2"/>
  <c r="E555" i="2"/>
  <c r="E571" i="2"/>
  <c r="E587" i="2"/>
  <c r="E603" i="2"/>
  <c r="E619" i="2"/>
  <c r="E635" i="2"/>
  <c r="E651" i="2"/>
  <c r="E667" i="2"/>
  <c r="E699" i="2"/>
  <c r="E715" i="2"/>
  <c r="E747" i="2"/>
  <c r="E795" i="2"/>
  <c r="E827" i="2"/>
  <c r="E875" i="2"/>
  <c r="E12" i="2"/>
  <c r="E28" i="2"/>
  <c r="E44" i="2"/>
  <c r="E60" i="2"/>
  <c r="E76" i="2"/>
  <c r="E92" i="2"/>
  <c r="E108" i="2"/>
  <c r="E124" i="2"/>
  <c r="E140" i="2"/>
  <c r="E156" i="2"/>
  <c r="E172" i="2"/>
  <c r="E188" i="2"/>
  <c r="E204" i="2"/>
  <c r="E220" i="2"/>
  <c r="E236" i="2"/>
  <c r="E252" i="2"/>
  <c r="E268" i="2"/>
  <c r="E284" i="2"/>
  <c r="E300" i="2"/>
  <c r="E316" i="2"/>
  <c r="E332" i="2"/>
  <c r="E348" i="2"/>
  <c r="E364" i="2"/>
  <c r="E380" i="2"/>
  <c r="E396" i="2"/>
  <c r="E412" i="2"/>
  <c r="E428" i="2"/>
  <c r="E444" i="2"/>
  <c r="E460" i="2"/>
  <c r="E476" i="2"/>
  <c r="E492" i="2"/>
  <c r="E508" i="2"/>
  <c r="E524" i="2"/>
  <c r="E540" i="2"/>
  <c r="E556" i="2"/>
  <c r="E572" i="2"/>
  <c r="E13" i="2"/>
  <c r="E29" i="2"/>
  <c r="E45" i="2"/>
  <c r="E61" i="2"/>
  <c r="E77" i="2"/>
  <c r="E93" i="2"/>
  <c r="E109" i="2"/>
  <c r="E125" i="2"/>
  <c r="E141" i="2"/>
  <c r="E157" i="2"/>
  <c r="E173" i="2"/>
  <c r="E189" i="2"/>
  <c r="E205" i="2"/>
  <c r="E221" i="2"/>
  <c r="E237" i="2"/>
  <c r="E253" i="2"/>
  <c r="E269" i="2"/>
  <c r="E285" i="2"/>
  <c r="E301" i="2"/>
  <c r="E317" i="2"/>
  <c r="E333" i="2"/>
  <c r="E349" i="2"/>
  <c r="E365" i="2"/>
  <c r="E381" i="2"/>
  <c r="E397" i="2"/>
  <c r="E413" i="2"/>
  <c r="E429" i="2"/>
  <c r="E445" i="2"/>
  <c r="E461" i="2"/>
  <c r="E477" i="2"/>
  <c r="E493" i="2"/>
  <c r="E509" i="2"/>
  <c r="E525" i="2"/>
  <c r="E541" i="2"/>
  <c r="E557" i="2"/>
  <c r="E14" i="2"/>
  <c r="E30" i="2"/>
  <c r="E46" i="2"/>
  <c r="E62" i="2"/>
  <c r="E78" i="2"/>
  <c r="E94" i="2"/>
  <c r="E110" i="2"/>
  <c r="E126" i="2"/>
  <c r="E142" i="2"/>
  <c r="E158" i="2"/>
  <c r="E174" i="2"/>
  <c r="E190" i="2"/>
  <c r="E206" i="2"/>
  <c r="E222" i="2"/>
  <c r="E238" i="2"/>
  <c r="E254" i="2"/>
  <c r="E270" i="2"/>
  <c r="E286" i="2"/>
  <c r="E302" i="2"/>
  <c r="E318" i="2"/>
  <c r="E334" i="2"/>
  <c r="E350" i="2"/>
  <c r="E366" i="2"/>
  <c r="E382" i="2"/>
  <c r="E398" i="2"/>
  <c r="E414" i="2"/>
  <c r="E430" i="2"/>
  <c r="E446" i="2"/>
  <c r="E462" i="2"/>
  <c r="E478" i="2"/>
  <c r="E494" i="2"/>
  <c r="E510" i="2"/>
  <c r="E526" i="2"/>
  <c r="E542" i="2"/>
  <c r="E558" i="2"/>
  <c r="E574" i="2"/>
  <c r="E590" i="2"/>
  <c r="E606" i="2"/>
  <c r="E622" i="2"/>
  <c r="E638" i="2"/>
  <c r="E654" i="2"/>
  <c r="E670" i="2"/>
  <c r="E686" i="2"/>
  <c r="E702" i="2"/>
  <c r="E718" i="2"/>
  <c r="E734" i="2"/>
  <c r="E750" i="2"/>
  <c r="E766" i="2"/>
  <c r="E782" i="2"/>
  <c r="E798" i="2"/>
  <c r="E814" i="2"/>
  <c r="E830" i="2"/>
  <c r="E846" i="2"/>
  <c r="E862" i="2"/>
  <c r="E878" i="2"/>
  <c r="E894" i="2"/>
  <c r="E910" i="2"/>
  <c r="E926" i="2"/>
  <c r="E942" i="2"/>
  <c r="E958" i="2"/>
  <c r="E974" i="2"/>
  <c r="E990" i="2"/>
  <c r="E15" i="2"/>
  <c r="E31" i="2"/>
  <c r="E47" i="2"/>
  <c r="E63" i="2"/>
  <c r="E79" i="2"/>
  <c r="E95" i="2"/>
  <c r="E111" i="2"/>
  <c r="E127" i="2"/>
  <c r="E143" i="2"/>
  <c r="E159" i="2"/>
  <c r="E175" i="2"/>
  <c r="E191" i="2"/>
  <c r="E207" i="2"/>
  <c r="E223" i="2"/>
  <c r="E239" i="2"/>
  <c r="E255" i="2"/>
  <c r="E271" i="2"/>
  <c r="E287" i="2"/>
  <c r="E303" i="2"/>
  <c r="E319" i="2"/>
  <c r="E335" i="2"/>
  <c r="E351" i="2"/>
  <c r="E367" i="2"/>
  <c r="E383" i="2"/>
  <c r="E399" i="2"/>
  <c r="E415" i="2"/>
  <c r="E431" i="2"/>
  <c r="E447" i="2"/>
  <c r="E463" i="2"/>
  <c r="E479" i="2"/>
  <c r="E495" i="2"/>
  <c r="E511" i="2"/>
  <c r="E527" i="2"/>
  <c r="E543" i="2"/>
  <c r="E16" i="2"/>
  <c r="E32" i="2"/>
  <c r="E48" i="2"/>
  <c r="E64" i="2"/>
  <c r="E80" i="2"/>
  <c r="E96" i="2"/>
  <c r="E112" i="2"/>
  <c r="E128" i="2"/>
  <c r="E144" i="2"/>
  <c r="E160" i="2"/>
  <c r="E176" i="2"/>
  <c r="E192" i="2"/>
  <c r="E208" i="2"/>
  <c r="E224" i="2"/>
  <c r="E240" i="2"/>
  <c r="E256" i="2"/>
  <c r="E272" i="2"/>
  <c r="E288" i="2"/>
  <c r="E304" i="2"/>
  <c r="E320" i="2"/>
  <c r="E336" i="2"/>
  <c r="E352" i="2"/>
  <c r="E368" i="2"/>
  <c r="E384" i="2"/>
  <c r="E400" i="2"/>
  <c r="E416" i="2"/>
  <c r="E432" i="2"/>
  <c r="E448" i="2"/>
  <c r="E464" i="2"/>
  <c r="E480" i="2"/>
  <c r="E496" i="2"/>
  <c r="E512" i="2"/>
  <c r="E528" i="2"/>
  <c r="E544" i="2"/>
  <c r="E560" i="2"/>
  <c r="E576" i="2"/>
  <c r="E592" i="2"/>
  <c r="E608" i="2"/>
  <c r="E624" i="2"/>
  <c r="E640" i="2"/>
  <c r="E656" i="2"/>
  <c r="E672" i="2"/>
  <c r="E688" i="2"/>
  <c r="E704" i="2"/>
  <c r="E720" i="2"/>
  <c r="E736" i="2"/>
  <c r="E752" i="2"/>
  <c r="E768" i="2"/>
  <c r="E784" i="2"/>
  <c r="E800" i="2"/>
  <c r="E816" i="2"/>
  <c r="E832" i="2"/>
  <c r="E848" i="2"/>
  <c r="E864" i="2"/>
  <c r="E880" i="2"/>
  <c r="E896" i="2"/>
  <c r="E912" i="2"/>
  <c r="E928" i="2"/>
  <c r="E944" i="2"/>
  <c r="E960" i="2"/>
  <c r="E976" i="2"/>
  <c r="E992" i="2"/>
  <c r="E930" i="2"/>
  <c r="E17" i="2"/>
  <c r="E33" i="2"/>
  <c r="E49" i="2"/>
  <c r="E65" i="2"/>
  <c r="E81" i="2"/>
  <c r="E97" i="2"/>
  <c r="E113" i="2"/>
  <c r="E129" i="2"/>
  <c r="E145" i="2"/>
  <c r="E161" i="2"/>
  <c r="E177" i="2"/>
  <c r="E193" i="2"/>
  <c r="E209" i="2"/>
  <c r="E225" i="2"/>
  <c r="E241" i="2"/>
  <c r="E257" i="2"/>
  <c r="E273" i="2"/>
  <c r="E289" i="2"/>
  <c r="E305" i="2"/>
  <c r="E321" i="2"/>
  <c r="E337" i="2"/>
  <c r="E353" i="2"/>
  <c r="E369" i="2"/>
  <c r="E385" i="2"/>
  <c r="E401" i="2"/>
  <c r="E417" i="2"/>
  <c r="E433" i="2"/>
  <c r="E449" i="2"/>
  <c r="E465" i="2"/>
  <c r="E481" i="2"/>
  <c r="E497" i="2"/>
  <c r="E513" i="2"/>
  <c r="E529" i="2"/>
  <c r="E545" i="2"/>
  <c r="E561" i="2"/>
  <c r="E577" i="2"/>
  <c r="E593" i="2"/>
  <c r="E609" i="2"/>
  <c r="E625" i="2"/>
  <c r="E641" i="2"/>
  <c r="E657" i="2"/>
  <c r="E673" i="2"/>
  <c r="E689" i="2"/>
  <c r="E705" i="2"/>
  <c r="E721" i="2"/>
  <c r="E737" i="2"/>
  <c r="E753" i="2"/>
  <c r="E769" i="2"/>
  <c r="E785" i="2"/>
  <c r="E801" i="2"/>
  <c r="E817" i="2"/>
  <c r="E833" i="2"/>
  <c r="E849" i="2"/>
  <c r="E865" i="2"/>
  <c r="E881" i="2"/>
  <c r="E897" i="2"/>
  <c r="E913" i="2"/>
  <c r="E929" i="2"/>
  <c r="E945" i="2"/>
  <c r="E961" i="2"/>
  <c r="E977" i="2"/>
  <c r="E993" i="2"/>
  <c r="E914" i="2"/>
  <c r="E591" i="2"/>
  <c r="E644" i="2"/>
  <c r="E695" i="2"/>
  <c r="E743" i="2"/>
  <c r="E788" i="2"/>
  <c r="E829" i="2"/>
  <c r="E870" i="2"/>
  <c r="E901" i="2"/>
  <c r="E927" i="2"/>
  <c r="E955" i="2"/>
  <c r="E981" i="2"/>
  <c r="E932" i="2"/>
  <c r="E982" i="2"/>
  <c r="E959" i="2"/>
  <c r="E935" i="2"/>
  <c r="E596" i="2"/>
  <c r="E647" i="2"/>
  <c r="E700" i="2"/>
  <c r="E748" i="2"/>
  <c r="E789" i="2"/>
  <c r="E831" i="2"/>
  <c r="E871" i="2"/>
  <c r="E902" i="2"/>
  <c r="E956" i="2"/>
  <c r="E934" i="2"/>
  <c r="E984" i="2"/>
  <c r="E877" i="2"/>
  <c r="E999" i="2"/>
  <c r="E599" i="2"/>
  <c r="E652" i="2"/>
  <c r="E701" i="2"/>
  <c r="E749" i="2"/>
  <c r="E791" i="2"/>
  <c r="E836" i="2"/>
  <c r="E872" i="2"/>
  <c r="E903" i="2"/>
  <c r="E933" i="2"/>
  <c r="E957" i="2"/>
  <c r="E983" i="2"/>
  <c r="E653" i="2"/>
  <c r="E796" i="2"/>
  <c r="E876" i="2"/>
  <c r="E962" i="2"/>
  <c r="E1000" i="2"/>
  <c r="E604" i="2"/>
  <c r="E703" i="2"/>
  <c r="E751" i="2"/>
  <c r="E837" i="2"/>
  <c r="E904" i="2"/>
  <c r="E989" i="2"/>
  <c r="E605" i="2"/>
  <c r="E655" i="2"/>
  <c r="E708" i="2"/>
  <c r="E756" i="2"/>
  <c r="E797" i="2"/>
  <c r="E839" i="2"/>
  <c r="E907" i="2"/>
  <c r="E987" i="2"/>
  <c r="E607" i="2"/>
  <c r="E660" i="2"/>
  <c r="E711" i="2"/>
  <c r="E757" i="2"/>
  <c r="E799" i="2"/>
  <c r="E844" i="2"/>
  <c r="E879" i="2"/>
  <c r="E908" i="2"/>
  <c r="E936" i="2"/>
  <c r="E964" i="2"/>
  <c r="E988" i="2"/>
  <c r="E663" i="2"/>
  <c r="E716" i="2"/>
  <c r="E804" i="2"/>
  <c r="E884" i="2"/>
  <c r="E939" i="2"/>
  <c r="E612" i="2"/>
  <c r="E759" i="2"/>
  <c r="E845" i="2"/>
  <c r="E909" i="2"/>
  <c r="E965" i="2"/>
  <c r="E924" i="2"/>
  <c r="E615" i="2"/>
  <c r="E668" i="2"/>
  <c r="E717" i="2"/>
  <c r="E764" i="2"/>
  <c r="E805" i="2"/>
  <c r="E847" i="2"/>
  <c r="E885" i="2"/>
  <c r="E911" i="2"/>
  <c r="E940" i="2"/>
  <c r="E966" i="2"/>
  <c r="E991" i="2"/>
  <c r="E967" i="2"/>
  <c r="E917" i="2"/>
  <c r="E918" i="2"/>
  <c r="E891" i="2"/>
  <c r="E950" i="2"/>
  <c r="E551" i="2"/>
  <c r="E620" i="2"/>
  <c r="E669" i="2"/>
  <c r="E719" i="2"/>
  <c r="E765" i="2"/>
  <c r="E807" i="2"/>
  <c r="E852" i="2"/>
  <c r="E886" i="2"/>
  <c r="E916" i="2"/>
  <c r="E941" i="2"/>
  <c r="E994" i="2"/>
  <c r="E943" i="2"/>
  <c r="E996" i="2"/>
  <c r="E946" i="2"/>
  <c r="E860" i="2"/>
  <c r="E998" i="2"/>
  <c r="E559" i="2"/>
  <c r="E621" i="2"/>
  <c r="E671" i="2"/>
  <c r="E724" i="2"/>
  <c r="E767" i="2"/>
  <c r="E812" i="2"/>
  <c r="E853" i="2"/>
  <c r="E887" i="2"/>
  <c r="E968" i="2"/>
  <c r="E971" i="2"/>
  <c r="E972" i="2"/>
  <c r="E973" i="2"/>
  <c r="E567" i="2"/>
  <c r="E623" i="2"/>
  <c r="E676" i="2"/>
  <c r="E727" i="2"/>
  <c r="E772" i="2"/>
  <c r="E813" i="2"/>
  <c r="E855" i="2"/>
  <c r="E888" i="2"/>
  <c r="E997" i="2"/>
  <c r="E948" i="2"/>
  <c r="E975" i="2"/>
  <c r="E573" i="2"/>
  <c r="E628" i="2"/>
  <c r="E679" i="2"/>
  <c r="E732" i="2"/>
  <c r="E773" i="2"/>
  <c r="E815" i="2"/>
  <c r="E919" i="2"/>
  <c r="E978" i="2"/>
  <c r="E575" i="2"/>
  <c r="E631" i="2"/>
  <c r="E684" i="2"/>
  <c r="E733" i="2"/>
  <c r="E775" i="2"/>
  <c r="E820" i="2"/>
  <c r="E861" i="2"/>
  <c r="E892" i="2"/>
  <c r="E920" i="2"/>
  <c r="E949" i="2"/>
  <c r="E583" i="2"/>
  <c r="E636" i="2"/>
  <c r="E685" i="2"/>
  <c r="E735" i="2"/>
  <c r="E780" i="2"/>
  <c r="E821" i="2"/>
  <c r="E863" i="2"/>
  <c r="E923" i="2"/>
  <c r="E588" i="2"/>
  <c r="E637" i="2"/>
  <c r="E687" i="2"/>
  <c r="E740" i="2"/>
  <c r="E781" i="2"/>
  <c r="E823" i="2"/>
  <c r="E868" i="2"/>
  <c r="E895" i="2"/>
  <c r="E951" i="2"/>
  <c r="E589" i="2"/>
  <c r="E639" i="2"/>
  <c r="E692" i="2"/>
  <c r="E741" i="2"/>
  <c r="E783" i="2"/>
  <c r="E828" i="2"/>
  <c r="E869" i="2"/>
  <c r="E900" i="2"/>
  <c r="E925" i="2"/>
  <c r="E952" i="2"/>
  <c r="E980" i="2"/>
  <c r="E893" i="2"/>
  <c r="P815" i="2"/>
  <c r="P607" i="2"/>
  <c r="P463" i="2"/>
  <c r="P351" i="2"/>
  <c r="P207" i="2"/>
  <c r="P994" i="2"/>
  <c r="P962" i="2"/>
  <c r="P914" i="2"/>
  <c r="P834" i="2"/>
  <c r="P993" i="2"/>
  <c r="P977" i="2"/>
  <c r="P961" i="2"/>
  <c r="P945" i="2"/>
  <c r="P929" i="2"/>
  <c r="P913" i="2"/>
  <c r="P897" i="2"/>
  <c r="P881" i="2"/>
  <c r="P865" i="2"/>
  <c r="P849" i="2"/>
  <c r="P833" i="2"/>
  <c r="P817" i="2"/>
  <c r="P801" i="2"/>
  <c r="P785" i="2"/>
  <c r="P769" i="2"/>
  <c r="P753" i="2"/>
  <c r="P737" i="2"/>
  <c r="P721" i="2"/>
  <c r="P705" i="2"/>
  <c r="P689" i="2"/>
  <c r="P673" i="2"/>
  <c r="P657" i="2"/>
  <c r="P641" i="2"/>
  <c r="P625" i="2"/>
  <c r="P609" i="2"/>
  <c r="P593" i="2"/>
  <c r="P577" i="2"/>
  <c r="P561" i="2"/>
  <c r="P545" i="2"/>
  <c r="P529" i="2"/>
  <c r="P513" i="2"/>
  <c r="P497" i="2"/>
  <c r="P481" i="2"/>
  <c r="P465" i="2"/>
  <c r="P449" i="2"/>
  <c r="P433" i="2"/>
  <c r="P417" i="2"/>
  <c r="P401" i="2"/>
  <c r="P385" i="2"/>
  <c r="P369" i="2"/>
  <c r="P353" i="2"/>
  <c r="P337" i="2"/>
  <c r="P321" i="2"/>
  <c r="P305" i="2"/>
  <c r="P289" i="2"/>
  <c r="P273" i="2"/>
  <c r="P257" i="2"/>
  <c r="P241" i="2"/>
  <c r="P225" i="2"/>
  <c r="P209" i="2"/>
  <c r="P193" i="2"/>
  <c r="P177" i="2"/>
  <c r="P161" i="2"/>
  <c r="P145" i="2"/>
  <c r="P129" i="2"/>
  <c r="P113" i="2"/>
  <c r="P97" i="2"/>
  <c r="P81" i="2"/>
  <c r="P65" i="2"/>
  <c r="P49" i="2"/>
  <c r="P33" i="2"/>
  <c r="P17" i="2"/>
  <c r="P991" i="2"/>
  <c r="P879" i="2"/>
  <c r="P735" i="2"/>
  <c r="P575" i="2"/>
  <c r="P415" i="2"/>
  <c r="P191" i="2"/>
  <c r="P946" i="2"/>
  <c r="P882" i="2"/>
  <c r="P992" i="2"/>
  <c r="P976" i="2"/>
  <c r="P960" i="2"/>
  <c r="P944" i="2"/>
  <c r="P928" i="2"/>
  <c r="P912" i="2"/>
  <c r="P896" i="2"/>
  <c r="P880" i="2"/>
  <c r="P864" i="2"/>
  <c r="P848" i="2"/>
  <c r="P832" i="2"/>
  <c r="P816" i="2"/>
  <c r="P800" i="2"/>
  <c r="P784" i="2"/>
  <c r="P768" i="2"/>
  <c r="P752" i="2"/>
  <c r="P736" i="2"/>
  <c r="P720" i="2"/>
  <c r="P704" i="2"/>
  <c r="P688" i="2"/>
  <c r="P672" i="2"/>
  <c r="P656" i="2"/>
  <c r="P640" i="2"/>
  <c r="P624" i="2"/>
  <c r="P608" i="2"/>
  <c r="P592" i="2"/>
  <c r="P576" i="2"/>
  <c r="P560" i="2"/>
  <c r="P544" i="2"/>
  <c r="P528" i="2"/>
  <c r="P512" i="2"/>
  <c r="P496" i="2"/>
  <c r="P480" i="2"/>
  <c r="P464" i="2"/>
  <c r="P448" i="2"/>
  <c r="P432" i="2"/>
  <c r="P416" i="2"/>
  <c r="P400" i="2"/>
  <c r="P384" i="2"/>
  <c r="P368" i="2"/>
  <c r="P352" i="2"/>
  <c r="P336" i="2"/>
  <c r="P320" i="2"/>
  <c r="P304" i="2"/>
  <c r="P288" i="2"/>
  <c r="P272" i="2"/>
  <c r="P256" i="2"/>
  <c r="P240" i="2"/>
  <c r="P224" i="2"/>
  <c r="P208" i="2"/>
  <c r="P192" i="2"/>
  <c r="P176" i="2"/>
  <c r="P160" i="2"/>
  <c r="P144" i="2"/>
  <c r="P128" i="2"/>
  <c r="P112" i="2"/>
  <c r="P96" i="2"/>
  <c r="P80" i="2"/>
  <c r="P64" i="2"/>
  <c r="P48" i="2"/>
  <c r="P32" i="2"/>
  <c r="E2" i="2"/>
  <c r="F15" i="1"/>
  <c r="N2" i="2"/>
  <c r="F6" i="1"/>
  <c r="D6" i="1"/>
  <c r="D15" i="2" s="1"/>
  <c r="D11" i="2"/>
  <c r="D30" i="2"/>
  <c r="D41" i="2"/>
  <c r="D42" i="2"/>
  <c r="D61" i="2"/>
  <c r="D70" i="2"/>
  <c r="D74" i="2"/>
  <c r="D80" i="2"/>
  <c r="D81" i="2"/>
  <c r="D90" i="2"/>
  <c r="D100" i="2"/>
  <c r="D101" i="2"/>
  <c r="D109" i="2"/>
  <c r="D119" i="2"/>
  <c r="D121" i="2"/>
  <c r="D129" i="2"/>
  <c r="D133" i="2"/>
  <c r="D139" i="2"/>
  <c r="D140" i="2"/>
  <c r="D149" i="2"/>
  <c r="D153" i="2"/>
  <c r="D158" i="2"/>
  <c r="D160" i="2"/>
  <c r="D169" i="2"/>
  <c r="D178" i="2"/>
  <c r="D180" i="2"/>
  <c r="D188" i="2"/>
  <c r="D198" i="2"/>
  <c r="D199" i="2"/>
  <c r="D208" i="2"/>
  <c r="D212" i="2"/>
  <c r="D218" i="2"/>
  <c r="D219" i="2"/>
  <c r="D228" i="2"/>
  <c r="D231" i="2"/>
  <c r="D237" i="2"/>
  <c r="D238" i="2"/>
  <c r="D247" i="2"/>
  <c r="D257" i="2"/>
  <c r="D258" i="2"/>
  <c r="D267" i="2"/>
  <c r="D277" i="2"/>
  <c r="D278" i="2"/>
  <c r="D281" i="2"/>
  <c r="D286" i="2"/>
  <c r="D290" i="2"/>
  <c r="D297" i="2"/>
  <c r="D298" i="2"/>
  <c r="D300" i="2"/>
  <c r="D306" i="2"/>
  <c r="D310" i="2"/>
  <c r="D316" i="2"/>
  <c r="D320" i="2"/>
  <c r="D326" i="2"/>
  <c r="D330" i="2"/>
  <c r="D337" i="2"/>
  <c r="D340" i="2"/>
  <c r="D346" i="2"/>
  <c r="D347" i="2"/>
  <c r="D349" i="2"/>
  <c r="D356" i="2"/>
  <c r="D357" i="2"/>
  <c r="D359" i="2"/>
  <c r="D365" i="2"/>
  <c r="D366" i="2"/>
  <c r="D369" i="2"/>
  <c r="D377" i="2"/>
  <c r="D379" i="2"/>
  <c r="D381" i="2"/>
  <c r="D386" i="2"/>
  <c r="D389" i="2"/>
  <c r="D395" i="2"/>
  <c r="D396" i="2"/>
  <c r="D398" i="2"/>
  <c r="D401" i="2"/>
  <c r="D405" i="2"/>
  <c r="D406" i="2"/>
  <c r="D409" i="2"/>
  <c r="D414" i="2"/>
  <c r="D416" i="2"/>
  <c r="D421" i="2"/>
  <c r="D425" i="2"/>
  <c r="D426" i="2"/>
  <c r="D434" i="2"/>
  <c r="D436" i="2"/>
  <c r="D438" i="2"/>
  <c r="D441" i="2"/>
  <c r="D444" i="2"/>
  <c r="D445" i="2"/>
  <c r="D448" i="2"/>
  <c r="D454" i="2"/>
  <c r="D455" i="2"/>
  <c r="D458" i="2"/>
  <c r="D460" i="2"/>
  <c r="D465" i="2"/>
  <c r="D468" i="2"/>
  <c r="D474" i="2"/>
  <c r="D477" i="2"/>
  <c r="D480" i="2"/>
  <c r="D484" i="2"/>
  <c r="D485" i="2"/>
  <c r="D487" i="2"/>
  <c r="D493" i="2"/>
  <c r="D494" i="2"/>
  <c r="D497" i="2"/>
  <c r="D500" i="2"/>
  <c r="D503" i="2"/>
  <c r="D505" i="2"/>
  <c r="D513" i="2"/>
  <c r="D514" i="2"/>
  <c r="D517" i="2"/>
  <c r="D519" i="2"/>
  <c r="D523" i="2"/>
  <c r="D524" i="2"/>
  <c r="D526" i="2"/>
  <c r="D533" i="2"/>
  <c r="D534" i="2"/>
  <c r="D537" i="2"/>
  <c r="D538" i="2"/>
  <c r="D539" i="2"/>
  <c r="D542" i="2"/>
  <c r="D544" i="2"/>
  <c r="D553" i="2"/>
  <c r="D554" i="2"/>
  <c r="D556" i="2"/>
  <c r="D558" i="2"/>
  <c r="D562" i="2"/>
  <c r="D564" i="2"/>
  <c r="D566" i="2"/>
  <c r="D572" i="2"/>
  <c r="D573" i="2"/>
  <c r="D576" i="2"/>
  <c r="D577" i="2"/>
  <c r="D578" i="2"/>
  <c r="D582" i="2"/>
  <c r="D583" i="2"/>
  <c r="D592" i="2"/>
  <c r="D593" i="2"/>
  <c r="D596" i="2"/>
  <c r="D598" i="2"/>
  <c r="D602" i="2"/>
  <c r="D603" i="2"/>
  <c r="D605" i="2"/>
  <c r="D612" i="2"/>
  <c r="D613" i="2"/>
  <c r="D615" i="2"/>
  <c r="D617" i="2"/>
  <c r="D618" i="2"/>
  <c r="D621" i="2"/>
  <c r="D622" i="2"/>
  <c r="D631" i="2"/>
  <c r="D633" i="2"/>
  <c r="D635" i="2"/>
  <c r="D637" i="2"/>
  <c r="D641" i="2"/>
  <c r="D642" i="2"/>
  <c r="D645" i="2"/>
  <c r="D651" i="2"/>
  <c r="D652" i="2"/>
  <c r="D654" i="2"/>
  <c r="D656" i="2"/>
  <c r="D657" i="2"/>
  <c r="D661" i="2"/>
  <c r="D662" i="2"/>
  <c r="D670" i="2"/>
  <c r="D672" i="2"/>
  <c r="D674" i="2"/>
  <c r="D677" i="2"/>
  <c r="D681" i="2"/>
  <c r="D682" i="2"/>
  <c r="D684" i="2"/>
  <c r="D690" i="2"/>
  <c r="D692" i="2"/>
  <c r="D694" i="2"/>
  <c r="D695" i="2"/>
  <c r="D697" i="2"/>
  <c r="D700" i="2"/>
  <c r="D701" i="2"/>
  <c r="D710" i="2"/>
  <c r="D711" i="2"/>
  <c r="D714" i="2"/>
  <c r="D716" i="2"/>
  <c r="D720" i="2"/>
  <c r="D721" i="2"/>
  <c r="D724" i="2"/>
  <c r="D730" i="2"/>
  <c r="D731" i="2"/>
  <c r="D733" i="2"/>
  <c r="D734" i="2"/>
  <c r="D736" i="2"/>
  <c r="D740" i="2"/>
  <c r="D741" i="2"/>
  <c r="D749" i="2"/>
  <c r="D750" i="2"/>
  <c r="D753" i="2"/>
  <c r="D756" i="2"/>
  <c r="D759" i="2"/>
  <c r="D761" i="2"/>
  <c r="D763" i="2"/>
  <c r="D769" i="2"/>
  <c r="D770" i="2"/>
  <c r="D773" i="2"/>
  <c r="D774" i="2"/>
  <c r="D775" i="2"/>
  <c r="D779" i="2"/>
  <c r="D780" i="2"/>
  <c r="D789" i="2"/>
  <c r="D790" i="2"/>
  <c r="D793" i="2"/>
  <c r="D795" i="2"/>
  <c r="D798" i="2"/>
  <c r="D800" i="2"/>
  <c r="D802" i="2"/>
  <c r="D809" i="2"/>
  <c r="D810" i="2"/>
  <c r="D812" i="2"/>
  <c r="D813" i="2"/>
  <c r="D814" i="2"/>
  <c r="D818" i="2"/>
  <c r="D820" i="2"/>
  <c r="D828" i="2"/>
  <c r="D829" i="2"/>
  <c r="D832" i="2"/>
  <c r="D834" i="2"/>
  <c r="D838" i="2"/>
  <c r="D839" i="2"/>
  <c r="D842" i="2"/>
  <c r="D848" i="2"/>
  <c r="D849" i="2"/>
  <c r="D852" i="2"/>
  <c r="D853" i="2"/>
  <c r="D854" i="2"/>
  <c r="D858" i="2"/>
  <c r="D859" i="2"/>
  <c r="D868" i="2"/>
  <c r="D869" i="2"/>
  <c r="D871" i="2"/>
  <c r="D874" i="2"/>
  <c r="D877" i="2"/>
  <c r="D878" i="2"/>
  <c r="D881" i="2"/>
  <c r="D887" i="2"/>
  <c r="D889" i="2"/>
  <c r="D891" i="2"/>
  <c r="D892" i="2"/>
  <c r="D893" i="2"/>
  <c r="D897" i="2"/>
  <c r="D898" i="2"/>
  <c r="D907" i="2"/>
  <c r="D908" i="2"/>
  <c r="D910" i="2"/>
  <c r="D913" i="2"/>
  <c r="D917" i="2"/>
  <c r="D918" i="2"/>
  <c r="D921" i="2"/>
  <c r="D926" i="2"/>
  <c r="D928" i="2"/>
  <c r="D930" i="2"/>
  <c r="D932" i="2"/>
  <c r="D933" i="2"/>
  <c r="D937" i="2"/>
  <c r="D938" i="2"/>
  <c r="D946" i="2"/>
  <c r="D948" i="2"/>
  <c r="D950" i="2"/>
  <c r="D953" i="2"/>
  <c r="D956" i="2"/>
  <c r="D957" i="2"/>
  <c r="D960" i="2"/>
  <c r="D966" i="2"/>
  <c r="D967" i="2"/>
  <c r="D970" i="2"/>
  <c r="D971" i="2"/>
  <c r="D972" i="2"/>
  <c r="D976" i="2"/>
  <c r="D977" i="2"/>
  <c r="D986" i="2"/>
  <c r="D987" i="2"/>
  <c r="D989" i="2"/>
  <c r="D992" i="2"/>
  <c r="D996" i="2"/>
  <c r="D997" i="2"/>
  <c r="D999" i="2"/>
  <c r="O946" i="2"/>
  <c r="O968" i="2"/>
  <c r="O989" i="2"/>
  <c r="D15" i="1"/>
  <c r="O31" i="2" s="1"/>
  <c r="B100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2" i="2"/>
  <c r="F13" i="1"/>
  <c r="D13" i="1"/>
  <c r="F14" i="1"/>
  <c r="D14" i="1"/>
  <c r="F12" i="1"/>
  <c r="D12" i="1"/>
  <c r="F11" i="1"/>
  <c r="D11" i="1"/>
  <c r="F10" i="1"/>
  <c r="D10" i="1"/>
  <c r="F9" i="1"/>
  <c r="D9" i="1"/>
  <c r="F8" i="1"/>
  <c r="D8" i="1"/>
  <c r="D7" i="1"/>
  <c r="F5" i="1"/>
  <c r="D5" i="1"/>
  <c r="O992" i="2" l="1"/>
  <c r="O970" i="2"/>
  <c r="O949" i="2"/>
  <c r="O928" i="2"/>
  <c r="O906" i="2"/>
  <c r="O885" i="2"/>
  <c r="O864" i="2"/>
  <c r="O842" i="2"/>
  <c r="O821" i="2"/>
  <c r="O800" i="2"/>
  <c r="O775" i="2"/>
  <c r="O749" i="2"/>
  <c r="O722" i="2"/>
  <c r="O697" i="2"/>
  <c r="O672" i="2"/>
  <c r="O647" i="2"/>
  <c r="O621" i="2"/>
  <c r="O594" i="2"/>
  <c r="O569" i="2"/>
  <c r="O544" i="2"/>
  <c r="O514" i="2"/>
  <c r="O478" i="2"/>
  <c r="O442" i="2"/>
  <c r="O409" i="2"/>
  <c r="O376" i="2"/>
  <c r="O343" i="2"/>
  <c r="O309" i="2"/>
  <c r="O271" i="2"/>
  <c r="O234" i="2"/>
  <c r="O196" i="2"/>
  <c r="O154" i="2"/>
  <c r="O103" i="2"/>
  <c r="O23" i="2"/>
  <c r="O991" i="2"/>
  <c r="O969" i="2"/>
  <c r="O947" i="2"/>
  <c r="O927" i="2"/>
  <c r="O905" i="2"/>
  <c r="O883" i="2"/>
  <c r="O863" i="2"/>
  <c r="O841" i="2"/>
  <c r="O819" i="2"/>
  <c r="O799" i="2"/>
  <c r="O773" i="2"/>
  <c r="O746" i="2"/>
  <c r="O721" i="2"/>
  <c r="O696" i="2"/>
  <c r="O671" i="2"/>
  <c r="O645" i="2"/>
  <c r="O618" i="2"/>
  <c r="O593" i="2"/>
  <c r="O568" i="2"/>
  <c r="O543" i="2"/>
  <c r="O510" i="2"/>
  <c r="O474" i="2"/>
  <c r="O441" i="2"/>
  <c r="O408" i="2"/>
  <c r="O375" i="2"/>
  <c r="O341" i="2"/>
  <c r="O303" i="2"/>
  <c r="O270" i="2"/>
  <c r="O233" i="2"/>
  <c r="O194" i="2"/>
  <c r="O152" i="2"/>
  <c r="O100" i="2"/>
  <c r="O20" i="2"/>
  <c r="O925" i="2"/>
  <c r="O904" i="2"/>
  <c r="O882" i="2"/>
  <c r="O861" i="2"/>
  <c r="O840" i="2"/>
  <c r="O818" i="2"/>
  <c r="O797" i="2"/>
  <c r="O770" i="2"/>
  <c r="O745" i="2"/>
  <c r="O720" i="2"/>
  <c r="O695" i="2"/>
  <c r="O669" i="2"/>
  <c r="O642" i="2"/>
  <c r="O617" i="2"/>
  <c r="O592" i="2"/>
  <c r="O567" i="2"/>
  <c r="O541" i="2"/>
  <c r="O506" i="2"/>
  <c r="O473" i="2"/>
  <c r="O440" i="2"/>
  <c r="O407" i="2"/>
  <c r="O373" i="2"/>
  <c r="O335" i="2"/>
  <c r="O302" i="2"/>
  <c r="O269" i="2"/>
  <c r="O232" i="2"/>
  <c r="O189" i="2"/>
  <c r="O148" i="2"/>
  <c r="O95" i="2"/>
  <c r="O15" i="2"/>
  <c r="O987" i="2"/>
  <c r="O967" i="2"/>
  <c r="O945" i="2"/>
  <c r="O923" i="2"/>
  <c r="O903" i="2"/>
  <c r="O881" i="2"/>
  <c r="O859" i="2"/>
  <c r="O839" i="2"/>
  <c r="O817" i="2"/>
  <c r="O794" i="2"/>
  <c r="O769" i="2"/>
  <c r="O744" i="2"/>
  <c r="O719" i="2"/>
  <c r="O693" i="2"/>
  <c r="O666" i="2"/>
  <c r="O641" i="2"/>
  <c r="O616" i="2"/>
  <c r="O591" i="2"/>
  <c r="O565" i="2"/>
  <c r="O537" i="2"/>
  <c r="O505" i="2"/>
  <c r="O472" i="2"/>
  <c r="O439" i="2"/>
  <c r="O405" i="2"/>
  <c r="O367" i="2"/>
  <c r="O334" i="2"/>
  <c r="O301" i="2"/>
  <c r="O268" i="2"/>
  <c r="O229" i="2"/>
  <c r="O185" i="2"/>
  <c r="O146" i="2"/>
  <c r="O92" i="2"/>
  <c r="O7" i="2"/>
  <c r="O986" i="2"/>
  <c r="O965" i="2"/>
  <c r="O944" i="2"/>
  <c r="O922" i="2"/>
  <c r="O901" i="2"/>
  <c r="O880" i="2"/>
  <c r="O858" i="2"/>
  <c r="O837" i="2"/>
  <c r="O816" i="2"/>
  <c r="O793" i="2"/>
  <c r="O768" i="2"/>
  <c r="O743" i="2"/>
  <c r="O717" i="2"/>
  <c r="O690" i="2"/>
  <c r="O665" i="2"/>
  <c r="O640" i="2"/>
  <c r="O615" i="2"/>
  <c r="O589" i="2"/>
  <c r="O562" i="2"/>
  <c r="O536" i="2"/>
  <c r="O504" i="2"/>
  <c r="O471" i="2"/>
  <c r="O437" i="2"/>
  <c r="O399" i="2"/>
  <c r="O366" i="2"/>
  <c r="O333" i="2"/>
  <c r="O300" i="2"/>
  <c r="O265" i="2"/>
  <c r="O223" i="2"/>
  <c r="O184" i="2"/>
  <c r="O143" i="2"/>
  <c r="O87" i="2"/>
  <c r="O4" i="2"/>
  <c r="D60" i="2"/>
  <c r="O985" i="2"/>
  <c r="O963" i="2"/>
  <c r="O943" i="2"/>
  <c r="O921" i="2"/>
  <c r="O899" i="2"/>
  <c r="O879" i="2"/>
  <c r="O857" i="2"/>
  <c r="O835" i="2"/>
  <c r="O815" i="2"/>
  <c r="O792" i="2"/>
  <c r="O767" i="2"/>
  <c r="O741" i="2"/>
  <c r="O714" i="2"/>
  <c r="O689" i="2"/>
  <c r="O664" i="2"/>
  <c r="O639" i="2"/>
  <c r="O613" i="2"/>
  <c r="O586" i="2"/>
  <c r="O561" i="2"/>
  <c r="O535" i="2"/>
  <c r="O503" i="2"/>
  <c r="O469" i="2"/>
  <c r="O431" i="2"/>
  <c r="O398" i="2"/>
  <c r="O365" i="2"/>
  <c r="O332" i="2"/>
  <c r="O297" i="2"/>
  <c r="O262" i="2"/>
  <c r="O221" i="2"/>
  <c r="O183" i="2"/>
  <c r="O141" i="2"/>
  <c r="O84" i="2"/>
  <c r="D50" i="2"/>
  <c r="O984" i="2"/>
  <c r="O962" i="2"/>
  <c r="O941" i="2"/>
  <c r="O920" i="2"/>
  <c r="O898" i="2"/>
  <c r="O877" i="2"/>
  <c r="O856" i="2"/>
  <c r="O834" i="2"/>
  <c r="O813" i="2"/>
  <c r="O791" i="2"/>
  <c r="O765" i="2"/>
  <c r="O738" i="2"/>
  <c r="O713" i="2"/>
  <c r="O688" i="2"/>
  <c r="O663" i="2"/>
  <c r="O637" i="2"/>
  <c r="O610" i="2"/>
  <c r="O585" i="2"/>
  <c r="O560" i="2"/>
  <c r="O534" i="2"/>
  <c r="O501" i="2"/>
  <c r="O463" i="2"/>
  <c r="O430" i="2"/>
  <c r="O397" i="2"/>
  <c r="O364" i="2"/>
  <c r="O329" i="2"/>
  <c r="O294" i="2"/>
  <c r="O261" i="2"/>
  <c r="O220" i="2"/>
  <c r="O181" i="2"/>
  <c r="O138" i="2"/>
  <c r="O79" i="2"/>
  <c r="O2" i="2"/>
  <c r="O983" i="2"/>
  <c r="O961" i="2"/>
  <c r="O939" i="2"/>
  <c r="O919" i="2"/>
  <c r="O897" i="2"/>
  <c r="O875" i="2"/>
  <c r="O855" i="2"/>
  <c r="O833" i="2"/>
  <c r="O811" i="2"/>
  <c r="O789" i="2"/>
  <c r="O762" i="2"/>
  <c r="O737" i="2"/>
  <c r="O712" i="2"/>
  <c r="O687" i="2"/>
  <c r="O661" i="2"/>
  <c r="O634" i="2"/>
  <c r="O609" i="2"/>
  <c r="O584" i="2"/>
  <c r="O559" i="2"/>
  <c r="O532" i="2"/>
  <c r="O495" i="2"/>
  <c r="O462" i="2"/>
  <c r="O429" i="2"/>
  <c r="O396" i="2"/>
  <c r="O361" i="2"/>
  <c r="O326" i="2"/>
  <c r="O293" i="2"/>
  <c r="O260" i="2"/>
  <c r="O218" i="2"/>
  <c r="O178" i="2"/>
  <c r="O135" i="2"/>
  <c r="O71" i="2"/>
  <c r="O1002" i="2"/>
  <c r="O981" i="2"/>
  <c r="O960" i="2"/>
  <c r="O917" i="2"/>
  <c r="O896" i="2"/>
  <c r="O874" i="2"/>
  <c r="O853" i="2"/>
  <c r="O832" i="2"/>
  <c r="O810" i="2"/>
  <c r="O786" i="2"/>
  <c r="O761" i="2"/>
  <c r="O736" i="2"/>
  <c r="O711" i="2"/>
  <c r="O685" i="2"/>
  <c r="O658" i="2"/>
  <c r="O633" i="2"/>
  <c r="O608" i="2"/>
  <c r="O583" i="2"/>
  <c r="O557" i="2"/>
  <c r="O527" i="2"/>
  <c r="O494" i="2"/>
  <c r="O461" i="2"/>
  <c r="O428" i="2"/>
  <c r="O393" i="2"/>
  <c r="O358" i="2"/>
  <c r="O325" i="2"/>
  <c r="O292" i="2"/>
  <c r="O258" i="2"/>
  <c r="O216" i="2"/>
  <c r="O172" i="2"/>
  <c r="O133" i="2"/>
  <c r="O68" i="2"/>
  <c r="O938" i="2"/>
  <c r="O1001" i="2"/>
  <c r="O979" i="2"/>
  <c r="O959" i="2"/>
  <c r="O937" i="2"/>
  <c r="O915" i="2"/>
  <c r="O895" i="2"/>
  <c r="O873" i="2"/>
  <c r="O851" i="2"/>
  <c r="O831" i="2"/>
  <c r="O809" i="2"/>
  <c r="O785" i="2"/>
  <c r="O760" i="2"/>
  <c r="O735" i="2"/>
  <c r="O709" i="2"/>
  <c r="O682" i="2"/>
  <c r="O657" i="2"/>
  <c r="O632" i="2"/>
  <c r="O607" i="2"/>
  <c r="O581" i="2"/>
  <c r="O554" i="2"/>
  <c r="O526" i="2"/>
  <c r="O493" i="2"/>
  <c r="O460" i="2"/>
  <c r="O425" i="2"/>
  <c r="O390" i="2"/>
  <c r="O357" i="2"/>
  <c r="O324" i="2"/>
  <c r="O290" i="2"/>
  <c r="O253" i="2"/>
  <c r="O212" i="2"/>
  <c r="O170" i="2"/>
  <c r="O132" i="2"/>
  <c r="O63" i="2"/>
  <c r="D990" i="2"/>
  <c r="D951" i="2"/>
  <c r="D912" i="2"/>
  <c r="D873" i="2"/>
  <c r="D833" i="2"/>
  <c r="D794" i="2"/>
  <c r="D754" i="2"/>
  <c r="D715" i="2"/>
  <c r="D676" i="2"/>
  <c r="D636" i="2"/>
  <c r="D597" i="2"/>
  <c r="D557" i="2"/>
  <c r="D518" i="2"/>
  <c r="D475" i="2"/>
  <c r="D428" i="2"/>
  <c r="D385" i="2"/>
  <c r="D336" i="2"/>
  <c r="D270" i="2"/>
  <c r="D192" i="2"/>
  <c r="D113" i="2"/>
  <c r="D21" i="2"/>
  <c r="O1000" i="2"/>
  <c r="O978" i="2"/>
  <c r="O957" i="2"/>
  <c r="O936" i="2"/>
  <c r="O914" i="2"/>
  <c r="O893" i="2"/>
  <c r="O872" i="2"/>
  <c r="O850" i="2"/>
  <c r="O829" i="2"/>
  <c r="O808" i="2"/>
  <c r="O784" i="2"/>
  <c r="O759" i="2"/>
  <c r="O733" i="2"/>
  <c r="O706" i="2"/>
  <c r="O681" i="2"/>
  <c r="O656" i="2"/>
  <c r="O631" i="2"/>
  <c r="O605" i="2"/>
  <c r="O578" i="2"/>
  <c r="O553" i="2"/>
  <c r="O525" i="2"/>
  <c r="O492" i="2"/>
  <c r="O457" i="2"/>
  <c r="O422" i="2"/>
  <c r="O389" i="2"/>
  <c r="O356" i="2"/>
  <c r="O322" i="2"/>
  <c r="O286" i="2"/>
  <c r="O249" i="2"/>
  <c r="O210" i="2"/>
  <c r="O169" i="2"/>
  <c r="O127" i="2"/>
  <c r="O55" i="2"/>
  <c r="O999" i="2"/>
  <c r="O977" i="2"/>
  <c r="O955" i="2"/>
  <c r="O935" i="2"/>
  <c r="O913" i="2"/>
  <c r="O891" i="2"/>
  <c r="O871" i="2"/>
  <c r="O849" i="2"/>
  <c r="O827" i="2"/>
  <c r="O807" i="2"/>
  <c r="O783" i="2"/>
  <c r="O757" i="2"/>
  <c r="O730" i="2"/>
  <c r="O705" i="2"/>
  <c r="O680" i="2"/>
  <c r="O655" i="2"/>
  <c r="O629" i="2"/>
  <c r="O602" i="2"/>
  <c r="O577" i="2"/>
  <c r="O552" i="2"/>
  <c r="O524" i="2"/>
  <c r="O489" i="2"/>
  <c r="O454" i="2"/>
  <c r="O421" i="2"/>
  <c r="O388" i="2"/>
  <c r="O354" i="2"/>
  <c r="O318" i="2"/>
  <c r="O282" i="2"/>
  <c r="O248" i="2"/>
  <c r="O207" i="2"/>
  <c r="O168" i="2"/>
  <c r="O124" i="2"/>
  <c r="O52" i="2"/>
  <c r="O997" i="2"/>
  <c r="O976" i="2"/>
  <c r="O954" i="2"/>
  <c r="O933" i="2"/>
  <c r="O912" i="2"/>
  <c r="O890" i="2"/>
  <c r="O869" i="2"/>
  <c r="O848" i="2"/>
  <c r="O826" i="2"/>
  <c r="O805" i="2"/>
  <c r="O781" i="2"/>
  <c r="O754" i="2"/>
  <c r="O729" i="2"/>
  <c r="O704" i="2"/>
  <c r="O679" i="2"/>
  <c r="O653" i="2"/>
  <c r="O626" i="2"/>
  <c r="O601" i="2"/>
  <c r="O576" i="2"/>
  <c r="O551" i="2"/>
  <c r="O521" i="2"/>
  <c r="O486" i="2"/>
  <c r="O453" i="2"/>
  <c r="O420" i="2"/>
  <c r="O386" i="2"/>
  <c r="O350" i="2"/>
  <c r="O314" i="2"/>
  <c r="O281" i="2"/>
  <c r="O247" i="2"/>
  <c r="O205" i="2"/>
  <c r="O165" i="2"/>
  <c r="O119" i="2"/>
  <c r="O47" i="2"/>
  <c r="O995" i="2"/>
  <c r="O975" i="2"/>
  <c r="O953" i="2"/>
  <c r="O931" i="2"/>
  <c r="O911" i="2"/>
  <c r="O889" i="2"/>
  <c r="O867" i="2"/>
  <c r="O847" i="2"/>
  <c r="O825" i="2"/>
  <c r="O803" i="2"/>
  <c r="O778" i="2"/>
  <c r="O753" i="2"/>
  <c r="O728" i="2"/>
  <c r="O703" i="2"/>
  <c r="O677" i="2"/>
  <c r="O650" i="2"/>
  <c r="O625" i="2"/>
  <c r="O600" i="2"/>
  <c r="O575" i="2"/>
  <c r="O549" i="2"/>
  <c r="O518" i="2"/>
  <c r="O485" i="2"/>
  <c r="O452" i="2"/>
  <c r="O418" i="2"/>
  <c r="O382" i="2"/>
  <c r="O346" i="2"/>
  <c r="O313" i="2"/>
  <c r="O280" i="2"/>
  <c r="O245" i="2"/>
  <c r="O202" i="2"/>
  <c r="O159" i="2"/>
  <c r="O116" i="2"/>
  <c r="O39" i="2"/>
  <c r="D980" i="2"/>
  <c r="D940" i="2"/>
  <c r="D901" i="2"/>
  <c r="D861" i="2"/>
  <c r="D822" i="2"/>
  <c r="D782" i="2"/>
  <c r="D743" i="2"/>
  <c r="D704" i="2"/>
  <c r="D665" i="2"/>
  <c r="D625" i="2"/>
  <c r="D586" i="2"/>
  <c r="D546" i="2"/>
  <c r="D507" i="2"/>
  <c r="D464" i="2"/>
  <c r="D418" i="2"/>
  <c r="D375" i="2"/>
  <c r="D317" i="2"/>
  <c r="D251" i="2"/>
  <c r="D172" i="2"/>
  <c r="D93" i="2"/>
  <c r="O994" i="2"/>
  <c r="O973" i="2"/>
  <c r="O952" i="2"/>
  <c r="O930" i="2"/>
  <c r="O909" i="2"/>
  <c r="O888" i="2"/>
  <c r="O866" i="2"/>
  <c r="O845" i="2"/>
  <c r="O824" i="2"/>
  <c r="O802" i="2"/>
  <c r="O777" i="2"/>
  <c r="O752" i="2"/>
  <c r="O727" i="2"/>
  <c r="O701" i="2"/>
  <c r="O674" i="2"/>
  <c r="O649" i="2"/>
  <c r="O624" i="2"/>
  <c r="O599" i="2"/>
  <c r="O573" i="2"/>
  <c r="O546" i="2"/>
  <c r="O517" i="2"/>
  <c r="O484" i="2"/>
  <c r="O450" i="2"/>
  <c r="O414" i="2"/>
  <c r="O378" i="2"/>
  <c r="O345" i="2"/>
  <c r="O312" i="2"/>
  <c r="O279" i="2"/>
  <c r="O242" i="2"/>
  <c r="O199" i="2"/>
  <c r="O157" i="2"/>
  <c r="O111" i="2"/>
  <c r="O36" i="2"/>
  <c r="O993" i="2"/>
  <c r="O971" i="2"/>
  <c r="O951" i="2"/>
  <c r="O929" i="2"/>
  <c r="O907" i="2"/>
  <c r="O887" i="2"/>
  <c r="O865" i="2"/>
  <c r="O843" i="2"/>
  <c r="O823" i="2"/>
  <c r="O801" i="2"/>
  <c r="O776" i="2"/>
  <c r="O751" i="2"/>
  <c r="O725" i="2"/>
  <c r="O698" i="2"/>
  <c r="O673" i="2"/>
  <c r="O648" i="2"/>
  <c r="O623" i="2"/>
  <c r="O597" i="2"/>
  <c r="O570" i="2"/>
  <c r="O545" i="2"/>
  <c r="O516" i="2"/>
  <c r="O482" i="2"/>
  <c r="O446" i="2"/>
  <c r="O410" i="2"/>
  <c r="O377" i="2"/>
  <c r="O344" i="2"/>
  <c r="O311" i="2"/>
  <c r="O277" i="2"/>
  <c r="O236" i="2"/>
  <c r="O197" i="2"/>
  <c r="O156" i="2"/>
  <c r="O108" i="2"/>
  <c r="J4" i="2"/>
  <c r="J12" i="2"/>
  <c r="J28" i="2"/>
  <c r="J44" i="2"/>
  <c r="J60" i="2"/>
  <c r="J76" i="2"/>
  <c r="J92" i="2"/>
  <c r="J108" i="2"/>
  <c r="J124" i="2"/>
  <c r="J140" i="2"/>
  <c r="J13" i="2"/>
  <c r="J18" i="2"/>
  <c r="J34" i="2"/>
  <c r="J50" i="2"/>
  <c r="J66" i="2"/>
  <c r="J82" i="2"/>
  <c r="J98" i="2"/>
  <c r="J114" i="2"/>
  <c r="J130" i="2"/>
  <c r="J146" i="2"/>
  <c r="J162" i="2"/>
  <c r="J178" i="2"/>
  <c r="J194" i="2"/>
  <c r="J210" i="2"/>
  <c r="J226" i="2"/>
  <c r="J242" i="2"/>
  <c r="J258" i="2"/>
  <c r="J274" i="2"/>
  <c r="J290" i="2"/>
  <c r="J306" i="2"/>
  <c r="J322" i="2"/>
  <c r="J338" i="2"/>
  <c r="J354" i="2"/>
  <c r="J370" i="2"/>
  <c r="J386" i="2"/>
  <c r="J402" i="2"/>
  <c r="J418" i="2"/>
  <c r="J434" i="2"/>
  <c r="J450" i="2"/>
  <c r="J466" i="2"/>
  <c r="J482" i="2"/>
  <c r="J498" i="2"/>
  <c r="J514" i="2"/>
  <c r="J530" i="2"/>
  <c r="J546" i="2"/>
  <c r="J562" i="2"/>
  <c r="J578" i="2"/>
  <c r="J594" i="2"/>
  <c r="J610" i="2"/>
  <c r="J626" i="2"/>
  <c r="J642" i="2"/>
  <c r="J658" i="2"/>
  <c r="J674" i="2"/>
  <c r="J690" i="2"/>
  <c r="J706" i="2"/>
  <c r="J722" i="2"/>
  <c r="J738" i="2"/>
  <c r="J754" i="2"/>
  <c r="J770" i="2"/>
  <c r="J786" i="2"/>
  <c r="J802" i="2"/>
  <c r="J818" i="2"/>
  <c r="J834" i="2"/>
  <c r="J850" i="2"/>
  <c r="J866" i="2"/>
  <c r="J882" i="2"/>
  <c r="J898" i="2"/>
  <c r="J914" i="2"/>
  <c r="J930" i="2"/>
  <c r="J8" i="2"/>
  <c r="J24" i="2"/>
  <c r="J40" i="2"/>
  <c r="J56" i="2"/>
  <c r="J72" i="2"/>
  <c r="J88" i="2"/>
  <c r="J104" i="2"/>
  <c r="J120" i="2"/>
  <c r="J10" i="2"/>
  <c r="J26" i="2"/>
  <c r="J42" i="2"/>
  <c r="J58" i="2"/>
  <c r="J74" i="2"/>
  <c r="J90" i="2"/>
  <c r="J106" i="2"/>
  <c r="J122" i="2"/>
  <c r="J138" i="2"/>
  <c r="J154" i="2"/>
  <c r="J170" i="2"/>
  <c r="J186" i="2"/>
  <c r="J202" i="2"/>
  <c r="J218" i="2"/>
  <c r="J234" i="2"/>
  <c r="J250" i="2"/>
  <c r="J266" i="2"/>
  <c r="J282" i="2"/>
  <c r="J298" i="2"/>
  <c r="J314" i="2"/>
  <c r="J330" i="2"/>
  <c r="J346" i="2"/>
  <c r="J362" i="2"/>
  <c r="J378" i="2"/>
  <c r="J394" i="2"/>
  <c r="J410" i="2"/>
  <c r="J426" i="2"/>
  <c r="J442" i="2"/>
  <c r="J458" i="2"/>
  <c r="J474" i="2"/>
  <c r="J490" i="2"/>
  <c r="J506" i="2"/>
  <c r="J522" i="2"/>
  <c r="J538" i="2"/>
  <c r="J554" i="2"/>
  <c r="J570" i="2"/>
  <c r="J586" i="2"/>
  <c r="J602" i="2"/>
  <c r="J618" i="2"/>
  <c r="J634" i="2"/>
  <c r="J650" i="2"/>
  <c r="J666" i="2"/>
  <c r="J682" i="2"/>
  <c r="J698" i="2"/>
  <c r="J714" i="2"/>
  <c r="J730" i="2"/>
  <c r="J746" i="2"/>
  <c r="J762" i="2"/>
  <c r="J778" i="2"/>
  <c r="J794" i="2"/>
  <c r="J810" i="2"/>
  <c r="J826" i="2"/>
  <c r="J842" i="2"/>
  <c r="J858" i="2"/>
  <c r="J874" i="2"/>
  <c r="J890" i="2"/>
  <c r="J906" i="2"/>
  <c r="J7" i="2"/>
  <c r="J31" i="2"/>
  <c r="J52" i="2"/>
  <c r="J73" i="2"/>
  <c r="J95" i="2"/>
  <c r="J116" i="2"/>
  <c r="J136" i="2"/>
  <c r="J156" i="2"/>
  <c r="J174" i="2"/>
  <c r="J192" i="2"/>
  <c r="J211" i="2"/>
  <c r="J229" i="2"/>
  <c r="J247" i="2"/>
  <c r="J265" i="2"/>
  <c r="J284" i="2"/>
  <c r="J302" i="2"/>
  <c r="J320" i="2"/>
  <c r="J339" i="2"/>
  <c r="J357" i="2"/>
  <c r="J375" i="2"/>
  <c r="J393" i="2"/>
  <c r="J412" i="2"/>
  <c r="J430" i="2"/>
  <c r="J448" i="2"/>
  <c r="J467" i="2"/>
  <c r="J485" i="2"/>
  <c r="J503" i="2"/>
  <c r="J521" i="2"/>
  <c r="J540" i="2"/>
  <c r="J558" i="2"/>
  <c r="J576" i="2"/>
  <c r="J595" i="2"/>
  <c r="J613" i="2"/>
  <c r="J631" i="2"/>
  <c r="J649" i="2"/>
  <c r="J668" i="2"/>
  <c r="J686" i="2"/>
  <c r="J704" i="2"/>
  <c r="J723" i="2"/>
  <c r="J741" i="2"/>
  <c r="J759" i="2"/>
  <c r="J777" i="2"/>
  <c r="J796" i="2"/>
  <c r="J814" i="2"/>
  <c r="J832" i="2"/>
  <c r="J851" i="2"/>
  <c r="J869" i="2"/>
  <c r="J887" i="2"/>
  <c r="J905" i="2"/>
  <c r="J9" i="2"/>
  <c r="J32" i="2"/>
  <c r="J53" i="2"/>
  <c r="J75" i="2"/>
  <c r="J96" i="2"/>
  <c r="J117" i="2"/>
  <c r="J137" i="2"/>
  <c r="J157" i="2"/>
  <c r="J175" i="2"/>
  <c r="J193" i="2"/>
  <c r="J212" i="2"/>
  <c r="J230" i="2"/>
  <c r="J248" i="2"/>
  <c r="J267" i="2"/>
  <c r="J285" i="2"/>
  <c r="J303" i="2"/>
  <c r="J321" i="2"/>
  <c r="J340" i="2"/>
  <c r="J358" i="2"/>
  <c r="J376" i="2"/>
  <c r="J395" i="2"/>
  <c r="J413" i="2"/>
  <c r="J431" i="2"/>
  <c r="J449" i="2"/>
  <c r="J468" i="2"/>
  <c r="J486" i="2"/>
  <c r="J504" i="2"/>
  <c r="J523" i="2"/>
  <c r="J541" i="2"/>
  <c r="J559" i="2"/>
  <c r="J577" i="2"/>
  <c r="J596" i="2"/>
  <c r="J614" i="2"/>
  <c r="J632" i="2"/>
  <c r="J651" i="2"/>
  <c r="J669" i="2"/>
  <c r="J687" i="2"/>
  <c r="J705" i="2"/>
  <c r="J724" i="2"/>
  <c r="J742" i="2"/>
  <c r="J760" i="2"/>
  <c r="J779" i="2"/>
  <c r="J797" i="2"/>
  <c r="J815" i="2"/>
  <c r="J833" i="2"/>
  <c r="J852" i="2"/>
  <c r="J870" i="2"/>
  <c r="J888" i="2"/>
  <c r="J907" i="2"/>
  <c r="J924" i="2"/>
  <c r="J941" i="2"/>
  <c r="J957" i="2"/>
  <c r="J973" i="2"/>
  <c r="J11" i="2"/>
  <c r="J33" i="2"/>
  <c r="J54" i="2"/>
  <c r="J77" i="2"/>
  <c r="J97" i="2"/>
  <c r="J118" i="2"/>
  <c r="J139" i="2"/>
  <c r="J158" i="2"/>
  <c r="J176" i="2"/>
  <c r="J195" i="2"/>
  <c r="J213" i="2"/>
  <c r="J231" i="2"/>
  <c r="J249" i="2"/>
  <c r="J268" i="2"/>
  <c r="J286" i="2"/>
  <c r="J304" i="2"/>
  <c r="J323" i="2"/>
  <c r="J341" i="2"/>
  <c r="J359" i="2"/>
  <c r="J377" i="2"/>
  <c r="J396" i="2"/>
  <c r="J414" i="2"/>
  <c r="J432" i="2"/>
  <c r="J451" i="2"/>
  <c r="J469" i="2"/>
  <c r="J487" i="2"/>
  <c r="J505" i="2"/>
  <c r="J524" i="2"/>
  <c r="J542" i="2"/>
  <c r="J560" i="2"/>
  <c r="J579" i="2"/>
  <c r="J597" i="2"/>
  <c r="J615" i="2"/>
  <c r="J633" i="2"/>
  <c r="J652" i="2"/>
  <c r="J670" i="2"/>
  <c r="J688" i="2"/>
  <c r="J707" i="2"/>
  <c r="J725" i="2"/>
  <c r="J743" i="2"/>
  <c r="J761" i="2"/>
  <c r="J780" i="2"/>
  <c r="J798" i="2"/>
  <c r="J816" i="2"/>
  <c r="J835" i="2"/>
  <c r="J853" i="2"/>
  <c r="J871" i="2"/>
  <c r="J14" i="2"/>
  <c r="J35" i="2"/>
  <c r="J55" i="2"/>
  <c r="J78" i="2"/>
  <c r="J99" i="2"/>
  <c r="J119" i="2"/>
  <c r="J141" i="2"/>
  <c r="J159" i="2"/>
  <c r="J177" i="2"/>
  <c r="J196" i="2"/>
  <c r="J214" i="2"/>
  <c r="J232" i="2"/>
  <c r="J251" i="2"/>
  <c r="J269" i="2"/>
  <c r="J287" i="2"/>
  <c r="J305" i="2"/>
  <c r="J324" i="2"/>
  <c r="J342" i="2"/>
  <c r="J360" i="2"/>
  <c r="J379" i="2"/>
  <c r="J397" i="2"/>
  <c r="J415" i="2"/>
  <c r="J433" i="2"/>
  <c r="J452" i="2"/>
  <c r="J470" i="2"/>
  <c r="J488" i="2"/>
  <c r="J507" i="2"/>
  <c r="J525" i="2"/>
  <c r="J543" i="2"/>
  <c r="J561" i="2"/>
  <c r="J580" i="2"/>
  <c r="J598" i="2"/>
  <c r="J616" i="2"/>
  <c r="J635" i="2"/>
  <c r="J653" i="2"/>
  <c r="J671" i="2"/>
  <c r="J689" i="2"/>
  <c r="J708" i="2"/>
  <c r="J726" i="2"/>
  <c r="J744" i="2"/>
  <c r="J763" i="2"/>
  <c r="J781" i="2"/>
  <c r="J799" i="2"/>
  <c r="J817" i="2"/>
  <c r="J836" i="2"/>
  <c r="J854" i="2"/>
  <c r="J872" i="2"/>
  <c r="J891" i="2"/>
  <c r="J909" i="2"/>
  <c r="J926" i="2"/>
  <c r="J943" i="2"/>
  <c r="J959" i="2"/>
  <c r="J975" i="2"/>
  <c r="J991" i="2"/>
  <c r="J15" i="2"/>
  <c r="J36" i="2"/>
  <c r="J57" i="2"/>
  <c r="J79" i="2"/>
  <c r="J100" i="2"/>
  <c r="J121" i="2"/>
  <c r="J142" i="2"/>
  <c r="J160" i="2"/>
  <c r="J179" i="2"/>
  <c r="J197" i="2"/>
  <c r="J215" i="2"/>
  <c r="J233" i="2"/>
  <c r="J252" i="2"/>
  <c r="J270" i="2"/>
  <c r="J288" i="2"/>
  <c r="J307" i="2"/>
  <c r="J325" i="2"/>
  <c r="J343" i="2"/>
  <c r="J361" i="2"/>
  <c r="J380" i="2"/>
  <c r="J398" i="2"/>
  <c r="J416" i="2"/>
  <c r="J435" i="2"/>
  <c r="J453" i="2"/>
  <c r="J471" i="2"/>
  <c r="J489" i="2"/>
  <c r="J508" i="2"/>
  <c r="J526" i="2"/>
  <c r="J544" i="2"/>
  <c r="J563" i="2"/>
  <c r="J581" i="2"/>
  <c r="J599" i="2"/>
  <c r="J617" i="2"/>
  <c r="J636" i="2"/>
  <c r="J654" i="2"/>
  <c r="J672" i="2"/>
  <c r="J691" i="2"/>
  <c r="J709" i="2"/>
  <c r="J727" i="2"/>
  <c r="J745" i="2"/>
  <c r="J764" i="2"/>
  <c r="J782" i="2"/>
  <c r="J800" i="2"/>
  <c r="J819" i="2"/>
  <c r="J837" i="2"/>
  <c r="J855" i="2"/>
  <c r="J873" i="2"/>
  <c r="J892" i="2"/>
  <c r="J910" i="2"/>
  <c r="J927" i="2"/>
  <c r="J944" i="2"/>
  <c r="J960" i="2"/>
  <c r="J16" i="2"/>
  <c r="J37" i="2"/>
  <c r="J59" i="2"/>
  <c r="J80" i="2"/>
  <c r="J101" i="2"/>
  <c r="J123" i="2"/>
  <c r="J143" i="2"/>
  <c r="J161" i="2"/>
  <c r="J180" i="2"/>
  <c r="J198" i="2"/>
  <c r="J216" i="2"/>
  <c r="J235" i="2"/>
  <c r="J253" i="2"/>
  <c r="J271" i="2"/>
  <c r="J289" i="2"/>
  <c r="J308" i="2"/>
  <c r="J326" i="2"/>
  <c r="J344" i="2"/>
  <c r="J363" i="2"/>
  <c r="J381" i="2"/>
  <c r="J399" i="2"/>
  <c r="J417" i="2"/>
  <c r="J436" i="2"/>
  <c r="J454" i="2"/>
  <c r="J472" i="2"/>
  <c r="J491" i="2"/>
  <c r="J509" i="2"/>
  <c r="J527" i="2"/>
  <c r="J545" i="2"/>
  <c r="J564" i="2"/>
  <c r="J582" i="2"/>
  <c r="J600" i="2"/>
  <c r="J619" i="2"/>
  <c r="J637" i="2"/>
  <c r="J655" i="2"/>
  <c r="J673" i="2"/>
  <c r="J692" i="2"/>
  <c r="J710" i="2"/>
  <c r="J728" i="2"/>
  <c r="J747" i="2"/>
  <c r="J765" i="2"/>
  <c r="J783" i="2"/>
  <c r="J801" i="2"/>
  <c r="J820" i="2"/>
  <c r="J838" i="2"/>
  <c r="J856" i="2"/>
  <c r="J875" i="2"/>
  <c r="J893" i="2"/>
  <c r="J911" i="2"/>
  <c r="J928" i="2"/>
  <c r="J945" i="2"/>
  <c r="J961" i="2"/>
  <c r="J977" i="2"/>
  <c r="J17" i="2"/>
  <c r="J38" i="2"/>
  <c r="J61" i="2"/>
  <c r="J81" i="2"/>
  <c r="J102" i="2"/>
  <c r="J125" i="2"/>
  <c r="J144" i="2"/>
  <c r="J163" i="2"/>
  <c r="J181" i="2"/>
  <c r="J199" i="2"/>
  <c r="J217" i="2"/>
  <c r="J236" i="2"/>
  <c r="J254" i="2"/>
  <c r="J272" i="2"/>
  <c r="J291" i="2"/>
  <c r="J309" i="2"/>
  <c r="J327" i="2"/>
  <c r="J345" i="2"/>
  <c r="J364" i="2"/>
  <c r="J382" i="2"/>
  <c r="J400" i="2"/>
  <c r="J419" i="2"/>
  <c r="J437" i="2"/>
  <c r="J455" i="2"/>
  <c r="J473" i="2"/>
  <c r="J492" i="2"/>
  <c r="J510" i="2"/>
  <c r="J528" i="2"/>
  <c r="J547" i="2"/>
  <c r="J565" i="2"/>
  <c r="J583" i="2"/>
  <c r="J601" i="2"/>
  <c r="J620" i="2"/>
  <c r="J638" i="2"/>
  <c r="J656" i="2"/>
  <c r="J675" i="2"/>
  <c r="J693" i="2"/>
  <c r="J711" i="2"/>
  <c r="J729" i="2"/>
  <c r="J748" i="2"/>
  <c r="J766" i="2"/>
  <c r="J784" i="2"/>
  <c r="J803" i="2"/>
  <c r="J821" i="2"/>
  <c r="J839" i="2"/>
  <c r="J857" i="2"/>
  <c r="J876" i="2"/>
  <c r="J894" i="2"/>
  <c r="J912" i="2"/>
  <c r="J19" i="2"/>
  <c r="J39" i="2"/>
  <c r="J62" i="2"/>
  <c r="J83" i="2"/>
  <c r="J103" i="2"/>
  <c r="J126" i="2"/>
  <c r="J145" i="2"/>
  <c r="J164" i="2"/>
  <c r="J182" i="2"/>
  <c r="J200" i="2"/>
  <c r="J219" i="2"/>
  <c r="J237" i="2"/>
  <c r="J255" i="2"/>
  <c r="J273" i="2"/>
  <c r="J292" i="2"/>
  <c r="J310" i="2"/>
  <c r="J328" i="2"/>
  <c r="J347" i="2"/>
  <c r="J365" i="2"/>
  <c r="J383" i="2"/>
  <c r="J401" i="2"/>
  <c r="J420" i="2"/>
  <c r="J438" i="2"/>
  <c r="J456" i="2"/>
  <c r="J475" i="2"/>
  <c r="J493" i="2"/>
  <c r="J511" i="2"/>
  <c r="J529" i="2"/>
  <c r="J548" i="2"/>
  <c r="J566" i="2"/>
  <c r="J584" i="2"/>
  <c r="J603" i="2"/>
  <c r="J621" i="2"/>
  <c r="J639" i="2"/>
  <c r="J657" i="2"/>
  <c r="J676" i="2"/>
  <c r="J694" i="2"/>
  <c r="J712" i="2"/>
  <c r="J731" i="2"/>
  <c r="J749" i="2"/>
  <c r="J767" i="2"/>
  <c r="J785" i="2"/>
  <c r="J804" i="2"/>
  <c r="J822" i="2"/>
  <c r="J840" i="2"/>
  <c r="J859" i="2"/>
  <c r="J877" i="2"/>
  <c r="J895" i="2"/>
  <c r="J913" i="2"/>
  <c r="J931" i="2"/>
  <c r="J947" i="2"/>
  <c r="J963" i="2"/>
  <c r="J979" i="2"/>
  <c r="J995" i="2"/>
  <c r="J20" i="2"/>
  <c r="J41" i="2"/>
  <c r="J63" i="2"/>
  <c r="J84" i="2"/>
  <c r="J105" i="2"/>
  <c r="J127" i="2"/>
  <c r="J147" i="2"/>
  <c r="J165" i="2"/>
  <c r="J183" i="2"/>
  <c r="J201" i="2"/>
  <c r="J220" i="2"/>
  <c r="J238" i="2"/>
  <c r="J256" i="2"/>
  <c r="J275" i="2"/>
  <c r="J293" i="2"/>
  <c r="J311" i="2"/>
  <c r="J329" i="2"/>
  <c r="J348" i="2"/>
  <c r="J366" i="2"/>
  <c r="J384" i="2"/>
  <c r="J403" i="2"/>
  <c r="J421" i="2"/>
  <c r="J439" i="2"/>
  <c r="J457" i="2"/>
  <c r="J476" i="2"/>
  <c r="J494" i="2"/>
  <c r="J512" i="2"/>
  <c r="J531" i="2"/>
  <c r="J549" i="2"/>
  <c r="J567" i="2"/>
  <c r="J585" i="2"/>
  <c r="J604" i="2"/>
  <c r="J622" i="2"/>
  <c r="J640" i="2"/>
  <c r="J659" i="2"/>
  <c r="J677" i="2"/>
  <c r="J695" i="2"/>
  <c r="J713" i="2"/>
  <c r="J732" i="2"/>
  <c r="J750" i="2"/>
  <c r="J768" i="2"/>
  <c r="J787" i="2"/>
  <c r="J805" i="2"/>
  <c r="J823" i="2"/>
  <c r="J841" i="2"/>
  <c r="J860" i="2"/>
  <c r="J878" i="2"/>
  <c r="J896" i="2"/>
  <c r="J915" i="2"/>
  <c r="J932" i="2"/>
  <c r="J948" i="2"/>
  <c r="J964" i="2"/>
  <c r="J980" i="2"/>
  <c r="J996" i="2"/>
  <c r="J21" i="2"/>
  <c r="J43" i="2"/>
  <c r="J64" i="2"/>
  <c r="J85" i="2"/>
  <c r="J107" i="2"/>
  <c r="J128" i="2"/>
  <c r="J148" i="2"/>
  <c r="J166" i="2"/>
  <c r="J184" i="2"/>
  <c r="J203" i="2"/>
  <c r="J221" i="2"/>
  <c r="J239" i="2"/>
  <c r="J257" i="2"/>
  <c r="J276" i="2"/>
  <c r="J294" i="2"/>
  <c r="J312" i="2"/>
  <c r="J331" i="2"/>
  <c r="J349" i="2"/>
  <c r="J367" i="2"/>
  <c r="J385" i="2"/>
  <c r="J404" i="2"/>
  <c r="J422" i="2"/>
  <c r="J440" i="2"/>
  <c r="J459" i="2"/>
  <c r="J477" i="2"/>
  <c r="J495" i="2"/>
  <c r="J513" i="2"/>
  <c r="J532" i="2"/>
  <c r="J550" i="2"/>
  <c r="J568" i="2"/>
  <c r="J587" i="2"/>
  <c r="J605" i="2"/>
  <c r="J623" i="2"/>
  <c r="J641" i="2"/>
  <c r="J660" i="2"/>
  <c r="J678" i="2"/>
  <c r="J696" i="2"/>
  <c r="J715" i="2"/>
  <c r="J733" i="2"/>
  <c r="J751" i="2"/>
  <c r="J769" i="2"/>
  <c r="J788" i="2"/>
  <c r="J806" i="2"/>
  <c r="J824" i="2"/>
  <c r="J22" i="2"/>
  <c r="J45" i="2"/>
  <c r="J65" i="2"/>
  <c r="J86" i="2"/>
  <c r="J109" i="2"/>
  <c r="J129" i="2"/>
  <c r="J149" i="2"/>
  <c r="J167" i="2"/>
  <c r="J185" i="2"/>
  <c r="J204" i="2"/>
  <c r="J222" i="2"/>
  <c r="J240" i="2"/>
  <c r="J259" i="2"/>
  <c r="J277" i="2"/>
  <c r="J295" i="2"/>
  <c r="J313" i="2"/>
  <c r="J332" i="2"/>
  <c r="J350" i="2"/>
  <c r="J368" i="2"/>
  <c r="J387" i="2"/>
  <c r="J405" i="2"/>
  <c r="J423" i="2"/>
  <c r="J441" i="2"/>
  <c r="J460" i="2"/>
  <c r="J478" i="2"/>
  <c r="J496" i="2"/>
  <c r="J515" i="2"/>
  <c r="J533" i="2"/>
  <c r="J551" i="2"/>
  <c r="J569" i="2"/>
  <c r="J588" i="2"/>
  <c r="J606" i="2"/>
  <c r="J624" i="2"/>
  <c r="J643" i="2"/>
  <c r="J661" i="2"/>
  <c r="J679" i="2"/>
  <c r="J697" i="2"/>
  <c r="J716" i="2"/>
  <c r="J734" i="2"/>
  <c r="J752" i="2"/>
  <c r="J771" i="2"/>
  <c r="J789" i="2"/>
  <c r="J807" i="2"/>
  <c r="J825" i="2"/>
  <c r="J844" i="2"/>
  <c r="J862" i="2"/>
  <c r="J880" i="2"/>
  <c r="J899" i="2"/>
  <c r="J917" i="2"/>
  <c r="J934" i="2"/>
  <c r="J950" i="2"/>
  <c r="J966" i="2"/>
  <c r="J982" i="2"/>
  <c r="J998" i="2"/>
  <c r="J23" i="2"/>
  <c r="J46" i="2"/>
  <c r="J67" i="2"/>
  <c r="J87" i="2"/>
  <c r="J110" i="2"/>
  <c r="J131" i="2"/>
  <c r="J150" i="2"/>
  <c r="J168" i="2"/>
  <c r="J187" i="2"/>
  <c r="J205" i="2"/>
  <c r="J223" i="2"/>
  <c r="J241" i="2"/>
  <c r="J260" i="2"/>
  <c r="J278" i="2"/>
  <c r="J296" i="2"/>
  <c r="J315" i="2"/>
  <c r="J333" i="2"/>
  <c r="J351" i="2"/>
  <c r="J369" i="2"/>
  <c r="J388" i="2"/>
  <c r="J406" i="2"/>
  <c r="J424" i="2"/>
  <c r="J443" i="2"/>
  <c r="J461" i="2"/>
  <c r="J479" i="2"/>
  <c r="J497" i="2"/>
  <c r="J516" i="2"/>
  <c r="J534" i="2"/>
  <c r="J552" i="2"/>
  <c r="J571" i="2"/>
  <c r="J589" i="2"/>
  <c r="J607" i="2"/>
  <c r="J625" i="2"/>
  <c r="J644" i="2"/>
  <c r="J662" i="2"/>
  <c r="J680" i="2"/>
  <c r="J699" i="2"/>
  <c r="J717" i="2"/>
  <c r="J735" i="2"/>
  <c r="J753" i="2"/>
  <c r="J772" i="2"/>
  <c r="J790" i="2"/>
  <c r="J808" i="2"/>
  <c r="J827" i="2"/>
  <c r="J845" i="2"/>
  <c r="J863" i="2"/>
  <c r="J881" i="2"/>
  <c r="J900" i="2"/>
  <c r="J918" i="2"/>
  <c r="J935" i="2"/>
  <c r="J951" i="2"/>
  <c r="J967" i="2"/>
  <c r="J983" i="2"/>
  <c r="J999" i="2"/>
  <c r="J25" i="2"/>
  <c r="J47" i="2"/>
  <c r="J68" i="2"/>
  <c r="J89" i="2"/>
  <c r="J111" i="2"/>
  <c r="J132" i="2"/>
  <c r="J151" i="2"/>
  <c r="J169" i="2"/>
  <c r="J188" i="2"/>
  <c r="J206" i="2"/>
  <c r="J224" i="2"/>
  <c r="J243" i="2"/>
  <c r="J261" i="2"/>
  <c r="J279" i="2"/>
  <c r="J297" i="2"/>
  <c r="J316" i="2"/>
  <c r="J334" i="2"/>
  <c r="J352" i="2"/>
  <c r="J371" i="2"/>
  <c r="J389" i="2"/>
  <c r="J407" i="2"/>
  <c r="J425" i="2"/>
  <c r="J444" i="2"/>
  <c r="J462" i="2"/>
  <c r="J480" i="2"/>
  <c r="J499" i="2"/>
  <c r="J517" i="2"/>
  <c r="J535" i="2"/>
  <c r="J553" i="2"/>
  <c r="J572" i="2"/>
  <c r="J590" i="2"/>
  <c r="J608" i="2"/>
  <c r="J627" i="2"/>
  <c r="J645" i="2"/>
  <c r="J663" i="2"/>
  <c r="J681" i="2"/>
  <c r="J700" i="2"/>
  <c r="J718" i="2"/>
  <c r="J736" i="2"/>
  <c r="J755" i="2"/>
  <c r="J773" i="2"/>
  <c r="J791" i="2"/>
  <c r="J809" i="2"/>
  <c r="J828" i="2"/>
  <c r="J846" i="2"/>
  <c r="J864" i="2"/>
  <c r="J883" i="2"/>
  <c r="J901" i="2"/>
  <c r="J919" i="2"/>
  <c r="J3" i="2"/>
  <c r="J27" i="2"/>
  <c r="J48" i="2"/>
  <c r="J69" i="2"/>
  <c r="J91" i="2"/>
  <c r="J112" i="2"/>
  <c r="J133" i="2"/>
  <c r="J152" i="2"/>
  <c r="J171" i="2"/>
  <c r="J189" i="2"/>
  <c r="J207" i="2"/>
  <c r="J225" i="2"/>
  <c r="J244" i="2"/>
  <c r="J262" i="2"/>
  <c r="J280" i="2"/>
  <c r="J299" i="2"/>
  <c r="J317" i="2"/>
  <c r="J335" i="2"/>
  <c r="J353" i="2"/>
  <c r="J372" i="2"/>
  <c r="J390" i="2"/>
  <c r="J408" i="2"/>
  <c r="J427" i="2"/>
  <c r="J445" i="2"/>
  <c r="J463" i="2"/>
  <c r="J481" i="2"/>
  <c r="J500" i="2"/>
  <c r="J518" i="2"/>
  <c r="J536" i="2"/>
  <c r="J555" i="2"/>
  <c r="J573" i="2"/>
  <c r="J591" i="2"/>
  <c r="J609" i="2"/>
  <c r="J628" i="2"/>
  <c r="J646" i="2"/>
  <c r="J664" i="2"/>
  <c r="J683" i="2"/>
  <c r="J701" i="2"/>
  <c r="J719" i="2"/>
  <c r="J737" i="2"/>
  <c r="J756" i="2"/>
  <c r="J774" i="2"/>
  <c r="J792" i="2"/>
  <c r="J811" i="2"/>
  <c r="J829" i="2"/>
  <c r="J847" i="2"/>
  <c r="J865" i="2"/>
  <c r="J884" i="2"/>
  <c r="J902" i="2"/>
  <c r="J920" i="2"/>
  <c r="J937" i="2"/>
  <c r="J953" i="2"/>
  <c r="J969" i="2"/>
  <c r="J985" i="2"/>
  <c r="J1001" i="2"/>
  <c r="J5" i="2"/>
  <c r="J29" i="2"/>
  <c r="J49" i="2"/>
  <c r="J70" i="2"/>
  <c r="J93" i="2"/>
  <c r="J113" i="2"/>
  <c r="J134" i="2"/>
  <c r="J153" i="2"/>
  <c r="J172" i="2"/>
  <c r="J190" i="2"/>
  <c r="J208" i="2"/>
  <c r="J227" i="2"/>
  <c r="J245" i="2"/>
  <c r="J263" i="2"/>
  <c r="J281" i="2"/>
  <c r="J300" i="2"/>
  <c r="J318" i="2"/>
  <c r="J336" i="2"/>
  <c r="J355" i="2"/>
  <c r="J373" i="2"/>
  <c r="J391" i="2"/>
  <c r="J409" i="2"/>
  <c r="J428" i="2"/>
  <c r="J446" i="2"/>
  <c r="J464" i="2"/>
  <c r="J483" i="2"/>
  <c r="J501" i="2"/>
  <c r="J519" i="2"/>
  <c r="J537" i="2"/>
  <c r="J556" i="2"/>
  <c r="J574" i="2"/>
  <c r="J592" i="2"/>
  <c r="J611" i="2"/>
  <c r="J629" i="2"/>
  <c r="J647" i="2"/>
  <c r="J665" i="2"/>
  <c r="J684" i="2"/>
  <c r="J702" i="2"/>
  <c r="J720" i="2"/>
  <c r="J739" i="2"/>
  <c r="J757" i="2"/>
  <c r="J775" i="2"/>
  <c r="J793" i="2"/>
  <c r="J812" i="2"/>
  <c r="J830" i="2"/>
  <c r="J848" i="2"/>
  <c r="J867" i="2"/>
  <c r="J885" i="2"/>
  <c r="J903" i="2"/>
  <c r="J921" i="2"/>
  <c r="J6" i="2"/>
  <c r="J30" i="2"/>
  <c r="J51" i="2"/>
  <c r="J71" i="2"/>
  <c r="J94" i="2"/>
  <c r="J115" i="2"/>
  <c r="J135" i="2"/>
  <c r="J155" i="2"/>
  <c r="J173" i="2"/>
  <c r="J191" i="2"/>
  <c r="J209" i="2"/>
  <c r="J228" i="2"/>
  <c r="J246" i="2"/>
  <c r="J264" i="2"/>
  <c r="J283" i="2"/>
  <c r="J301" i="2"/>
  <c r="J319" i="2"/>
  <c r="J337" i="2"/>
  <c r="J356" i="2"/>
  <c r="J374" i="2"/>
  <c r="J392" i="2"/>
  <c r="J411" i="2"/>
  <c r="J429" i="2"/>
  <c r="J447" i="2"/>
  <c r="J465" i="2"/>
  <c r="J484" i="2"/>
  <c r="J502" i="2"/>
  <c r="J520" i="2"/>
  <c r="J539" i="2"/>
  <c r="J557" i="2"/>
  <c r="J575" i="2"/>
  <c r="J593" i="2"/>
  <c r="J612" i="2"/>
  <c r="J630" i="2"/>
  <c r="J648" i="2"/>
  <c r="J667" i="2"/>
  <c r="J685" i="2"/>
  <c r="J703" i="2"/>
  <c r="J721" i="2"/>
  <c r="J740" i="2"/>
  <c r="J758" i="2"/>
  <c r="J776" i="2"/>
  <c r="J795" i="2"/>
  <c r="J813" i="2"/>
  <c r="J831" i="2"/>
  <c r="J849" i="2"/>
  <c r="J868" i="2"/>
  <c r="J886" i="2"/>
  <c r="J904" i="2"/>
  <c r="J922" i="2"/>
  <c r="J939" i="2"/>
  <c r="J955" i="2"/>
  <c r="J971" i="2"/>
  <c r="J987" i="2"/>
  <c r="J925" i="2"/>
  <c r="J970" i="2"/>
  <c r="J1002" i="2"/>
  <c r="J929" i="2"/>
  <c r="J972" i="2"/>
  <c r="J933" i="2"/>
  <c r="J974" i="2"/>
  <c r="J936" i="2"/>
  <c r="J976" i="2"/>
  <c r="J938" i="2"/>
  <c r="J978" i="2"/>
  <c r="J940" i="2"/>
  <c r="J981" i="2"/>
  <c r="J942" i="2"/>
  <c r="J984" i="2"/>
  <c r="J946" i="2"/>
  <c r="J986" i="2"/>
  <c r="J843" i="2"/>
  <c r="J949" i="2"/>
  <c r="J988" i="2"/>
  <c r="J861" i="2"/>
  <c r="J952" i="2"/>
  <c r="J989" i="2"/>
  <c r="J879" i="2"/>
  <c r="J954" i="2"/>
  <c r="J990" i="2"/>
  <c r="J889" i="2"/>
  <c r="J956" i="2"/>
  <c r="J992" i="2"/>
  <c r="J897" i="2"/>
  <c r="J958" i="2"/>
  <c r="J993" i="2"/>
  <c r="J908" i="2"/>
  <c r="J962" i="2"/>
  <c r="J994" i="2"/>
  <c r="J916" i="2"/>
  <c r="J965" i="2"/>
  <c r="J997" i="2"/>
  <c r="J923" i="2"/>
  <c r="J968" i="2"/>
  <c r="J1000" i="2"/>
  <c r="J2" i="2"/>
  <c r="O10" i="2"/>
  <c r="O26" i="2"/>
  <c r="O42" i="2"/>
  <c r="O58" i="2"/>
  <c r="O74" i="2"/>
  <c r="O90" i="2"/>
  <c r="O106" i="2"/>
  <c r="O122" i="2"/>
  <c r="O11" i="2"/>
  <c r="O27" i="2"/>
  <c r="O43" i="2"/>
  <c r="O59" i="2"/>
  <c r="O75" i="2"/>
  <c r="O91" i="2"/>
  <c r="O107" i="2"/>
  <c r="O123" i="2"/>
  <c r="O139" i="2"/>
  <c r="O155" i="2"/>
  <c r="O171" i="2"/>
  <c r="O187" i="2"/>
  <c r="O203" i="2"/>
  <c r="O219" i="2"/>
  <c r="O235" i="2"/>
  <c r="O251" i="2"/>
  <c r="O267" i="2"/>
  <c r="O283" i="2"/>
  <c r="O299" i="2"/>
  <c r="O315" i="2"/>
  <c r="O331" i="2"/>
  <c r="O347" i="2"/>
  <c r="O363" i="2"/>
  <c r="O379" i="2"/>
  <c r="O395" i="2"/>
  <c r="O411" i="2"/>
  <c r="O427" i="2"/>
  <c r="O443" i="2"/>
  <c r="O459" i="2"/>
  <c r="O475" i="2"/>
  <c r="O491" i="2"/>
  <c r="O507" i="2"/>
  <c r="O523" i="2"/>
  <c r="O539" i="2"/>
  <c r="O14" i="2"/>
  <c r="O30" i="2"/>
  <c r="O46" i="2"/>
  <c r="O62" i="2"/>
  <c r="O78" i="2"/>
  <c r="O94" i="2"/>
  <c r="O110" i="2"/>
  <c r="O126" i="2"/>
  <c r="O142" i="2"/>
  <c r="O158" i="2"/>
  <c r="O174" i="2"/>
  <c r="O190" i="2"/>
  <c r="O206" i="2"/>
  <c r="O222" i="2"/>
  <c r="O238" i="2"/>
  <c r="O254" i="2"/>
  <c r="O16" i="2"/>
  <c r="O32" i="2"/>
  <c r="O48" i="2"/>
  <c r="O64" i="2"/>
  <c r="O80" i="2"/>
  <c r="O96" i="2"/>
  <c r="O112" i="2"/>
  <c r="O128" i="2"/>
  <c r="O144" i="2"/>
  <c r="O160" i="2"/>
  <c r="O176" i="2"/>
  <c r="O192" i="2"/>
  <c r="O208" i="2"/>
  <c r="O224" i="2"/>
  <c r="O240" i="2"/>
  <c r="O256" i="2"/>
  <c r="O272" i="2"/>
  <c r="O288" i="2"/>
  <c r="O304" i="2"/>
  <c r="O320" i="2"/>
  <c r="O336" i="2"/>
  <c r="O352" i="2"/>
  <c r="O368" i="2"/>
  <c r="O384" i="2"/>
  <c r="O400" i="2"/>
  <c r="O416" i="2"/>
  <c r="O432" i="2"/>
  <c r="O448" i="2"/>
  <c r="O464" i="2"/>
  <c r="O480" i="2"/>
  <c r="O496" i="2"/>
  <c r="O512" i="2"/>
  <c r="O528" i="2"/>
  <c r="O17" i="2"/>
  <c r="O33" i="2"/>
  <c r="O49" i="2"/>
  <c r="O65" i="2"/>
  <c r="O81" i="2"/>
  <c r="O97" i="2"/>
  <c r="O113" i="2"/>
  <c r="O129" i="2"/>
  <c r="O145" i="2"/>
  <c r="O161" i="2"/>
  <c r="O177" i="2"/>
  <c r="O193" i="2"/>
  <c r="O209" i="2"/>
  <c r="O225" i="2"/>
  <c r="O241" i="2"/>
  <c r="O257" i="2"/>
  <c r="O273" i="2"/>
  <c r="O289" i="2"/>
  <c r="O305" i="2"/>
  <c r="O321" i="2"/>
  <c r="O337" i="2"/>
  <c r="O353" i="2"/>
  <c r="O369" i="2"/>
  <c r="O385" i="2"/>
  <c r="O401" i="2"/>
  <c r="O417" i="2"/>
  <c r="O433" i="2"/>
  <c r="O449" i="2"/>
  <c r="O465" i="2"/>
  <c r="O481" i="2"/>
  <c r="O497" i="2"/>
  <c r="O513" i="2"/>
  <c r="O529" i="2"/>
  <c r="O18" i="2"/>
  <c r="O34" i="2"/>
  <c r="O50" i="2"/>
  <c r="O66" i="2"/>
  <c r="O82" i="2"/>
  <c r="O98" i="2"/>
  <c r="O114" i="2"/>
  <c r="O130" i="2"/>
  <c r="O3" i="2"/>
  <c r="O19" i="2"/>
  <c r="O35" i="2"/>
  <c r="O51" i="2"/>
  <c r="O67" i="2"/>
  <c r="O83" i="2"/>
  <c r="O99" i="2"/>
  <c r="O115" i="2"/>
  <c r="O131" i="2"/>
  <c r="O147" i="2"/>
  <c r="O163" i="2"/>
  <c r="O179" i="2"/>
  <c r="O195" i="2"/>
  <c r="O211" i="2"/>
  <c r="O227" i="2"/>
  <c r="O243" i="2"/>
  <c r="O259" i="2"/>
  <c r="O275" i="2"/>
  <c r="O291" i="2"/>
  <c r="O307" i="2"/>
  <c r="O323" i="2"/>
  <c r="O339" i="2"/>
  <c r="O355" i="2"/>
  <c r="O371" i="2"/>
  <c r="O387" i="2"/>
  <c r="O403" i="2"/>
  <c r="O419" i="2"/>
  <c r="O435" i="2"/>
  <c r="O451" i="2"/>
  <c r="O467" i="2"/>
  <c r="O483" i="2"/>
  <c r="O499" i="2"/>
  <c r="O515" i="2"/>
  <c r="O6" i="2"/>
  <c r="O22" i="2"/>
  <c r="O38" i="2"/>
  <c r="O54" i="2"/>
  <c r="O70" i="2"/>
  <c r="O86" i="2"/>
  <c r="O102" i="2"/>
  <c r="O118" i="2"/>
  <c r="O134" i="2"/>
  <c r="O150" i="2"/>
  <c r="O166" i="2"/>
  <c r="O182" i="2"/>
  <c r="O198" i="2"/>
  <c r="O214" i="2"/>
  <c r="O230" i="2"/>
  <c r="O246" i="2"/>
  <c r="O988" i="2"/>
  <c r="O972" i="2"/>
  <c r="O956" i="2"/>
  <c r="O940" i="2"/>
  <c r="O924" i="2"/>
  <c r="O908" i="2"/>
  <c r="O892" i="2"/>
  <c r="O876" i="2"/>
  <c r="O860" i="2"/>
  <c r="O844" i="2"/>
  <c r="O828" i="2"/>
  <c r="O812" i="2"/>
  <c r="O796" i="2"/>
  <c r="O780" i="2"/>
  <c r="O764" i="2"/>
  <c r="O748" i="2"/>
  <c r="O732" i="2"/>
  <c r="O716" i="2"/>
  <c r="O700" i="2"/>
  <c r="O684" i="2"/>
  <c r="O668" i="2"/>
  <c r="O652" i="2"/>
  <c r="O636" i="2"/>
  <c r="O620" i="2"/>
  <c r="O604" i="2"/>
  <c r="O588" i="2"/>
  <c r="O572" i="2"/>
  <c r="O556" i="2"/>
  <c r="O540" i="2"/>
  <c r="O520" i="2"/>
  <c r="O500" i="2"/>
  <c r="O477" i="2"/>
  <c r="O456" i="2"/>
  <c r="O436" i="2"/>
  <c r="O413" i="2"/>
  <c r="O392" i="2"/>
  <c r="O372" i="2"/>
  <c r="O349" i="2"/>
  <c r="O328" i="2"/>
  <c r="O308" i="2"/>
  <c r="O285" i="2"/>
  <c r="O264" i="2"/>
  <c r="O239" i="2"/>
  <c r="O215" i="2"/>
  <c r="O188" i="2"/>
  <c r="O164" i="2"/>
  <c r="O137" i="2"/>
  <c r="O105" i="2"/>
  <c r="O73" i="2"/>
  <c r="O41" i="2"/>
  <c r="O9" i="2"/>
  <c r="K6" i="2"/>
  <c r="K22" i="2"/>
  <c r="K38" i="2"/>
  <c r="K54" i="2"/>
  <c r="K70" i="2"/>
  <c r="K7" i="2"/>
  <c r="K23" i="2"/>
  <c r="K39" i="2"/>
  <c r="K12" i="2"/>
  <c r="K28" i="2"/>
  <c r="K44" i="2"/>
  <c r="K60" i="2"/>
  <c r="K76" i="2"/>
  <c r="K92" i="2"/>
  <c r="K108" i="2"/>
  <c r="K124" i="2"/>
  <c r="K140" i="2"/>
  <c r="K156" i="2"/>
  <c r="K172" i="2"/>
  <c r="K188" i="2"/>
  <c r="K204" i="2"/>
  <c r="K220" i="2"/>
  <c r="K236" i="2"/>
  <c r="K252" i="2"/>
  <c r="K268" i="2"/>
  <c r="K284" i="2"/>
  <c r="K300" i="2"/>
  <c r="K316" i="2"/>
  <c r="K332" i="2"/>
  <c r="K348" i="2"/>
  <c r="K364" i="2"/>
  <c r="K380" i="2"/>
  <c r="K396" i="2"/>
  <c r="K412" i="2"/>
  <c r="K428" i="2"/>
  <c r="K444" i="2"/>
  <c r="K460" i="2"/>
  <c r="K476" i="2"/>
  <c r="K492" i="2"/>
  <c r="K508" i="2"/>
  <c r="K524" i="2"/>
  <c r="K540" i="2"/>
  <c r="K556" i="2"/>
  <c r="K572" i="2"/>
  <c r="K588" i="2"/>
  <c r="K604" i="2"/>
  <c r="K620" i="2"/>
  <c r="K636" i="2"/>
  <c r="K652" i="2"/>
  <c r="K668" i="2"/>
  <c r="K684" i="2"/>
  <c r="K700" i="2"/>
  <c r="K716" i="2"/>
  <c r="K732" i="2"/>
  <c r="K748" i="2"/>
  <c r="K764" i="2"/>
  <c r="K780" i="2"/>
  <c r="K796" i="2"/>
  <c r="K812" i="2"/>
  <c r="K828" i="2"/>
  <c r="K844" i="2"/>
  <c r="K860" i="2"/>
  <c r="K876" i="2"/>
  <c r="K892" i="2"/>
  <c r="K908" i="2"/>
  <c r="K924" i="2"/>
  <c r="K940" i="2"/>
  <c r="K956" i="2"/>
  <c r="K972" i="2"/>
  <c r="K988" i="2"/>
  <c r="K18" i="2"/>
  <c r="K34" i="2"/>
  <c r="K50" i="2"/>
  <c r="K66" i="2"/>
  <c r="K82" i="2"/>
  <c r="K98" i="2"/>
  <c r="K114" i="2"/>
  <c r="K130" i="2"/>
  <c r="K4" i="2"/>
  <c r="K20" i="2"/>
  <c r="K36" i="2"/>
  <c r="K52" i="2"/>
  <c r="K68" i="2"/>
  <c r="K84" i="2"/>
  <c r="K100" i="2"/>
  <c r="K116" i="2"/>
  <c r="K132" i="2"/>
  <c r="K15" i="2"/>
  <c r="K40" i="2"/>
  <c r="K61" i="2"/>
  <c r="K81" i="2"/>
  <c r="K102" i="2"/>
  <c r="K121" i="2"/>
  <c r="K141" i="2"/>
  <c r="K158" i="2"/>
  <c r="K175" i="2"/>
  <c r="K192" i="2"/>
  <c r="K209" i="2"/>
  <c r="K226" i="2"/>
  <c r="K243" i="2"/>
  <c r="K260" i="2"/>
  <c r="K277" i="2"/>
  <c r="K294" i="2"/>
  <c r="K311" i="2"/>
  <c r="K328" i="2"/>
  <c r="K345" i="2"/>
  <c r="K362" i="2"/>
  <c r="K379" i="2"/>
  <c r="K397" i="2"/>
  <c r="K414" i="2"/>
  <c r="K431" i="2"/>
  <c r="K448" i="2"/>
  <c r="K465" i="2"/>
  <c r="K482" i="2"/>
  <c r="K499" i="2"/>
  <c r="K516" i="2"/>
  <c r="K16" i="2"/>
  <c r="K41" i="2"/>
  <c r="K62" i="2"/>
  <c r="K83" i="2"/>
  <c r="K103" i="2"/>
  <c r="K122" i="2"/>
  <c r="K142" i="2"/>
  <c r="K159" i="2"/>
  <c r="K176" i="2"/>
  <c r="K193" i="2"/>
  <c r="K210" i="2"/>
  <c r="K227" i="2"/>
  <c r="K244" i="2"/>
  <c r="K261" i="2"/>
  <c r="K278" i="2"/>
  <c r="K295" i="2"/>
  <c r="K312" i="2"/>
  <c r="K329" i="2"/>
  <c r="K346" i="2"/>
  <c r="K363" i="2"/>
  <c r="K381" i="2"/>
  <c r="K398" i="2"/>
  <c r="K415" i="2"/>
  <c r="K432" i="2"/>
  <c r="K449" i="2"/>
  <c r="K466" i="2"/>
  <c r="K483" i="2"/>
  <c r="K500" i="2"/>
  <c r="K517" i="2"/>
  <c r="K534" i="2"/>
  <c r="K551" i="2"/>
  <c r="K568" i="2"/>
  <c r="K585" i="2"/>
  <c r="K602" i="2"/>
  <c r="K619" i="2"/>
  <c r="K637" i="2"/>
  <c r="K654" i="2"/>
  <c r="K671" i="2"/>
  <c r="K688" i="2"/>
  <c r="K705" i="2"/>
  <c r="K722" i="2"/>
  <c r="K739" i="2"/>
  <c r="K756" i="2"/>
  <c r="K773" i="2"/>
  <c r="K790" i="2"/>
  <c r="K807" i="2"/>
  <c r="K824" i="2"/>
  <c r="K841" i="2"/>
  <c r="K858" i="2"/>
  <c r="K875" i="2"/>
  <c r="K893" i="2"/>
  <c r="K910" i="2"/>
  <c r="K927" i="2"/>
  <c r="K944" i="2"/>
  <c r="K961" i="2"/>
  <c r="K978" i="2"/>
  <c r="K995" i="2"/>
  <c r="K17" i="2"/>
  <c r="K42" i="2"/>
  <c r="K63" i="2"/>
  <c r="K85" i="2"/>
  <c r="K104" i="2"/>
  <c r="K123" i="2"/>
  <c r="K143" i="2"/>
  <c r="K160" i="2"/>
  <c r="K177" i="2"/>
  <c r="K194" i="2"/>
  <c r="K211" i="2"/>
  <c r="K228" i="2"/>
  <c r="K245" i="2"/>
  <c r="K262" i="2"/>
  <c r="K279" i="2"/>
  <c r="K296" i="2"/>
  <c r="K313" i="2"/>
  <c r="K330" i="2"/>
  <c r="K347" i="2"/>
  <c r="K365" i="2"/>
  <c r="K382" i="2"/>
  <c r="K399" i="2"/>
  <c r="K416" i="2"/>
  <c r="K433" i="2"/>
  <c r="K450" i="2"/>
  <c r="K467" i="2"/>
  <c r="K484" i="2"/>
  <c r="K501" i="2"/>
  <c r="K518" i="2"/>
  <c r="K535" i="2"/>
  <c r="K552" i="2"/>
  <c r="K569" i="2"/>
  <c r="K586" i="2"/>
  <c r="K603" i="2"/>
  <c r="K621" i="2"/>
  <c r="K638" i="2"/>
  <c r="K655" i="2"/>
  <c r="K672" i="2"/>
  <c r="K689" i="2"/>
  <c r="K706" i="2"/>
  <c r="K723" i="2"/>
  <c r="K740" i="2"/>
  <c r="K757" i="2"/>
  <c r="K774" i="2"/>
  <c r="K791" i="2"/>
  <c r="K808" i="2"/>
  <c r="K825" i="2"/>
  <c r="K842" i="2"/>
  <c r="K859" i="2"/>
  <c r="K877" i="2"/>
  <c r="K894" i="2"/>
  <c r="K911" i="2"/>
  <c r="K928" i="2"/>
  <c r="K945" i="2"/>
  <c r="K962" i="2"/>
  <c r="K979" i="2"/>
  <c r="K996" i="2"/>
  <c r="K19" i="2"/>
  <c r="K43" i="2"/>
  <c r="K64" i="2"/>
  <c r="K86" i="2"/>
  <c r="K105" i="2"/>
  <c r="K125" i="2"/>
  <c r="K144" i="2"/>
  <c r="K161" i="2"/>
  <c r="K178" i="2"/>
  <c r="K195" i="2"/>
  <c r="K212" i="2"/>
  <c r="K229" i="2"/>
  <c r="K246" i="2"/>
  <c r="K263" i="2"/>
  <c r="K280" i="2"/>
  <c r="K297" i="2"/>
  <c r="K314" i="2"/>
  <c r="K331" i="2"/>
  <c r="K349" i="2"/>
  <c r="K366" i="2"/>
  <c r="K383" i="2"/>
  <c r="K400" i="2"/>
  <c r="K417" i="2"/>
  <c r="K434" i="2"/>
  <c r="K451" i="2"/>
  <c r="K468" i="2"/>
  <c r="K485" i="2"/>
  <c r="K502" i="2"/>
  <c r="K519" i="2"/>
  <c r="K536" i="2"/>
  <c r="K553" i="2"/>
  <c r="K570" i="2"/>
  <c r="K587" i="2"/>
  <c r="K21" i="2"/>
  <c r="K45" i="2"/>
  <c r="K65" i="2"/>
  <c r="K87" i="2"/>
  <c r="K106" i="2"/>
  <c r="K126" i="2"/>
  <c r="K145" i="2"/>
  <c r="K162" i="2"/>
  <c r="K179" i="2"/>
  <c r="K196" i="2"/>
  <c r="K213" i="2"/>
  <c r="K230" i="2"/>
  <c r="K247" i="2"/>
  <c r="K24" i="2"/>
  <c r="K46" i="2"/>
  <c r="K67" i="2"/>
  <c r="K88" i="2"/>
  <c r="K107" i="2"/>
  <c r="K127" i="2"/>
  <c r="K146" i="2"/>
  <c r="K163" i="2"/>
  <c r="K180" i="2"/>
  <c r="K197" i="2"/>
  <c r="K214" i="2"/>
  <c r="K231" i="2"/>
  <c r="K248" i="2"/>
  <c r="K265" i="2"/>
  <c r="K282" i="2"/>
  <c r="K299" i="2"/>
  <c r="K317" i="2"/>
  <c r="K334" i="2"/>
  <c r="K351" i="2"/>
  <c r="K368" i="2"/>
  <c r="K385" i="2"/>
  <c r="K402" i="2"/>
  <c r="K419" i="2"/>
  <c r="K436" i="2"/>
  <c r="K453" i="2"/>
  <c r="K470" i="2"/>
  <c r="K25" i="2"/>
  <c r="K47" i="2"/>
  <c r="K69" i="2"/>
  <c r="K89" i="2"/>
  <c r="K109" i="2"/>
  <c r="K128" i="2"/>
  <c r="K147" i="2"/>
  <c r="K164" i="2"/>
  <c r="K181" i="2"/>
  <c r="K198" i="2"/>
  <c r="K215" i="2"/>
  <c r="K232" i="2"/>
  <c r="K249" i="2"/>
  <c r="K266" i="2"/>
  <c r="K283" i="2"/>
  <c r="K301" i="2"/>
  <c r="K318" i="2"/>
  <c r="K335" i="2"/>
  <c r="K352" i="2"/>
  <c r="K369" i="2"/>
  <c r="K386" i="2"/>
  <c r="K403" i="2"/>
  <c r="K420" i="2"/>
  <c r="K26" i="2"/>
  <c r="K48" i="2"/>
  <c r="K71" i="2"/>
  <c r="K90" i="2"/>
  <c r="K110" i="2"/>
  <c r="K129" i="2"/>
  <c r="K148" i="2"/>
  <c r="K165" i="2"/>
  <c r="K182" i="2"/>
  <c r="K199" i="2"/>
  <c r="K216" i="2"/>
  <c r="K233" i="2"/>
  <c r="K250" i="2"/>
  <c r="K267" i="2"/>
  <c r="K285" i="2"/>
  <c r="K302" i="2"/>
  <c r="K319" i="2"/>
  <c r="K336" i="2"/>
  <c r="K353" i="2"/>
  <c r="K370" i="2"/>
  <c r="K387" i="2"/>
  <c r="K404" i="2"/>
  <c r="K421" i="2"/>
  <c r="K438" i="2"/>
  <c r="K455" i="2"/>
  <c r="K472" i="2"/>
  <c r="K489" i="2"/>
  <c r="K506" i="2"/>
  <c r="K523" i="2"/>
  <c r="K541" i="2"/>
  <c r="K558" i="2"/>
  <c r="K575" i="2"/>
  <c r="K592" i="2"/>
  <c r="K609" i="2"/>
  <c r="K626" i="2"/>
  <c r="K643" i="2"/>
  <c r="K660" i="2"/>
  <c r="K677" i="2"/>
  <c r="K694" i="2"/>
  <c r="K711" i="2"/>
  <c r="K728" i="2"/>
  <c r="K745" i="2"/>
  <c r="K762" i="2"/>
  <c r="K779" i="2"/>
  <c r="K797" i="2"/>
  <c r="K814" i="2"/>
  <c r="K831" i="2"/>
  <c r="K848" i="2"/>
  <c r="K865" i="2"/>
  <c r="K882" i="2"/>
  <c r="K899" i="2"/>
  <c r="K916" i="2"/>
  <c r="K933" i="2"/>
  <c r="K950" i="2"/>
  <c r="K967" i="2"/>
  <c r="K984" i="2"/>
  <c r="K1001" i="2"/>
  <c r="K3" i="2"/>
  <c r="K27" i="2"/>
  <c r="K49" i="2"/>
  <c r="K72" i="2"/>
  <c r="K91" i="2"/>
  <c r="K111" i="2"/>
  <c r="K131" i="2"/>
  <c r="K149" i="2"/>
  <c r="K166" i="2"/>
  <c r="K183" i="2"/>
  <c r="K200" i="2"/>
  <c r="K217" i="2"/>
  <c r="K234" i="2"/>
  <c r="K251" i="2"/>
  <c r="K269" i="2"/>
  <c r="K286" i="2"/>
  <c r="K303" i="2"/>
  <c r="K320" i="2"/>
  <c r="K337" i="2"/>
  <c r="K354" i="2"/>
  <c r="K371" i="2"/>
  <c r="K388" i="2"/>
  <c r="K405" i="2"/>
  <c r="K422" i="2"/>
  <c r="K439" i="2"/>
  <c r="K456" i="2"/>
  <c r="K473" i="2"/>
  <c r="K490" i="2"/>
  <c r="K507" i="2"/>
  <c r="K525" i="2"/>
  <c r="K542" i="2"/>
  <c r="K559" i="2"/>
  <c r="K576" i="2"/>
  <c r="K593" i="2"/>
  <c r="K610" i="2"/>
  <c r="K627" i="2"/>
  <c r="K5" i="2"/>
  <c r="K29" i="2"/>
  <c r="K51" i="2"/>
  <c r="K73" i="2"/>
  <c r="K93" i="2"/>
  <c r="K112" i="2"/>
  <c r="K133" i="2"/>
  <c r="K150" i="2"/>
  <c r="K167" i="2"/>
  <c r="K184" i="2"/>
  <c r="K201" i="2"/>
  <c r="K218" i="2"/>
  <c r="K235" i="2"/>
  <c r="K253" i="2"/>
  <c r="K270" i="2"/>
  <c r="K287" i="2"/>
  <c r="K304" i="2"/>
  <c r="K321" i="2"/>
  <c r="K338" i="2"/>
  <c r="K355" i="2"/>
  <c r="K372" i="2"/>
  <c r="K389" i="2"/>
  <c r="K406" i="2"/>
  <c r="K423" i="2"/>
  <c r="K440" i="2"/>
  <c r="K457" i="2"/>
  <c r="K474" i="2"/>
  <c r="K491" i="2"/>
  <c r="K509" i="2"/>
  <c r="K526" i="2"/>
  <c r="K543" i="2"/>
  <c r="K560" i="2"/>
  <c r="K577" i="2"/>
  <c r="K594" i="2"/>
  <c r="K611" i="2"/>
  <c r="K628" i="2"/>
  <c r="K645" i="2"/>
  <c r="K662" i="2"/>
  <c r="K679" i="2"/>
  <c r="K696" i="2"/>
  <c r="K713" i="2"/>
  <c r="K730" i="2"/>
  <c r="K747" i="2"/>
  <c r="K765" i="2"/>
  <c r="K782" i="2"/>
  <c r="K799" i="2"/>
  <c r="K816" i="2"/>
  <c r="K833" i="2"/>
  <c r="K850" i="2"/>
  <c r="K867" i="2"/>
  <c r="K884" i="2"/>
  <c r="K901" i="2"/>
  <c r="K918" i="2"/>
  <c r="K935" i="2"/>
  <c r="K952" i="2"/>
  <c r="K969" i="2"/>
  <c r="K986" i="2"/>
  <c r="K8" i="2"/>
  <c r="K30" i="2"/>
  <c r="K53" i="2"/>
  <c r="K74" i="2"/>
  <c r="K94" i="2"/>
  <c r="K113" i="2"/>
  <c r="K134" i="2"/>
  <c r="K151" i="2"/>
  <c r="K168" i="2"/>
  <c r="K185" i="2"/>
  <c r="K202" i="2"/>
  <c r="K219" i="2"/>
  <c r="K237" i="2"/>
  <c r="K254" i="2"/>
  <c r="K271" i="2"/>
  <c r="K288" i="2"/>
  <c r="K305" i="2"/>
  <c r="K322" i="2"/>
  <c r="K339" i="2"/>
  <c r="K356" i="2"/>
  <c r="K373" i="2"/>
  <c r="K390" i="2"/>
  <c r="K407" i="2"/>
  <c r="K424" i="2"/>
  <c r="K441" i="2"/>
  <c r="K458" i="2"/>
  <c r="K475" i="2"/>
  <c r="K9" i="2"/>
  <c r="K31" i="2"/>
  <c r="K55" i="2"/>
  <c r="K75" i="2"/>
  <c r="K95" i="2"/>
  <c r="K115" i="2"/>
  <c r="K135" i="2"/>
  <c r="K152" i="2"/>
  <c r="K169" i="2"/>
  <c r="K186" i="2"/>
  <c r="K203" i="2"/>
  <c r="K221" i="2"/>
  <c r="K238" i="2"/>
  <c r="K255" i="2"/>
  <c r="K272" i="2"/>
  <c r="K289" i="2"/>
  <c r="K306" i="2"/>
  <c r="K323" i="2"/>
  <c r="K340" i="2"/>
  <c r="K357" i="2"/>
  <c r="K374" i="2"/>
  <c r="K391" i="2"/>
  <c r="K408" i="2"/>
  <c r="K425" i="2"/>
  <c r="K442" i="2"/>
  <c r="K459" i="2"/>
  <c r="K477" i="2"/>
  <c r="K494" i="2"/>
  <c r="K511" i="2"/>
  <c r="K528" i="2"/>
  <c r="K545" i="2"/>
  <c r="K10" i="2"/>
  <c r="K32" i="2"/>
  <c r="K56" i="2"/>
  <c r="K77" i="2"/>
  <c r="K96" i="2"/>
  <c r="K117" i="2"/>
  <c r="K136" i="2"/>
  <c r="K153" i="2"/>
  <c r="K170" i="2"/>
  <c r="K187" i="2"/>
  <c r="K205" i="2"/>
  <c r="K222" i="2"/>
  <c r="K239" i="2"/>
  <c r="K256" i="2"/>
  <c r="K273" i="2"/>
  <c r="K290" i="2"/>
  <c r="K307" i="2"/>
  <c r="K324" i="2"/>
  <c r="K341" i="2"/>
  <c r="K11" i="2"/>
  <c r="K33" i="2"/>
  <c r="K57" i="2"/>
  <c r="K78" i="2"/>
  <c r="K97" i="2"/>
  <c r="K118" i="2"/>
  <c r="K137" i="2"/>
  <c r="K154" i="2"/>
  <c r="K171" i="2"/>
  <c r="K189" i="2"/>
  <c r="K206" i="2"/>
  <c r="K223" i="2"/>
  <c r="K240" i="2"/>
  <c r="K257" i="2"/>
  <c r="K274" i="2"/>
  <c r="K291" i="2"/>
  <c r="K308" i="2"/>
  <c r="K325" i="2"/>
  <c r="K342" i="2"/>
  <c r="K359" i="2"/>
  <c r="K376" i="2"/>
  <c r="K393" i="2"/>
  <c r="K410" i="2"/>
  <c r="K427" i="2"/>
  <c r="K445" i="2"/>
  <c r="K462" i="2"/>
  <c r="K479" i="2"/>
  <c r="K496" i="2"/>
  <c r="K513" i="2"/>
  <c r="K530" i="2"/>
  <c r="K547" i="2"/>
  <c r="K564" i="2"/>
  <c r="K581" i="2"/>
  <c r="K598" i="2"/>
  <c r="K615" i="2"/>
  <c r="K632" i="2"/>
  <c r="K649" i="2"/>
  <c r="K666" i="2"/>
  <c r="K683" i="2"/>
  <c r="K701" i="2"/>
  <c r="K718" i="2"/>
  <c r="K735" i="2"/>
  <c r="K752" i="2"/>
  <c r="K769" i="2"/>
  <c r="K786" i="2"/>
  <c r="K803" i="2"/>
  <c r="K820" i="2"/>
  <c r="K837" i="2"/>
  <c r="K854" i="2"/>
  <c r="K871" i="2"/>
  <c r="K888" i="2"/>
  <c r="K905" i="2"/>
  <c r="K922" i="2"/>
  <c r="K939" i="2"/>
  <c r="K957" i="2"/>
  <c r="K974" i="2"/>
  <c r="K991" i="2"/>
  <c r="K13" i="2"/>
  <c r="K35" i="2"/>
  <c r="K58" i="2"/>
  <c r="K79" i="2"/>
  <c r="K99" i="2"/>
  <c r="K119" i="2"/>
  <c r="K138" i="2"/>
  <c r="K155" i="2"/>
  <c r="K173" i="2"/>
  <c r="K14" i="2"/>
  <c r="K37" i="2"/>
  <c r="K59" i="2"/>
  <c r="K80" i="2"/>
  <c r="K101" i="2"/>
  <c r="K120" i="2"/>
  <c r="K139" i="2"/>
  <c r="K157" i="2"/>
  <c r="K174" i="2"/>
  <c r="K191" i="2"/>
  <c r="K208" i="2"/>
  <c r="K225" i="2"/>
  <c r="K242" i="2"/>
  <c r="K259" i="2"/>
  <c r="K276" i="2"/>
  <c r="K293" i="2"/>
  <c r="K310" i="2"/>
  <c r="K327" i="2"/>
  <c r="K344" i="2"/>
  <c r="K361" i="2"/>
  <c r="K378" i="2"/>
  <c r="K395" i="2"/>
  <c r="K413" i="2"/>
  <c r="K430" i="2"/>
  <c r="K447" i="2"/>
  <c r="K464" i="2"/>
  <c r="K481" i="2"/>
  <c r="K498" i="2"/>
  <c r="K515" i="2"/>
  <c r="K532" i="2"/>
  <c r="K549" i="2"/>
  <c r="K566" i="2"/>
  <c r="K583" i="2"/>
  <c r="K600" i="2"/>
  <c r="K617" i="2"/>
  <c r="K634" i="2"/>
  <c r="K651" i="2"/>
  <c r="K669" i="2"/>
  <c r="K686" i="2"/>
  <c r="K703" i="2"/>
  <c r="K720" i="2"/>
  <c r="K737" i="2"/>
  <c r="K754" i="2"/>
  <c r="K771" i="2"/>
  <c r="K788" i="2"/>
  <c r="K805" i="2"/>
  <c r="K822" i="2"/>
  <c r="K839" i="2"/>
  <c r="K856" i="2"/>
  <c r="K873" i="2"/>
  <c r="K890" i="2"/>
  <c r="K907" i="2"/>
  <c r="K925" i="2"/>
  <c r="K942" i="2"/>
  <c r="K959" i="2"/>
  <c r="K976" i="2"/>
  <c r="K993" i="2"/>
  <c r="K292" i="2"/>
  <c r="K401" i="2"/>
  <c r="K478" i="2"/>
  <c r="K522" i="2"/>
  <c r="K562" i="2"/>
  <c r="K596" i="2"/>
  <c r="K625" i="2"/>
  <c r="K656" i="2"/>
  <c r="K681" i="2"/>
  <c r="K709" i="2"/>
  <c r="K736" i="2"/>
  <c r="K763" i="2"/>
  <c r="K792" i="2"/>
  <c r="K818" i="2"/>
  <c r="K846" i="2"/>
  <c r="K872" i="2"/>
  <c r="K900" i="2"/>
  <c r="K929" i="2"/>
  <c r="K954" i="2"/>
  <c r="K982" i="2"/>
  <c r="K298" i="2"/>
  <c r="K409" i="2"/>
  <c r="K480" i="2"/>
  <c r="K527" i="2"/>
  <c r="K563" i="2"/>
  <c r="K597" i="2"/>
  <c r="K629" i="2"/>
  <c r="K657" i="2"/>
  <c r="K682" i="2"/>
  <c r="K710" i="2"/>
  <c r="K738" i="2"/>
  <c r="K766" i="2"/>
  <c r="K793" i="2"/>
  <c r="K819" i="2"/>
  <c r="K847" i="2"/>
  <c r="K874" i="2"/>
  <c r="K902" i="2"/>
  <c r="K930" i="2"/>
  <c r="K955" i="2"/>
  <c r="K983" i="2"/>
  <c r="K309" i="2"/>
  <c r="K411" i="2"/>
  <c r="K486" i="2"/>
  <c r="K529" i="2"/>
  <c r="K565" i="2"/>
  <c r="K599" i="2"/>
  <c r="K630" i="2"/>
  <c r="K658" i="2"/>
  <c r="K685" i="2"/>
  <c r="K712" i="2"/>
  <c r="K741" i="2"/>
  <c r="K767" i="2"/>
  <c r="K794" i="2"/>
  <c r="K821" i="2"/>
  <c r="K849" i="2"/>
  <c r="K878" i="2"/>
  <c r="K903" i="2"/>
  <c r="K931" i="2"/>
  <c r="K958" i="2"/>
  <c r="K985" i="2"/>
  <c r="K315" i="2"/>
  <c r="K418" i="2"/>
  <c r="K487" i="2"/>
  <c r="K531" i="2"/>
  <c r="K567" i="2"/>
  <c r="K601" i="2"/>
  <c r="K631" i="2"/>
  <c r="K659" i="2"/>
  <c r="K687" i="2"/>
  <c r="K714" i="2"/>
  <c r="K742" i="2"/>
  <c r="K768" i="2"/>
  <c r="K795" i="2"/>
  <c r="K823" i="2"/>
  <c r="K851" i="2"/>
  <c r="K879" i="2"/>
  <c r="K904" i="2"/>
  <c r="K932" i="2"/>
  <c r="K960" i="2"/>
  <c r="K987" i="2"/>
  <c r="K326" i="2"/>
  <c r="K426" i="2"/>
  <c r="K488" i="2"/>
  <c r="K533" i="2"/>
  <c r="K571" i="2"/>
  <c r="K605" i="2"/>
  <c r="K633" i="2"/>
  <c r="K661" i="2"/>
  <c r="K690" i="2"/>
  <c r="K715" i="2"/>
  <c r="K743" i="2"/>
  <c r="K770" i="2"/>
  <c r="K798" i="2"/>
  <c r="K826" i="2"/>
  <c r="K852" i="2"/>
  <c r="K880" i="2"/>
  <c r="K906" i="2"/>
  <c r="K934" i="2"/>
  <c r="K963" i="2"/>
  <c r="K989" i="2"/>
  <c r="K333" i="2"/>
  <c r="K429" i="2"/>
  <c r="K493" i="2"/>
  <c r="K537" i="2"/>
  <c r="K573" i="2"/>
  <c r="K606" i="2"/>
  <c r="K635" i="2"/>
  <c r="K663" i="2"/>
  <c r="K691" i="2"/>
  <c r="K717" i="2"/>
  <c r="K744" i="2"/>
  <c r="K772" i="2"/>
  <c r="K800" i="2"/>
  <c r="K827" i="2"/>
  <c r="K853" i="2"/>
  <c r="K881" i="2"/>
  <c r="K909" i="2"/>
  <c r="K936" i="2"/>
  <c r="K964" i="2"/>
  <c r="K990" i="2"/>
  <c r="K343" i="2"/>
  <c r="K435" i="2"/>
  <c r="K495" i="2"/>
  <c r="K538" i="2"/>
  <c r="K574" i="2"/>
  <c r="K607" i="2"/>
  <c r="K639" i="2"/>
  <c r="K664" i="2"/>
  <c r="K692" i="2"/>
  <c r="K719" i="2"/>
  <c r="K746" i="2"/>
  <c r="K775" i="2"/>
  <c r="K801" i="2"/>
  <c r="K829" i="2"/>
  <c r="K855" i="2"/>
  <c r="K883" i="2"/>
  <c r="K912" i="2"/>
  <c r="K937" i="2"/>
  <c r="K965" i="2"/>
  <c r="K992" i="2"/>
  <c r="K350" i="2"/>
  <c r="K437" i="2"/>
  <c r="K497" i="2"/>
  <c r="K539" i="2"/>
  <c r="K578" i="2"/>
  <c r="K608" i="2"/>
  <c r="K640" i="2"/>
  <c r="K665" i="2"/>
  <c r="K693" i="2"/>
  <c r="K721" i="2"/>
  <c r="K749" i="2"/>
  <c r="K776" i="2"/>
  <c r="K802" i="2"/>
  <c r="K830" i="2"/>
  <c r="K857" i="2"/>
  <c r="K885" i="2"/>
  <c r="K913" i="2"/>
  <c r="K938" i="2"/>
  <c r="K966" i="2"/>
  <c r="K994" i="2"/>
  <c r="K190" i="2"/>
  <c r="K358" i="2"/>
  <c r="K443" i="2"/>
  <c r="K503" i="2"/>
  <c r="K544" i="2"/>
  <c r="K579" i="2"/>
  <c r="K612" i="2"/>
  <c r="K641" i="2"/>
  <c r="K667" i="2"/>
  <c r="K695" i="2"/>
  <c r="K724" i="2"/>
  <c r="K750" i="2"/>
  <c r="K777" i="2"/>
  <c r="K804" i="2"/>
  <c r="K832" i="2"/>
  <c r="K861" i="2"/>
  <c r="K886" i="2"/>
  <c r="K914" i="2"/>
  <c r="K941" i="2"/>
  <c r="K968" i="2"/>
  <c r="K997" i="2"/>
  <c r="K207" i="2"/>
  <c r="K360" i="2"/>
  <c r="K446" i="2"/>
  <c r="K504" i="2"/>
  <c r="K546" i="2"/>
  <c r="K580" i="2"/>
  <c r="K613" i="2"/>
  <c r="K642" i="2"/>
  <c r="K670" i="2"/>
  <c r="K697" i="2"/>
  <c r="K725" i="2"/>
  <c r="K751" i="2"/>
  <c r="K778" i="2"/>
  <c r="K806" i="2"/>
  <c r="K834" i="2"/>
  <c r="K862" i="2"/>
  <c r="K887" i="2"/>
  <c r="K915" i="2"/>
  <c r="K943" i="2"/>
  <c r="K970" i="2"/>
  <c r="K998" i="2"/>
  <c r="K224" i="2"/>
  <c r="K367" i="2"/>
  <c r="K452" i="2"/>
  <c r="K505" i="2"/>
  <c r="K548" i="2"/>
  <c r="K582" i="2"/>
  <c r="K614" i="2"/>
  <c r="K644" i="2"/>
  <c r="K673" i="2"/>
  <c r="K698" i="2"/>
  <c r="K726" i="2"/>
  <c r="K753" i="2"/>
  <c r="K781" i="2"/>
  <c r="K809" i="2"/>
  <c r="K835" i="2"/>
  <c r="K863" i="2"/>
  <c r="K889" i="2"/>
  <c r="K917" i="2"/>
  <c r="K946" i="2"/>
  <c r="K971" i="2"/>
  <c r="K999" i="2"/>
  <c r="K241" i="2"/>
  <c r="K375" i="2"/>
  <c r="K454" i="2"/>
  <c r="K510" i="2"/>
  <c r="K550" i="2"/>
  <c r="K584" i="2"/>
  <c r="K616" i="2"/>
  <c r="K646" i="2"/>
  <c r="K674" i="2"/>
  <c r="K699" i="2"/>
  <c r="K727" i="2"/>
  <c r="K755" i="2"/>
  <c r="K783" i="2"/>
  <c r="K810" i="2"/>
  <c r="K836" i="2"/>
  <c r="K864" i="2"/>
  <c r="K891" i="2"/>
  <c r="K919" i="2"/>
  <c r="K947" i="2"/>
  <c r="K973" i="2"/>
  <c r="K1000" i="2"/>
  <c r="K258" i="2"/>
  <c r="K377" i="2"/>
  <c r="K461" i="2"/>
  <c r="K512" i="2"/>
  <c r="K554" i="2"/>
  <c r="K589" i="2"/>
  <c r="K618" i="2"/>
  <c r="K647" i="2"/>
  <c r="K675" i="2"/>
  <c r="K702" i="2"/>
  <c r="K729" i="2"/>
  <c r="K758" i="2"/>
  <c r="K784" i="2"/>
  <c r="K811" i="2"/>
  <c r="K838" i="2"/>
  <c r="K866" i="2"/>
  <c r="K895" i="2"/>
  <c r="K920" i="2"/>
  <c r="K948" i="2"/>
  <c r="K975" i="2"/>
  <c r="K1002" i="2"/>
  <c r="K264" i="2"/>
  <c r="K384" i="2"/>
  <c r="K463" i="2"/>
  <c r="K514" i="2"/>
  <c r="K555" i="2"/>
  <c r="K590" i="2"/>
  <c r="K622" i="2"/>
  <c r="K648" i="2"/>
  <c r="K676" i="2"/>
  <c r="K704" i="2"/>
  <c r="K731" i="2"/>
  <c r="K759" i="2"/>
  <c r="K785" i="2"/>
  <c r="K813" i="2"/>
  <c r="K840" i="2"/>
  <c r="K868" i="2"/>
  <c r="K896" i="2"/>
  <c r="K921" i="2"/>
  <c r="K949" i="2"/>
  <c r="K977" i="2"/>
  <c r="K275" i="2"/>
  <c r="K392" i="2"/>
  <c r="K469" i="2"/>
  <c r="K520" i="2"/>
  <c r="K557" i="2"/>
  <c r="K591" i="2"/>
  <c r="K623" i="2"/>
  <c r="K650" i="2"/>
  <c r="K678" i="2"/>
  <c r="K707" i="2"/>
  <c r="K733" i="2"/>
  <c r="K760" i="2"/>
  <c r="K787" i="2"/>
  <c r="K815" i="2"/>
  <c r="K843" i="2"/>
  <c r="K869" i="2"/>
  <c r="K897" i="2"/>
  <c r="K923" i="2"/>
  <c r="K951" i="2"/>
  <c r="K980" i="2"/>
  <c r="K281" i="2"/>
  <c r="K394" i="2"/>
  <c r="K471" i="2"/>
  <c r="K521" i="2"/>
  <c r="K561" i="2"/>
  <c r="K595" i="2"/>
  <c r="K624" i="2"/>
  <c r="K653" i="2"/>
  <c r="K680" i="2"/>
  <c r="K708" i="2"/>
  <c r="K734" i="2"/>
  <c r="K761" i="2"/>
  <c r="K789" i="2"/>
  <c r="K817" i="2"/>
  <c r="K845" i="2"/>
  <c r="K870" i="2"/>
  <c r="K898" i="2"/>
  <c r="K926" i="2"/>
  <c r="K953" i="2"/>
  <c r="K981" i="2"/>
  <c r="K2" i="2"/>
  <c r="O795" i="2"/>
  <c r="O779" i="2"/>
  <c r="O763" i="2"/>
  <c r="O747" i="2"/>
  <c r="O731" i="2"/>
  <c r="O715" i="2"/>
  <c r="O699" i="2"/>
  <c r="O683" i="2"/>
  <c r="O667" i="2"/>
  <c r="O651" i="2"/>
  <c r="O635" i="2"/>
  <c r="O619" i="2"/>
  <c r="O603" i="2"/>
  <c r="O587" i="2"/>
  <c r="O571" i="2"/>
  <c r="O555" i="2"/>
  <c r="O538" i="2"/>
  <c r="O519" i="2"/>
  <c r="O498" i="2"/>
  <c r="O476" i="2"/>
  <c r="O455" i="2"/>
  <c r="O434" i="2"/>
  <c r="O412" i="2"/>
  <c r="O391" i="2"/>
  <c r="O370" i="2"/>
  <c r="O348" i="2"/>
  <c r="O327" i="2"/>
  <c r="O306" i="2"/>
  <c r="O284" i="2"/>
  <c r="O263" i="2"/>
  <c r="O237" i="2"/>
  <c r="O213" i="2"/>
  <c r="O186" i="2"/>
  <c r="O162" i="2"/>
  <c r="O136" i="2"/>
  <c r="O104" i="2"/>
  <c r="O72" i="2"/>
  <c r="O40" i="2"/>
  <c r="O8" i="2"/>
  <c r="M12" i="2"/>
  <c r="M28" i="2"/>
  <c r="M44" i="2"/>
  <c r="M60" i="2"/>
  <c r="M76" i="2"/>
  <c r="M92" i="2"/>
  <c r="M108" i="2"/>
  <c r="M124" i="2"/>
  <c r="M140" i="2"/>
  <c r="M156" i="2"/>
  <c r="M172" i="2"/>
  <c r="M188" i="2"/>
  <c r="M204" i="2"/>
  <c r="M220" i="2"/>
  <c r="M236" i="2"/>
  <c r="M252" i="2"/>
  <c r="M268" i="2"/>
  <c r="M284" i="2"/>
  <c r="M300" i="2"/>
  <c r="M316" i="2"/>
  <c r="M332" i="2"/>
  <c r="M348" i="2"/>
  <c r="M364" i="2"/>
  <c r="M380" i="2"/>
  <c r="M396" i="2"/>
  <c r="M412" i="2"/>
  <c r="M428" i="2"/>
  <c r="M444" i="2"/>
  <c r="M460" i="2"/>
  <c r="M476" i="2"/>
  <c r="M492" i="2"/>
  <c r="M508" i="2"/>
  <c r="M524" i="2"/>
  <c r="M540" i="2"/>
  <c r="M14" i="2"/>
  <c r="M17" i="2"/>
  <c r="M33" i="2"/>
  <c r="M49" i="2"/>
  <c r="M65" i="2"/>
  <c r="M81" i="2"/>
  <c r="M97" i="2"/>
  <c r="M113" i="2"/>
  <c r="M129" i="2"/>
  <c r="M145" i="2"/>
  <c r="M161" i="2"/>
  <c r="M177" i="2"/>
  <c r="M193" i="2"/>
  <c r="M209" i="2"/>
  <c r="M225" i="2"/>
  <c r="M241" i="2"/>
  <c r="M257" i="2"/>
  <c r="M273" i="2"/>
  <c r="M289" i="2"/>
  <c r="M305" i="2"/>
  <c r="M321" i="2"/>
  <c r="M337" i="2"/>
  <c r="M353" i="2"/>
  <c r="M369" i="2"/>
  <c r="M385" i="2"/>
  <c r="M401" i="2"/>
  <c r="M417" i="2"/>
  <c r="M433" i="2"/>
  <c r="M449" i="2"/>
  <c r="M465" i="2"/>
  <c r="M481" i="2"/>
  <c r="M497" i="2"/>
  <c r="M513" i="2"/>
  <c r="M529" i="2"/>
  <c r="M18" i="2"/>
  <c r="M34" i="2"/>
  <c r="M50" i="2"/>
  <c r="M66" i="2"/>
  <c r="M82" i="2"/>
  <c r="M98" i="2"/>
  <c r="M114" i="2"/>
  <c r="M130" i="2"/>
  <c r="M146" i="2"/>
  <c r="M162" i="2"/>
  <c r="M178" i="2"/>
  <c r="M194" i="2"/>
  <c r="M210" i="2"/>
  <c r="M226" i="2"/>
  <c r="M242" i="2"/>
  <c r="M258" i="2"/>
  <c r="M274" i="2"/>
  <c r="M290" i="2"/>
  <c r="M306" i="2"/>
  <c r="M322" i="2"/>
  <c r="M338" i="2"/>
  <c r="M354" i="2"/>
  <c r="M370" i="2"/>
  <c r="M386" i="2"/>
  <c r="M402" i="2"/>
  <c r="M418" i="2"/>
  <c r="M434" i="2"/>
  <c r="M450" i="2"/>
  <c r="M466" i="2"/>
  <c r="M482" i="2"/>
  <c r="M498" i="2"/>
  <c r="M514" i="2"/>
  <c r="M530" i="2"/>
  <c r="M546" i="2"/>
  <c r="M562" i="2"/>
  <c r="M578" i="2"/>
  <c r="M594" i="2"/>
  <c r="M610" i="2"/>
  <c r="M626" i="2"/>
  <c r="M642" i="2"/>
  <c r="M658" i="2"/>
  <c r="M674" i="2"/>
  <c r="M690" i="2"/>
  <c r="M706" i="2"/>
  <c r="M722" i="2"/>
  <c r="M738" i="2"/>
  <c r="M754" i="2"/>
  <c r="M770" i="2"/>
  <c r="M786" i="2"/>
  <c r="M802" i="2"/>
  <c r="M818" i="2"/>
  <c r="M4" i="2"/>
  <c r="M20" i="2"/>
  <c r="M36" i="2"/>
  <c r="M52" i="2"/>
  <c r="M68" i="2"/>
  <c r="M84" i="2"/>
  <c r="M100" i="2"/>
  <c r="M116" i="2"/>
  <c r="M132" i="2"/>
  <c r="M148" i="2"/>
  <c r="M164" i="2"/>
  <c r="M180" i="2"/>
  <c r="M196" i="2"/>
  <c r="M212" i="2"/>
  <c r="M228" i="2"/>
  <c r="M244" i="2"/>
  <c r="M260" i="2"/>
  <c r="M276" i="2"/>
  <c r="M292" i="2"/>
  <c r="M308" i="2"/>
  <c r="M324" i="2"/>
  <c r="M340" i="2"/>
  <c r="M356" i="2"/>
  <c r="M372" i="2"/>
  <c r="M388" i="2"/>
  <c r="M404" i="2"/>
  <c r="M420" i="2"/>
  <c r="M436" i="2"/>
  <c r="M452" i="2"/>
  <c r="M468" i="2"/>
  <c r="M484" i="2"/>
  <c r="M500" i="2"/>
  <c r="M516" i="2"/>
  <c r="M532" i="2"/>
  <c r="M548" i="2"/>
  <c r="M564" i="2"/>
  <c r="M580" i="2"/>
  <c r="M596" i="2"/>
  <c r="M612" i="2"/>
  <c r="M628" i="2"/>
  <c r="M644" i="2"/>
  <c r="M660" i="2"/>
  <c r="M676" i="2"/>
  <c r="M692" i="2"/>
  <c r="M708" i="2"/>
  <c r="M724" i="2"/>
  <c r="M740" i="2"/>
  <c r="M756" i="2"/>
  <c r="M772" i="2"/>
  <c r="M788" i="2"/>
  <c r="M804" i="2"/>
  <c r="M820" i="2"/>
  <c r="M836" i="2"/>
  <c r="M852" i="2"/>
  <c r="M868" i="2"/>
  <c r="M884" i="2"/>
  <c r="M900" i="2"/>
  <c r="M916" i="2"/>
  <c r="M932" i="2"/>
  <c r="M948" i="2"/>
  <c r="M964" i="2"/>
  <c r="M980" i="2"/>
  <c r="M996" i="2"/>
  <c r="M6" i="2"/>
  <c r="M8" i="2"/>
  <c r="M24" i="2"/>
  <c r="M40" i="2"/>
  <c r="M56" i="2"/>
  <c r="M72" i="2"/>
  <c r="M88" i="2"/>
  <c r="M104" i="2"/>
  <c r="M120" i="2"/>
  <c r="M136" i="2"/>
  <c r="M152" i="2"/>
  <c r="M168" i="2"/>
  <c r="M184" i="2"/>
  <c r="M200" i="2"/>
  <c r="M216" i="2"/>
  <c r="M232" i="2"/>
  <c r="M248" i="2"/>
  <c r="M264" i="2"/>
  <c r="M280" i="2"/>
  <c r="M296" i="2"/>
  <c r="M312" i="2"/>
  <c r="M328" i="2"/>
  <c r="M344" i="2"/>
  <c r="M360" i="2"/>
  <c r="M376" i="2"/>
  <c r="M392" i="2"/>
  <c r="M408" i="2"/>
  <c r="M424" i="2"/>
  <c r="M440" i="2"/>
  <c r="M456" i="2"/>
  <c r="M472" i="2"/>
  <c r="M488" i="2"/>
  <c r="M504" i="2"/>
  <c r="M520" i="2"/>
  <c r="M536" i="2"/>
  <c r="M552" i="2"/>
  <c r="M568" i="2"/>
  <c r="M584" i="2"/>
  <c r="M600" i="2"/>
  <c r="M616" i="2"/>
  <c r="M632" i="2"/>
  <c r="M648" i="2"/>
  <c r="M664" i="2"/>
  <c r="M680" i="2"/>
  <c r="M696" i="2"/>
  <c r="M712" i="2"/>
  <c r="M728" i="2"/>
  <c r="M744" i="2"/>
  <c r="M760" i="2"/>
  <c r="M776" i="2"/>
  <c r="M792" i="2"/>
  <c r="M808" i="2"/>
  <c r="M824" i="2"/>
  <c r="M840" i="2"/>
  <c r="M856" i="2"/>
  <c r="M872" i="2"/>
  <c r="M888" i="2"/>
  <c r="M904" i="2"/>
  <c r="M920" i="2"/>
  <c r="M936" i="2"/>
  <c r="M952" i="2"/>
  <c r="M968" i="2"/>
  <c r="M984" i="2"/>
  <c r="M1000" i="2"/>
  <c r="M16" i="2"/>
  <c r="M41" i="2"/>
  <c r="M63" i="2"/>
  <c r="M87" i="2"/>
  <c r="M110" i="2"/>
  <c r="M134" i="2"/>
  <c r="M157" i="2"/>
  <c r="M19" i="2"/>
  <c r="M42" i="2"/>
  <c r="M64" i="2"/>
  <c r="M89" i="2"/>
  <c r="M111" i="2"/>
  <c r="M135" i="2"/>
  <c r="M158" i="2"/>
  <c r="M182" i="2"/>
  <c r="M205" i="2"/>
  <c r="M229" i="2"/>
  <c r="M251" i="2"/>
  <c r="M275" i="2"/>
  <c r="M298" i="2"/>
  <c r="M320" i="2"/>
  <c r="M345" i="2"/>
  <c r="M367" i="2"/>
  <c r="M391" i="2"/>
  <c r="M414" i="2"/>
  <c r="M438" i="2"/>
  <c r="M461" i="2"/>
  <c r="M485" i="2"/>
  <c r="M507" i="2"/>
  <c r="M531" i="2"/>
  <c r="M553" i="2"/>
  <c r="M572" i="2"/>
  <c r="M591" i="2"/>
  <c r="M611" i="2"/>
  <c r="M631" i="2"/>
  <c r="M651" i="2"/>
  <c r="M670" i="2"/>
  <c r="M689" i="2"/>
  <c r="M710" i="2"/>
  <c r="M730" i="2"/>
  <c r="M749" i="2"/>
  <c r="M768" i="2"/>
  <c r="M789" i="2"/>
  <c r="M809" i="2"/>
  <c r="M828" i="2"/>
  <c r="M846" i="2"/>
  <c r="M864" i="2"/>
  <c r="M882" i="2"/>
  <c r="M901" i="2"/>
  <c r="M919" i="2"/>
  <c r="M938" i="2"/>
  <c r="M956" i="2"/>
  <c r="M974" i="2"/>
  <c r="M992" i="2"/>
  <c r="M21" i="2"/>
  <c r="M43" i="2"/>
  <c r="M67" i="2"/>
  <c r="M90" i="2"/>
  <c r="M112" i="2"/>
  <c r="M137" i="2"/>
  <c r="M159" i="2"/>
  <c r="M183" i="2"/>
  <c r="M206" i="2"/>
  <c r="M230" i="2"/>
  <c r="M253" i="2"/>
  <c r="M277" i="2"/>
  <c r="M299" i="2"/>
  <c r="M323" i="2"/>
  <c r="M346" i="2"/>
  <c r="M368" i="2"/>
  <c r="M393" i="2"/>
  <c r="M415" i="2"/>
  <c r="M439" i="2"/>
  <c r="M462" i="2"/>
  <c r="M486" i="2"/>
  <c r="M509" i="2"/>
  <c r="M533" i="2"/>
  <c r="M554" i="2"/>
  <c r="M573" i="2"/>
  <c r="M592" i="2"/>
  <c r="M613" i="2"/>
  <c r="M633" i="2"/>
  <c r="M652" i="2"/>
  <c r="M671" i="2"/>
  <c r="M691" i="2"/>
  <c r="M711" i="2"/>
  <c r="M731" i="2"/>
  <c r="M750" i="2"/>
  <c r="M769" i="2"/>
  <c r="M790" i="2"/>
  <c r="M810" i="2"/>
  <c r="M829" i="2"/>
  <c r="M847" i="2"/>
  <c r="M865" i="2"/>
  <c r="M883" i="2"/>
  <c r="M22" i="2"/>
  <c r="M45" i="2"/>
  <c r="M69" i="2"/>
  <c r="M91" i="2"/>
  <c r="M115" i="2"/>
  <c r="M138" i="2"/>
  <c r="M160" i="2"/>
  <c r="M185" i="2"/>
  <c r="M207" i="2"/>
  <c r="M231" i="2"/>
  <c r="M254" i="2"/>
  <c r="M278" i="2"/>
  <c r="M301" i="2"/>
  <c r="M325" i="2"/>
  <c r="M347" i="2"/>
  <c r="M371" i="2"/>
  <c r="M394" i="2"/>
  <c r="M416" i="2"/>
  <c r="M441" i="2"/>
  <c r="M463" i="2"/>
  <c r="M487" i="2"/>
  <c r="M510" i="2"/>
  <c r="M534" i="2"/>
  <c r="M555" i="2"/>
  <c r="M574" i="2"/>
  <c r="M593" i="2"/>
  <c r="M614" i="2"/>
  <c r="M634" i="2"/>
  <c r="M653" i="2"/>
  <c r="M672" i="2"/>
  <c r="M693" i="2"/>
  <c r="M713" i="2"/>
  <c r="M732" i="2"/>
  <c r="M751" i="2"/>
  <c r="M771" i="2"/>
  <c r="M791" i="2"/>
  <c r="M811" i="2"/>
  <c r="M830" i="2"/>
  <c r="M848" i="2"/>
  <c r="M25" i="2"/>
  <c r="M47" i="2"/>
  <c r="M71" i="2"/>
  <c r="M94" i="2"/>
  <c r="M118" i="2"/>
  <c r="M141" i="2"/>
  <c r="M165" i="2"/>
  <c r="M187" i="2"/>
  <c r="M211" i="2"/>
  <c r="M234" i="2"/>
  <c r="M256" i="2"/>
  <c r="M281" i="2"/>
  <c r="M303" i="2"/>
  <c r="M327" i="2"/>
  <c r="M350" i="2"/>
  <c r="M374" i="2"/>
  <c r="M26" i="2"/>
  <c r="M48" i="2"/>
  <c r="M73" i="2"/>
  <c r="M95" i="2"/>
  <c r="M119" i="2"/>
  <c r="M142" i="2"/>
  <c r="M166" i="2"/>
  <c r="M189" i="2"/>
  <c r="M213" i="2"/>
  <c r="M235" i="2"/>
  <c r="M259" i="2"/>
  <c r="M282" i="2"/>
  <c r="M304" i="2"/>
  <c r="M329" i="2"/>
  <c r="M351" i="2"/>
  <c r="M375" i="2"/>
  <c r="M398" i="2"/>
  <c r="M422" i="2"/>
  <c r="M445" i="2"/>
  <c r="M469" i="2"/>
  <c r="M491" i="2"/>
  <c r="M515" i="2"/>
  <c r="M538" i="2"/>
  <c r="M558" i="2"/>
  <c r="M577" i="2"/>
  <c r="M598" i="2"/>
  <c r="M618" i="2"/>
  <c r="M637" i="2"/>
  <c r="M656" i="2"/>
  <c r="M677" i="2"/>
  <c r="M697" i="2"/>
  <c r="M716" i="2"/>
  <c r="M27" i="2"/>
  <c r="M51" i="2"/>
  <c r="M74" i="2"/>
  <c r="M96" i="2"/>
  <c r="M121" i="2"/>
  <c r="M143" i="2"/>
  <c r="M167" i="2"/>
  <c r="M190" i="2"/>
  <c r="M214" i="2"/>
  <c r="M237" i="2"/>
  <c r="M261" i="2"/>
  <c r="M283" i="2"/>
  <c r="M307" i="2"/>
  <c r="M330" i="2"/>
  <c r="M352" i="2"/>
  <c r="M377" i="2"/>
  <c r="M399" i="2"/>
  <c r="M423" i="2"/>
  <c r="M446" i="2"/>
  <c r="M470" i="2"/>
  <c r="M493" i="2"/>
  <c r="M517" i="2"/>
  <c r="M539" i="2"/>
  <c r="M559" i="2"/>
  <c r="M579" i="2"/>
  <c r="M599" i="2"/>
  <c r="M619" i="2"/>
  <c r="M638" i="2"/>
  <c r="M657" i="2"/>
  <c r="M678" i="2"/>
  <c r="M698" i="2"/>
  <c r="M717" i="2"/>
  <c r="M736" i="2"/>
  <c r="M757" i="2"/>
  <c r="M777" i="2"/>
  <c r="M796" i="2"/>
  <c r="M815" i="2"/>
  <c r="M834" i="2"/>
  <c r="M853" i="2"/>
  <c r="M871" i="2"/>
  <c r="M890" i="2"/>
  <c r="M908" i="2"/>
  <c r="M926" i="2"/>
  <c r="M944" i="2"/>
  <c r="M962" i="2"/>
  <c r="M981" i="2"/>
  <c r="M999" i="2"/>
  <c r="M3" i="2"/>
  <c r="M29" i="2"/>
  <c r="M53" i="2"/>
  <c r="M75" i="2"/>
  <c r="M99" i="2"/>
  <c r="M122" i="2"/>
  <c r="M144" i="2"/>
  <c r="M169" i="2"/>
  <c r="M191" i="2"/>
  <c r="M215" i="2"/>
  <c r="M238" i="2"/>
  <c r="M262" i="2"/>
  <c r="M285" i="2"/>
  <c r="M309" i="2"/>
  <c r="M331" i="2"/>
  <c r="M355" i="2"/>
  <c r="M378" i="2"/>
  <c r="M400" i="2"/>
  <c r="M425" i="2"/>
  <c r="M447" i="2"/>
  <c r="M471" i="2"/>
  <c r="M494" i="2"/>
  <c r="M518" i="2"/>
  <c r="M541" i="2"/>
  <c r="M560" i="2"/>
  <c r="M581" i="2"/>
  <c r="M601" i="2"/>
  <c r="M620" i="2"/>
  <c r="M639" i="2"/>
  <c r="M659" i="2"/>
  <c r="M679" i="2"/>
  <c r="M699" i="2"/>
  <c r="M718" i="2"/>
  <c r="M737" i="2"/>
  <c r="M758" i="2"/>
  <c r="M778" i="2"/>
  <c r="M797" i="2"/>
  <c r="M816" i="2"/>
  <c r="M835" i="2"/>
  <c r="M854" i="2"/>
  <c r="M873" i="2"/>
  <c r="M5" i="2"/>
  <c r="M30" i="2"/>
  <c r="M54" i="2"/>
  <c r="M77" i="2"/>
  <c r="M101" i="2"/>
  <c r="M123" i="2"/>
  <c r="M147" i="2"/>
  <c r="M170" i="2"/>
  <c r="M192" i="2"/>
  <c r="M217" i="2"/>
  <c r="M239" i="2"/>
  <c r="M263" i="2"/>
  <c r="M286" i="2"/>
  <c r="M310" i="2"/>
  <c r="M333" i="2"/>
  <c r="M357" i="2"/>
  <c r="M379" i="2"/>
  <c r="M403" i="2"/>
  <c r="M426" i="2"/>
  <c r="M448" i="2"/>
  <c r="M473" i="2"/>
  <c r="M495" i="2"/>
  <c r="M519" i="2"/>
  <c r="M542" i="2"/>
  <c r="M561" i="2"/>
  <c r="M582" i="2"/>
  <c r="M602" i="2"/>
  <c r="M621" i="2"/>
  <c r="M640" i="2"/>
  <c r="M661" i="2"/>
  <c r="M681" i="2"/>
  <c r="M700" i="2"/>
  <c r="M719" i="2"/>
  <c r="M739" i="2"/>
  <c r="M759" i="2"/>
  <c r="M779" i="2"/>
  <c r="M798" i="2"/>
  <c r="M817" i="2"/>
  <c r="M837" i="2"/>
  <c r="M855" i="2"/>
  <c r="M874" i="2"/>
  <c r="M892" i="2"/>
  <c r="M910" i="2"/>
  <c r="M928" i="2"/>
  <c r="M946" i="2"/>
  <c r="M965" i="2"/>
  <c r="M983" i="2"/>
  <c r="M1002" i="2"/>
  <c r="M7" i="2"/>
  <c r="M31" i="2"/>
  <c r="M55" i="2"/>
  <c r="M78" i="2"/>
  <c r="M102" i="2"/>
  <c r="M125" i="2"/>
  <c r="M149" i="2"/>
  <c r="M171" i="2"/>
  <c r="M195" i="2"/>
  <c r="M218" i="2"/>
  <c r="M240" i="2"/>
  <c r="M265" i="2"/>
  <c r="M287" i="2"/>
  <c r="M311" i="2"/>
  <c r="M334" i="2"/>
  <c r="M358" i="2"/>
  <c r="M381" i="2"/>
  <c r="M405" i="2"/>
  <c r="M427" i="2"/>
  <c r="M9" i="2"/>
  <c r="M32" i="2"/>
  <c r="M57" i="2"/>
  <c r="M79" i="2"/>
  <c r="M103" i="2"/>
  <c r="M126" i="2"/>
  <c r="M150" i="2"/>
  <c r="M173" i="2"/>
  <c r="M197" i="2"/>
  <c r="M219" i="2"/>
  <c r="M243" i="2"/>
  <c r="M266" i="2"/>
  <c r="M288" i="2"/>
  <c r="M313" i="2"/>
  <c r="M335" i="2"/>
  <c r="M359" i="2"/>
  <c r="M382" i="2"/>
  <c r="M406" i="2"/>
  <c r="M429" i="2"/>
  <c r="M453" i="2"/>
  <c r="M475" i="2"/>
  <c r="M499" i="2"/>
  <c r="M522" i="2"/>
  <c r="M544" i="2"/>
  <c r="M565" i="2"/>
  <c r="M585" i="2"/>
  <c r="M604" i="2"/>
  <c r="M623" i="2"/>
  <c r="M643" i="2"/>
  <c r="M663" i="2"/>
  <c r="M683" i="2"/>
  <c r="M702" i="2"/>
  <c r="M721" i="2"/>
  <c r="M742" i="2"/>
  <c r="M762" i="2"/>
  <c r="M781" i="2"/>
  <c r="M11" i="2"/>
  <c r="M37" i="2"/>
  <c r="M59" i="2"/>
  <c r="M83" i="2"/>
  <c r="M106" i="2"/>
  <c r="M128" i="2"/>
  <c r="M153" i="2"/>
  <c r="M175" i="2"/>
  <c r="M199" i="2"/>
  <c r="M222" i="2"/>
  <c r="M246" i="2"/>
  <c r="M269" i="2"/>
  <c r="M293" i="2"/>
  <c r="M315" i="2"/>
  <c r="M339" i="2"/>
  <c r="M362" i="2"/>
  <c r="M384" i="2"/>
  <c r="M409" i="2"/>
  <c r="M431" i="2"/>
  <c r="M455" i="2"/>
  <c r="M478" i="2"/>
  <c r="M502" i="2"/>
  <c r="M525" i="2"/>
  <c r="M547" i="2"/>
  <c r="M567" i="2"/>
  <c r="M587" i="2"/>
  <c r="M606" i="2"/>
  <c r="M625" i="2"/>
  <c r="M646" i="2"/>
  <c r="M666" i="2"/>
  <c r="M685" i="2"/>
  <c r="M704" i="2"/>
  <c r="M725" i="2"/>
  <c r="M745" i="2"/>
  <c r="M764" i="2"/>
  <c r="M783" i="2"/>
  <c r="M803" i="2"/>
  <c r="M823" i="2"/>
  <c r="M842" i="2"/>
  <c r="M860" i="2"/>
  <c r="M878" i="2"/>
  <c r="M896" i="2"/>
  <c r="M914" i="2"/>
  <c r="M933" i="2"/>
  <c r="M951" i="2"/>
  <c r="M970" i="2"/>
  <c r="M988" i="2"/>
  <c r="M58" i="2"/>
  <c r="M151" i="2"/>
  <c r="M224" i="2"/>
  <c r="M297" i="2"/>
  <c r="M373" i="2"/>
  <c r="M437" i="2"/>
  <c r="M490" i="2"/>
  <c r="M545" i="2"/>
  <c r="M589" i="2"/>
  <c r="M635" i="2"/>
  <c r="M682" i="2"/>
  <c r="M726" i="2"/>
  <c r="M765" i="2"/>
  <c r="M801" i="2"/>
  <c r="M838" i="2"/>
  <c r="M867" i="2"/>
  <c r="M895" i="2"/>
  <c r="M921" i="2"/>
  <c r="M943" i="2"/>
  <c r="M969" i="2"/>
  <c r="M993" i="2"/>
  <c r="M61" i="2"/>
  <c r="M154" i="2"/>
  <c r="M227" i="2"/>
  <c r="M302" i="2"/>
  <c r="M383" i="2"/>
  <c r="M442" i="2"/>
  <c r="M496" i="2"/>
  <c r="M549" i="2"/>
  <c r="M590" i="2"/>
  <c r="M636" i="2"/>
  <c r="M684" i="2"/>
  <c r="M727" i="2"/>
  <c r="M766" i="2"/>
  <c r="M805" i="2"/>
  <c r="M839" i="2"/>
  <c r="M869" i="2"/>
  <c r="M897" i="2"/>
  <c r="M922" i="2"/>
  <c r="M945" i="2"/>
  <c r="M971" i="2"/>
  <c r="M994" i="2"/>
  <c r="M62" i="2"/>
  <c r="M155" i="2"/>
  <c r="M233" i="2"/>
  <c r="M314" i="2"/>
  <c r="M387" i="2"/>
  <c r="M443" i="2"/>
  <c r="M501" i="2"/>
  <c r="M550" i="2"/>
  <c r="M595" i="2"/>
  <c r="M641" i="2"/>
  <c r="M686" i="2"/>
  <c r="M729" i="2"/>
  <c r="M767" i="2"/>
  <c r="M806" i="2"/>
  <c r="M841" i="2"/>
  <c r="M870" i="2"/>
  <c r="M898" i="2"/>
  <c r="M923" i="2"/>
  <c r="M947" i="2"/>
  <c r="M972" i="2"/>
  <c r="M995" i="2"/>
  <c r="M70" i="2"/>
  <c r="M163" i="2"/>
  <c r="M245" i="2"/>
  <c r="M317" i="2"/>
  <c r="M389" i="2"/>
  <c r="M451" i="2"/>
  <c r="M503" i="2"/>
  <c r="M551" i="2"/>
  <c r="M597" i="2"/>
  <c r="M645" i="2"/>
  <c r="M687" i="2"/>
  <c r="M733" i="2"/>
  <c r="M773" i="2"/>
  <c r="M807" i="2"/>
  <c r="M843" i="2"/>
  <c r="M875" i="2"/>
  <c r="M899" i="2"/>
  <c r="M924" i="2"/>
  <c r="M949" i="2"/>
  <c r="M973" i="2"/>
  <c r="M997" i="2"/>
  <c r="M80" i="2"/>
  <c r="M174" i="2"/>
  <c r="M247" i="2"/>
  <c r="M318" i="2"/>
  <c r="M390" i="2"/>
  <c r="M454" i="2"/>
  <c r="M505" i="2"/>
  <c r="M556" i="2"/>
  <c r="M603" i="2"/>
  <c r="M647" i="2"/>
  <c r="M688" i="2"/>
  <c r="M734" i="2"/>
  <c r="M774" i="2"/>
  <c r="M812" i="2"/>
  <c r="M844" i="2"/>
  <c r="M876" i="2"/>
  <c r="M902" i="2"/>
  <c r="M925" i="2"/>
  <c r="M950" i="2"/>
  <c r="M975" i="2"/>
  <c r="M998" i="2"/>
  <c r="M85" i="2"/>
  <c r="M176" i="2"/>
  <c r="M249" i="2"/>
  <c r="M319" i="2"/>
  <c r="M395" i="2"/>
  <c r="M457" i="2"/>
  <c r="M506" i="2"/>
  <c r="M557" i="2"/>
  <c r="M605" i="2"/>
  <c r="M649" i="2"/>
  <c r="M694" i="2"/>
  <c r="M735" i="2"/>
  <c r="M775" i="2"/>
  <c r="M813" i="2"/>
  <c r="M845" i="2"/>
  <c r="M877" i="2"/>
  <c r="M903" i="2"/>
  <c r="M927" i="2"/>
  <c r="M953" i="2"/>
  <c r="M976" i="2"/>
  <c r="M1001" i="2"/>
  <c r="M86" i="2"/>
  <c r="M179" i="2"/>
  <c r="M250" i="2"/>
  <c r="M326" i="2"/>
  <c r="M397" i="2"/>
  <c r="M458" i="2"/>
  <c r="M511" i="2"/>
  <c r="M563" i="2"/>
  <c r="M607" i="2"/>
  <c r="M650" i="2"/>
  <c r="M695" i="2"/>
  <c r="M741" i="2"/>
  <c r="M780" i="2"/>
  <c r="M814" i="2"/>
  <c r="M849" i="2"/>
  <c r="M879" i="2"/>
  <c r="M905" i="2"/>
  <c r="M929" i="2"/>
  <c r="M954" i="2"/>
  <c r="M977" i="2"/>
  <c r="M93" i="2"/>
  <c r="M181" i="2"/>
  <c r="M255" i="2"/>
  <c r="M336" i="2"/>
  <c r="M407" i="2"/>
  <c r="M459" i="2"/>
  <c r="M512" i="2"/>
  <c r="M566" i="2"/>
  <c r="M608" i="2"/>
  <c r="M654" i="2"/>
  <c r="M701" i="2"/>
  <c r="M743" i="2"/>
  <c r="M782" i="2"/>
  <c r="M819" i="2"/>
  <c r="M850" i="2"/>
  <c r="M880" i="2"/>
  <c r="M906" i="2"/>
  <c r="M930" i="2"/>
  <c r="M955" i="2"/>
  <c r="M978" i="2"/>
  <c r="M10" i="2"/>
  <c r="M105" i="2"/>
  <c r="M186" i="2"/>
  <c r="M267" i="2"/>
  <c r="M341" i="2"/>
  <c r="M410" i="2"/>
  <c r="M464" i="2"/>
  <c r="M521" i="2"/>
  <c r="M569" i="2"/>
  <c r="M609" i="2"/>
  <c r="M655" i="2"/>
  <c r="M703" i="2"/>
  <c r="M746" i="2"/>
  <c r="M784" i="2"/>
  <c r="M821" i="2"/>
  <c r="M851" i="2"/>
  <c r="M881" i="2"/>
  <c r="M907" i="2"/>
  <c r="M931" i="2"/>
  <c r="M957" i="2"/>
  <c r="M979" i="2"/>
  <c r="M13" i="2"/>
  <c r="M107" i="2"/>
  <c r="M198" i="2"/>
  <c r="M270" i="2"/>
  <c r="M342" i="2"/>
  <c r="M411" i="2"/>
  <c r="M467" i="2"/>
  <c r="M523" i="2"/>
  <c r="M570" i="2"/>
  <c r="M615" i="2"/>
  <c r="M662" i="2"/>
  <c r="M705" i="2"/>
  <c r="M747" i="2"/>
  <c r="M785" i="2"/>
  <c r="M822" i="2"/>
  <c r="M857" i="2"/>
  <c r="M885" i="2"/>
  <c r="M909" i="2"/>
  <c r="M934" i="2"/>
  <c r="M958" i="2"/>
  <c r="M982" i="2"/>
  <c r="M15" i="2"/>
  <c r="M109" i="2"/>
  <c r="M201" i="2"/>
  <c r="M271" i="2"/>
  <c r="M343" i="2"/>
  <c r="M413" i="2"/>
  <c r="M474" i="2"/>
  <c r="M526" i="2"/>
  <c r="M571" i="2"/>
  <c r="M617" i="2"/>
  <c r="M665" i="2"/>
  <c r="M707" i="2"/>
  <c r="M748" i="2"/>
  <c r="M787" i="2"/>
  <c r="M825" i="2"/>
  <c r="M858" i="2"/>
  <c r="M886" i="2"/>
  <c r="M911" i="2"/>
  <c r="M935" i="2"/>
  <c r="M959" i="2"/>
  <c r="M985" i="2"/>
  <c r="M23" i="2"/>
  <c r="M117" i="2"/>
  <c r="M202" i="2"/>
  <c r="M272" i="2"/>
  <c r="M349" i="2"/>
  <c r="M419" i="2"/>
  <c r="M477" i="2"/>
  <c r="M527" i="2"/>
  <c r="M575" i="2"/>
  <c r="M622" i="2"/>
  <c r="M667" i="2"/>
  <c r="M709" i="2"/>
  <c r="M752" i="2"/>
  <c r="M793" i="2"/>
  <c r="M826" i="2"/>
  <c r="M859" i="2"/>
  <c r="M887" i="2"/>
  <c r="M912" i="2"/>
  <c r="M937" i="2"/>
  <c r="M960" i="2"/>
  <c r="M986" i="2"/>
  <c r="M35" i="2"/>
  <c r="M127" i="2"/>
  <c r="M203" i="2"/>
  <c r="M279" i="2"/>
  <c r="M361" i="2"/>
  <c r="M421" i="2"/>
  <c r="M479" i="2"/>
  <c r="M528" i="2"/>
  <c r="M576" i="2"/>
  <c r="M624" i="2"/>
  <c r="M668" i="2"/>
  <c r="M714" i="2"/>
  <c r="M753" i="2"/>
  <c r="M794" i="2"/>
  <c r="M827" i="2"/>
  <c r="M861" i="2"/>
  <c r="M889" i="2"/>
  <c r="M913" i="2"/>
  <c r="M939" i="2"/>
  <c r="M961" i="2"/>
  <c r="M987" i="2"/>
  <c r="M38" i="2"/>
  <c r="M131" i="2"/>
  <c r="M208" i="2"/>
  <c r="M291" i="2"/>
  <c r="M363" i="2"/>
  <c r="M430" i="2"/>
  <c r="M480" i="2"/>
  <c r="M535" i="2"/>
  <c r="M583" i="2"/>
  <c r="M627" i="2"/>
  <c r="M669" i="2"/>
  <c r="M715" i="2"/>
  <c r="M755" i="2"/>
  <c r="M795" i="2"/>
  <c r="M831" i="2"/>
  <c r="M862" i="2"/>
  <c r="M891" i="2"/>
  <c r="M915" i="2"/>
  <c r="M940" i="2"/>
  <c r="M963" i="2"/>
  <c r="M989" i="2"/>
  <c r="M46" i="2"/>
  <c r="M139" i="2"/>
  <c r="M223" i="2"/>
  <c r="M295" i="2"/>
  <c r="M366" i="2"/>
  <c r="M435" i="2"/>
  <c r="M489" i="2"/>
  <c r="M543" i="2"/>
  <c r="M588" i="2"/>
  <c r="M630" i="2"/>
  <c r="M675" i="2"/>
  <c r="M723" i="2"/>
  <c r="M763" i="2"/>
  <c r="M800" i="2"/>
  <c r="M833" i="2"/>
  <c r="M866" i="2"/>
  <c r="M894" i="2"/>
  <c r="M918" i="2"/>
  <c r="M942" i="2"/>
  <c r="M967" i="2"/>
  <c r="M991" i="2"/>
  <c r="M586" i="2"/>
  <c r="M629" i="2"/>
  <c r="M673" i="2"/>
  <c r="M720" i="2"/>
  <c r="M761" i="2"/>
  <c r="M799" i="2"/>
  <c r="M832" i="2"/>
  <c r="M863" i="2"/>
  <c r="M39" i="2"/>
  <c r="M893" i="2"/>
  <c r="M133" i="2"/>
  <c r="M917" i="2"/>
  <c r="M221" i="2"/>
  <c r="M941" i="2"/>
  <c r="M294" i="2"/>
  <c r="M966" i="2"/>
  <c r="M365" i="2"/>
  <c r="M990" i="2"/>
  <c r="M432" i="2"/>
  <c r="M483" i="2"/>
  <c r="M537" i="2"/>
  <c r="M2" i="2"/>
  <c r="O101" i="2"/>
  <c r="O69" i="2"/>
  <c r="O37" i="2"/>
  <c r="O5" i="2"/>
  <c r="C29" i="2"/>
  <c r="O998" i="2"/>
  <c r="O982" i="2"/>
  <c r="O966" i="2"/>
  <c r="O950" i="2"/>
  <c r="O934" i="2"/>
  <c r="O918" i="2"/>
  <c r="O902" i="2"/>
  <c r="O886" i="2"/>
  <c r="O870" i="2"/>
  <c r="O854" i="2"/>
  <c r="O838" i="2"/>
  <c r="O822" i="2"/>
  <c r="O806" i="2"/>
  <c r="O790" i="2"/>
  <c r="O774" i="2"/>
  <c r="O758" i="2"/>
  <c r="O742" i="2"/>
  <c r="O726" i="2"/>
  <c r="O710" i="2"/>
  <c r="O694" i="2"/>
  <c r="O678" i="2"/>
  <c r="O662" i="2"/>
  <c r="O646" i="2"/>
  <c r="O630" i="2"/>
  <c r="O614" i="2"/>
  <c r="O598" i="2"/>
  <c r="O582" i="2"/>
  <c r="O566" i="2"/>
  <c r="O550" i="2"/>
  <c r="O533" i="2"/>
  <c r="O511" i="2"/>
  <c r="O490" i="2"/>
  <c r="O470" i="2"/>
  <c r="O447" i="2"/>
  <c r="O426" i="2"/>
  <c r="O406" i="2"/>
  <c r="O383" i="2"/>
  <c r="O362" i="2"/>
  <c r="O342" i="2"/>
  <c r="O319" i="2"/>
  <c r="O298" i="2"/>
  <c r="O278" i="2"/>
  <c r="O255" i="2"/>
  <c r="O231" i="2"/>
  <c r="O204" i="2"/>
  <c r="O180" i="2"/>
  <c r="O153" i="2"/>
  <c r="O125" i="2"/>
  <c r="O93" i="2"/>
  <c r="O61" i="2"/>
  <c r="O29" i="2"/>
  <c r="L12" i="2"/>
  <c r="L28" i="2"/>
  <c r="L44" i="2"/>
  <c r="L60" i="2"/>
  <c r="L76" i="2"/>
  <c r="L92" i="2"/>
  <c r="L108" i="2"/>
  <c r="L124" i="2"/>
  <c r="L140" i="2"/>
  <c r="L156" i="2"/>
  <c r="L172" i="2"/>
  <c r="L188" i="2"/>
  <c r="L204" i="2"/>
  <c r="L220" i="2"/>
  <c r="L236" i="2"/>
  <c r="L252" i="2"/>
  <c r="L268" i="2"/>
  <c r="L284" i="2"/>
  <c r="L300" i="2"/>
  <c r="L316" i="2"/>
  <c r="L332" i="2"/>
  <c r="L348" i="2"/>
  <c r="L16" i="2"/>
  <c r="L32" i="2"/>
  <c r="L48" i="2"/>
  <c r="L64" i="2"/>
  <c r="L80" i="2"/>
  <c r="L96" i="2"/>
  <c r="L112" i="2"/>
  <c r="L128" i="2"/>
  <c r="L144" i="2"/>
  <c r="L160" i="2"/>
  <c r="L176" i="2"/>
  <c r="L192" i="2"/>
  <c r="L208" i="2"/>
  <c r="L224" i="2"/>
  <c r="L240" i="2"/>
  <c r="L256" i="2"/>
  <c r="L272" i="2"/>
  <c r="L288" i="2"/>
  <c r="L304" i="2"/>
  <c r="L320" i="2"/>
  <c r="L336" i="2"/>
  <c r="L352" i="2"/>
  <c r="L10" i="2"/>
  <c r="L29" i="2"/>
  <c r="L47" i="2"/>
  <c r="L66" i="2"/>
  <c r="L84" i="2"/>
  <c r="L102" i="2"/>
  <c r="L120" i="2"/>
  <c r="L138" i="2"/>
  <c r="L157" i="2"/>
  <c r="L175" i="2"/>
  <c r="L194" i="2"/>
  <c r="L212" i="2"/>
  <c r="L18" i="2"/>
  <c r="L36" i="2"/>
  <c r="L54" i="2"/>
  <c r="L72" i="2"/>
  <c r="L90" i="2"/>
  <c r="L109" i="2"/>
  <c r="L127" i="2"/>
  <c r="L146" i="2"/>
  <c r="L164" i="2"/>
  <c r="L182" i="2"/>
  <c r="L200" i="2"/>
  <c r="L218" i="2"/>
  <c r="L237" i="2"/>
  <c r="L255" i="2"/>
  <c r="L274" i="2"/>
  <c r="L292" i="2"/>
  <c r="L310" i="2"/>
  <c r="L328" i="2"/>
  <c r="L346" i="2"/>
  <c r="L364" i="2"/>
  <c r="L380" i="2"/>
  <c r="L396" i="2"/>
  <c r="L412" i="2"/>
  <c r="L428" i="2"/>
  <c r="L444" i="2"/>
  <c r="L460" i="2"/>
  <c r="L476" i="2"/>
  <c r="L492" i="2"/>
  <c r="L508" i="2"/>
  <c r="L524" i="2"/>
  <c r="L540" i="2"/>
  <c r="L556" i="2"/>
  <c r="L572" i="2"/>
  <c r="L588" i="2"/>
  <c r="L604" i="2"/>
  <c r="L620" i="2"/>
  <c r="L636" i="2"/>
  <c r="L652" i="2"/>
  <c r="L20" i="2"/>
  <c r="L38" i="2"/>
  <c r="L56" i="2"/>
  <c r="L74" i="2"/>
  <c r="L93" i="2"/>
  <c r="L111" i="2"/>
  <c r="L130" i="2"/>
  <c r="L6" i="2"/>
  <c r="L24" i="2"/>
  <c r="L42" i="2"/>
  <c r="L61" i="2"/>
  <c r="L79" i="2"/>
  <c r="L98" i="2"/>
  <c r="L116" i="2"/>
  <c r="L134" i="2"/>
  <c r="L152" i="2"/>
  <c r="L170" i="2"/>
  <c r="L189" i="2"/>
  <c r="L17" i="2"/>
  <c r="L41" i="2"/>
  <c r="L67" i="2"/>
  <c r="L89" i="2"/>
  <c r="L115" i="2"/>
  <c r="L139" i="2"/>
  <c r="L162" i="2"/>
  <c r="L184" i="2"/>
  <c r="L206" i="2"/>
  <c r="L227" i="2"/>
  <c r="L246" i="2"/>
  <c r="L265" i="2"/>
  <c r="L285" i="2"/>
  <c r="L305" i="2"/>
  <c r="L324" i="2"/>
  <c r="L343" i="2"/>
  <c r="L362" i="2"/>
  <c r="L379" i="2"/>
  <c r="L397" i="2"/>
  <c r="L414" i="2"/>
  <c r="L431" i="2"/>
  <c r="L448" i="2"/>
  <c r="L465" i="2"/>
  <c r="L482" i="2"/>
  <c r="L499" i="2"/>
  <c r="L516" i="2"/>
  <c r="L533" i="2"/>
  <c r="L550" i="2"/>
  <c r="L567" i="2"/>
  <c r="L19" i="2"/>
  <c r="L43" i="2"/>
  <c r="L68" i="2"/>
  <c r="L91" i="2"/>
  <c r="L117" i="2"/>
  <c r="L141" i="2"/>
  <c r="L163" i="2"/>
  <c r="L185" i="2"/>
  <c r="L207" i="2"/>
  <c r="L228" i="2"/>
  <c r="L247" i="2"/>
  <c r="L266" i="2"/>
  <c r="L286" i="2"/>
  <c r="L306" i="2"/>
  <c r="L325" i="2"/>
  <c r="L344" i="2"/>
  <c r="L363" i="2"/>
  <c r="L381" i="2"/>
  <c r="L398" i="2"/>
  <c r="L415" i="2"/>
  <c r="L432" i="2"/>
  <c r="L449" i="2"/>
  <c r="L466" i="2"/>
  <c r="L483" i="2"/>
  <c r="L500" i="2"/>
  <c r="L517" i="2"/>
  <c r="L534" i="2"/>
  <c r="L551" i="2"/>
  <c r="L568" i="2"/>
  <c r="L585" i="2"/>
  <c r="L602" i="2"/>
  <c r="L619" i="2"/>
  <c r="L637" i="2"/>
  <c r="L654" i="2"/>
  <c r="L670" i="2"/>
  <c r="L686" i="2"/>
  <c r="L702" i="2"/>
  <c r="L718" i="2"/>
  <c r="L734" i="2"/>
  <c r="L750" i="2"/>
  <c r="L766" i="2"/>
  <c r="L782" i="2"/>
  <c r="L798" i="2"/>
  <c r="L814" i="2"/>
  <c r="L830" i="2"/>
  <c r="L846" i="2"/>
  <c r="L862" i="2"/>
  <c r="L878" i="2"/>
  <c r="L894" i="2"/>
  <c r="L910" i="2"/>
  <c r="L926" i="2"/>
  <c r="L942" i="2"/>
  <c r="L958" i="2"/>
  <c r="L974" i="2"/>
  <c r="L990" i="2"/>
  <c r="L21" i="2"/>
  <c r="L45" i="2"/>
  <c r="L69" i="2"/>
  <c r="L94" i="2"/>
  <c r="L118" i="2"/>
  <c r="L142" i="2"/>
  <c r="L165" i="2"/>
  <c r="L186" i="2"/>
  <c r="L209" i="2"/>
  <c r="L229" i="2"/>
  <c r="L248" i="2"/>
  <c r="L267" i="2"/>
  <c r="L287" i="2"/>
  <c r="L307" i="2"/>
  <c r="L326" i="2"/>
  <c r="L345" i="2"/>
  <c r="L365" i="2"/>
  <c r="L382" i="2"/>
  <c r="L399" i="2"/>
  <c r="L416" i="2"/>
  <c r="L433" i="2"/>
  <c r="L450" i="2"/>
  <c r="L467" i="2"/>
  <c r="L484" i="2"/>
  <c r="L501" i="2"/>
  <c r="L518" i="2"/>
  <c r="L535" i="2"/>
  <c r="L552" i="2"/>
  <c r="L569" i="2"/>
  <c r="L586" i="2"/>
  <c r="L603" i="2"/>
  <c r="L621" i="2"/>
  <c r="L638" i="2"/>
  <c r="L655" i="2"/>
  <c r="L671" i="2"/>
  <c r="L687" i="2"/>
  <c r="L703" i="2"/>
  <c r="L719" i="2"/>
  <c r="L735" i="2"/>
  <c r="L751" i="2"/>
  <c r="L767" i="2"/>
  <c r="L783" i="2"/>
  <c r="L799" i="2"/>
  <c r="L815" i="2"/>
  <c r="L831" i="2"/>
  <c r="L847" i="2"/>
  <c r="L863" i="2"/>
  <c r="L879" i="2"/>
  <c r="L895" i="2"/>
  <c r="L911" i="2"/>
  <c r="L927" i="2"/>
  <c r="L943" i="2"/>
  <c r="L959" i="2"/>
  <c r="L975" i="2"/>
  <c r="L991" i="2"/>
  <c r="L22" i="2"/>
  <c r="L46" i="2"/>
  <c r="L70" i="2"/>
  <c r="L95" i="2"/>
  <c r="L119" i="2"/>
  <c r="L143" i="2"/>
  <c r="L166" i="2"/>
  <c r="L187" i="2"/>
  <c r="L210" i="2"/>
  <c r="L230" i="2"/>
  <c r="L249" i="2"/>
  <c r="L269" i="2"/>
  <c r="L289" i="2"/>
  <c r="L308" i="2"/>
  <c r="L327" i="2"/>
  <c r="L347" i="2"/>
  <c r="L366" i="2"/>
  <c r="L383" i="2"/>
  <c r="L400" i="2"/>
  <c r="L417" i="2"/>
  <c r="L434" i="2"/>
  <c r="L451" i="2"/>
  <c r="L468" i="2"/>
  <c r="L485" i="2"/>
  <c r="L502" i="2"/>
  <c r="L519" i="2"/>
  <c r="L536" i="2"/>
  <c r="L553" i="2"/>
  <c r="L570" i="2"/>
  <c r="L587" i="2"/>
  <c r="L605" i="2"/>
  <c r="L622" i="2"/>
  <c r="L639" i="2"/>
  <c r="L656" i="2"/>
  <c r="L672" i="2"/>
  <c r="L688" i="2"/>
  <c r="L704" i="2"/>
  <c r="L720" i="2"/>
  <c r="L736" i="2"/>
  <c r="L752" i="2"/>
  <c r="L768" i="2"/>
  <c r="L784" i="2"/>
  <c r="L800" i="2"/>
  <c r="L816" i="2"/>
  <c r="L832" i="2"/>
  <c r="L848" i="2"/>
  <c r="L23" i="2"/>
  <c r="L49" i="2"/>
  <c r="L71" i="2"/>
  <c r="L97" i="2"/>
  <c r="L121" i="2"/>
  <c r="L145" i="2"/>
  <c r="L167" i="2"/>
  <c r="L190" i="2"/>
  <c r="L211" i="2"/>
  <c r="L231" i="2"/>
  <c r="L250" i="2"/>
  <c r="L270" i="2"/>
  <c r="L290" i="2"/>
  <c r="L309" i="2"/>
  <c r="L329" i="2"/>
  <c r="L349" i="2"/>
  <c r="L367" i="2"/>
  <c r="L384" i="2"/>
  <c r="L25" i="2"/>
  <c r="L50" i="2"/>
  <c r="L73" i="2"/>
  <c r="L99" i="2"/>
  <c r="L122" i="2"/>
  <c r="L147" i="2"/>
  <c r="L168" i="2"/>
  <c r="L191" i="2"/>
  <c r="L213" i="2"/>
  <c r="L232" i="2"/>
  <c r="L251" i="2"/>
  <c r="L271" i="2"/>
  <c r="L291" i="2"/>
  <c r="L311" i="2"/>
  <c r="L330" i="2"/>
  <c r="L350" i="2"/>
  <c r="L368" i="2"/>
  <c r="L385" i="2"/>
  <c r="L402" i="2"/>
  <c r="L419" i="2"/>
  <c r="L436" i="2"/>
  <c r="L453" i="2"/>
  <c r="L470" i="2"/>
  <c r="L487" i="2"/>
  <c r="L504" i="2"/>
  <c r="L521" i="2"/>
  <c r="L538" i="2"/>
  <c r="L555" i="2"/>
  <c r="L573" i="2"/>
  <c r="L590" i="2"/>
  <c r="L607" i="2"/>
  <c r="L624" i="2"/>
  <c r="L641" i="2"/>
  <c r="L658" i="2"/>
  <c r="L674" i="2"/>
  <c r="L690" i="2"/>
  <c r="L706" i="2"/>
  <c r="L3" i="2"/>
  <c r="L26" i="2"/>
  <c r="L51" i="2"/>
  <c r="L75" i="2"/>
  <c r="L100" i="2"/>
  <c r="L123" i="2"/>
  <c r="L148" i="2"/>
  <c r="L169" i="2"/>
  <c r="L193" i="2"/>
  <c r="L214" i="2"/>
  <c r="L233" i="2"/>
  <c r="L253" i="2"/>
  <c r="L273" i="2"/>
  <c r="L293" i="2"/>
  <c r="L312" i="2"/>
  <c r="L331" i="2"/>
  <c r="L351" i="2"/>
  <c r="L369" i="2"/>
  <c r="L386" i="2"/>
  <c r="L403" i="2"/>
  <c r="L420" i="2"/>
  <c r="L437" i="2"/>
  <c r="L4" i="2"/>
  <c r="L27" i="2"/>
  <c r="L52" i="2"/>
  <c r="L77" i="2"/>
  <c r="L101" i="2"/>
  <c r="L125" i="2"/>
  <c r="L149" i="2"/>
  <c r="L171" i="2"/>
  <c r="L195" i="2"/>
  <c r="L215" i="2"/>
  <c r="L234" i="2"/>
  <c r="L254" i="2"/>
  <c r="L275" i="2"/>
  <c r="L294" i="2"/>
  <c r="L313" i="2"/>
  <c r="L333" i="2"/>
  <c r="L353" i="2"/>
  <c r="L370" i="2"/>
  <c r="L387" i="2"/>
  <c r="L404" i="2"/>
  <c r="L421" i="2"/>
  <c r="L438" i="2"/>
  <c r="L455" i="2"/>
  <c r="L472" i="2"/>
  <c r="L489" i="2"/>
  <c r="L506" i="2"/>
  <c r="L523" i="2"/>
  <c r="L541" i="2"/>
  <c r="L558" i="2"/>
  <c r="L575" i="2"/>
  <c r="L592" i="2"/>
  <c r="L609" i="2"/>
  <c r="L626" i="2"/>
  <c r="L643" i="2"/>
  <c r="L660" i="2"/>
  <c r="L676" i="2"/>
  <c r="L692" i="2"/>
  <c r="L708" i="2"/>
  <c r="L724" i="2"/>
  <c r="L740" i="2"/>
  <c r="L756" i="2"/>
  <c r="L772" i="2"/>
  <c r="L788" i="2"/>
  <c r="L804" i="2"/>
  <c r="L820" i="2"/>
  <c r="L836" i="2"/>
  <c r="L852" i="2"/>
  <c r="L868" i="2"/>
  <c r="L884" i="2"/>
  <c r="L900" i="2"/>
  <c r="L916" i="2"/>
  <c r="L932" i="2"/>
  <c r="L948" i="2"/>
  <c r="L964" i="2"/>
  <c r="L980" i="2"/>
  <c r="L996" i="2"/>
  <c r="L5" i="2"/>
  <c r="L30" i="2"/>
  <c r="L53" i="2"/>
  <c r="L78" i="2"/>
  <c r="L103" i="2"/>
  <c r="L126" i="2"/>
  <c r="L150" i="2"/>
  <c r="L173" i="2"/>
  <c r="L196" i="2"/>
  <c r="L216" i="2"/>
  <c r="L235" i="2"/>
  <c r="L257" i="2"/>
  <c r="L276" i="2"/>
  <c r="L295" i="2"/>
  <c r="L314" i="2"/>
  <c r="L334" i="2"/>
  <c r="L354" i="2"/>
  <c r="L371" i="2"/>
  <c r="L388" i="2"/>
  <c r="L405" i="2"/>
  <c r="L422" i="2"/>
  <c r="L439" i="2"/>
  <c r="L456" i="2"/>
  <c r="L473" i="2"/>
  <c r="L490" i="2"/>
  <c r="L507" i="2"/>
  <c r="L525" i="2"/>
  <c r="L542" i="2"/>
  <c r="L559" i="2"/>
  <c r="L576" i="2"/>
  <c r="L593" i="2"/>
  <c r="L610" i="2"/>
  <c r="L627" i="2"/>
  <c r="L644" i="2"/>
  <c r="L661" i="2"/>
  <c r="L7" i="2"/>
  <c r="L31" i="2"/>
  <c r="L55" i="2"/>
  <c r="L81" i="2"/>
  <c r="L104" i="2"/>
  <c r="L129" i="2"/>
  <c r="L151" i="2"/>
  <c r="L174" i="2"/>
  <c r="L197" i="2"/>
  <c r="L217" i="2"/>
  <c r="L238" i="2"/>
  <c r="L258" i="2"/>
  <c r="L277" i="2"/>
  <c r="L296" i="2"/>
  <c r="L315" i="2"/>
  <c r="L335" i="2"/>
  <c r="L355" i="2"/>
  <c r="L372" i="2"/>
  <c r="L389" i="2"/>
  <c r="L406" i="2"/>
  <c r="L423" i="2"/>
  <c r="L440" i="2"/>
  <c r="L457" i="2"/>
  <c r="L474" i="2"/>
  <c r="L491" i="2"/>
  <c r="L509" i="2"/>
  <c r="L526" i="2"/>
  <c r="L543" i="2"/>
  <c r="L560" i="2"/>
  <c r="L577" i="2"/>
  <c r="L594" i="2"/>
  <c r="L611" i="2"/>
  <c r="L628" i="2"/>
  <c r="L645" i="2"/>
  <c r="L662" i="2"/>
  <c r="L678" i="2"/>
  <c r="L694" i="2"/>
  <c r="L710" i="2"/>
  <c r="L726" i="2"/>
  <c r="L742" i="2"/>
  <c r="L758" i="2"/>
  <c r="L774" i="2"/>
  <c r="L790" i="2"/>
  <c r="L806" i="2"/>
  <c r="L822" i="2"/>
  <c r="L838" i="2"/>
  <c r="L854" i="2"/>
  <c r="L870" i="2"/>
  <c r="L886" i="2"/>
  <c r="L902" i="2"/>
  <c r="L918" i="2"/>
  <c r="L934" i="2"/>
  <c r="L950" i="2"/>
  <c r="L966" i="2"/>
  <c r="L982" i="2"/>
  <c r="L998" i="2"/>
  <c r="L8" i="2"/>
  <c r="L33" i="2"/>
  <c r="L57" i="2"/>
  <c r="L82" i="2"/>
  <c r="L105" i="2"/>
  <c r="L131" i="2"/>
  <c r="L153" i="2"/>
  <c r="L177" i="2"/>
  <c r="L198" i="2"/>
  <c r="L219" i="2"/>
  <c r="L239" i="2"/>
  <c r="L259" i="2"/>
  <c r="L278" i="2"/>
  <c r="L297" i="2"/>
  <c r="L317" i="2"/>
  <c r="L337" i="2"/>
  <c r="L356" i="2"/>
  <c r="L373" i="2"/>
  <c r="L390" i="2"/>
  <c r="L407" i="2"/>
  <c r="L424" i="2"/>
  <c r="L441" i="2"/>
  <c r="L458" i="2"/>
  <c r="L475" i="2"/>
  <c r="L493" i="2"/>
  <c r="L9" i="2"/>
  <c r="L34" i="2"/>
  <c r="L58" i="2"/>
  <c r="L83" i="2"/>
  <c r="L106" i="2"/>
  <c r="L132" i="2"/>
  <c r="L154" i="2"/>
  <c r="L178" i="2"/>
  <c r="L199" i="2"/>
  <c r="L221" i="2"/>
  <c r="L241" i="2"/>
  <c r="L260" i="2"/>
  <c r="L279" i="2"/>
  <c r="L298" i="2"/>
  <c r="L318" i="2"/>
  <c r="L338" i="2"/>
  <c r="L357" i="2"/>
  <c r="L374" i="2"/>
  <c r="L391" i="2"/>
  <c r="L408" i="2"/>
  <c r="L425" i="2"/>
  <c r="L442" i="2"/>
  <c r="L459" i="2"/>
  <c r="L477" i="2"/>
  <c r="L494" i="2"/>
  <c r="L511" i="2"/>
  <c r="L528" i="2"/>
  <c r="L545" i="2"/>
  <c r="L562" i="2"/>
  <c r="L579" i="2"/>
  <c r="L596" i="2"/>
  <c r="L613" i="2"/>
  <c r="L630" i="2"/>
  <c r="L647" i="2"/>
  <c r="L664" i="2"/>
  <c r="L680" i="2"/>
  <c r="L696" i="2"/>
  <c r="L712" i="2"/>
  <c r="L728" i="2"/>
  <c r="L11" i="2"/>
  <c r="L35" i="2"/>
  <c r="L59" i="2"/>
  <c r="L85" i="2"/>
  <c r="L107" i="2"/>
  <c r="L133" i="2"/>
  <c r="L155" i="2"/>
  <c r="L179" i="2"/>
  <c r="L201" i="2"/>
  <c r="L222" i="2"/>
  <c r="L242" i="2"/>
  <c r="L261" i="2"/>
  <c r="L280" i="2"/>
  <c r="L299" i="2"/>
  <c r="L319" i="2"/>
  <c r="L339" i="2"/>
  <c r="L358" i="2"/>
  <c r="L375" i="2"/>
  <c r="L392" i="2"/>
  <c r="L409" i="2"/>
  <c r="L426" i="2"/>
  <c r="L13" i="2"/>
  <c r="L37" i="2"/>
  <c r="L62" i="2"/>
  <c r="L86" i="2"/>
  <c r="L110" i="2"/>
  <c r="L135" i="2"/>
  <c r="L158" i="2"/>
  <c r="L180" i="2"/>
  <c r="L202" i="2"/>
  <c r="L223" i="2"/>
  <c r="L243" i="2"/>
  <c r="L262" i="2"/>
  <c r="L281" i="2"/>
  <c r="L301" i="2"/>
  <c r="L321" i="2"/>
  <c r="L340" i="2"/>
  <c r="L359" i="2"/>
  <c r="L376" i="2"/>
  <c r="L393" i="2"/>
  <c r="L410" i="2"/>
  <c r="L427" i="2"/>
  <c r="L445" i="2"/>
  <c r="L462" i="2"/>
  <c r="L479" i="2"/>
  <c r="L496" i="2"/>
  <c r="L513" i="2"/>
  <c r="L530" i="2"/>
  <c r="L547" i="2"/>
  <c r="L564" i="2"/>
  <c r="L581" i="2"/>
  <c r="L598" i="2"/>
  <c r="L615" i="2"/>
  <c r="L632" i="2"/>
  <c r="L649" i="2"/>
  <c r="L666" i="2"/>
  <c r="L682" i="2"/>
  <c r="L698" i="2"/>
  <c r="L714" i="2"/>
  <c r="L730" i="2"/>
  <c r="L746" i="2"/>
  <c r="L762" i="2"/>
  <c r="L778" i="2"/>
  <c r="L794" i="2"/>
  <c r="L810" i="2"/>
  <c r="L826" i="2"/>
  <c r="L842" i="2"/>
  <c r="L858" i="2"/>
  <c r="L874" i="2"/>
  <c r="L890" i="2"/>
  <c r="L906" i="2"/>
  <c r="L922" i="2"/>
  <c r="L938" i="2"/>
  <c r="L954" i="2"/>
  <c r="L970" i="2"/>
  <c r="L986" i="2"/>
  <c r="L1002" i="2"/>
  <c r="L15" i="2"/>
  <c r="L40" i="2"/>
  <c r="L65" i="2"/>
  <c r="L88" i="2"/>
  <c r="L114" i="2"/>
  <c r="L137" i="2"/>
  <c r="L161" i="2"/>
  <c r="L183" i="2"/>
  <c r="L205" i="2"/>
  <c r="L226" i="2"/>
  <c r="L245" i="2"/>
  <c r="L264" i="2"/>
  <c r="L283" i="2"/>
  <c r="L303" i="2"/>
  <c r="L323" i="2"/>
  <c r="L342" i="2"/>
  <c r="L361" i="2"/>
  <c r="L378" i="2"/>
  <c r="L395" i="2"/>
  <c r="L413" i="2"/>
  <c r="L430" i="2"/>
  <c r="L447" i="2"/>
  <c r="L464" i="2"/>
  <c r="L481" i="2"/>
  <c r="L498" i="2"/>
  <c r="L515" i="2"/>
  <c r="L532" i="2"/>
  <c r="L549" i="2"/>
  <c r="L566" i="2"/>
  <c r="L583" i="2"/>
  <c r="L600" i="2"/>
  <c r="L617" i="2"/>
  <c r="L634" i="2"/>
  <c r="L651" i="2"/>
  <c r="L668" i="2"/>
  <c r="L684" i="2"/>
  <c r="L700" i="2"/>
  <c r="L716" i="2"/>
  <c r="L732" i="2"/>
  <c r="L748" i="2"/>
  <c r="L764" i="2"/>
  <c r="L780" i="2"/>
  <c r="L796" i="2"/>
  <c r="L812" i="2"/>
  <c r="L828" i="2"/>
  <c r="L844" i="2"/>
  <c r="L860" i="2"/>
  <c r="L876" i="2"/>
  <c r="L892" i="2"/>
  <c r="L908" i="2"/>
  <c r="L924" i="2"/>
  <c r="L940" i="2"/>
  <c r="L956" i="2"/>
  <c r="L972" i="2"/>
  <c r="L988" i="2"/>
  <c r="L87" i="2"/>
  <c r="L401" i="2"/>
  <c r="L488" i="2"/>
  <c r="L546" i="2"/>
  <c r="L597" i="2"/>
  <c r="L642" i="2"/>
  <c r="L683" i="2"/>
  <c r="L721" i="2"/>
  <c r="L749" i="2"/>
  <c r="L777" i="2"/>
  <c r="L807" i="2"/>
  <c r="L835" i="2"/>
  <c r="L864" i="2"/>
  <c r="L888" i="2"/>
  <c r="L914" i="2"/>
  <c r="L939" i="2"/>
  <c r="L965" i="2"/>
  <c r="L992" i="2"/>
  <c r="L113" i="2"/>
  <c r="L411" i="2"/>
  <c r="L495" i="2"/>
  <c r="L548" i="2"/>
  <c r="L599" i="2"/>
  <c r="L646" i="2"/>
  <c r="L685" i="2"/>
  <c r="L722" i="2"/>
  <c r="L753" i="2"/>
  <c r="L779" i="2"/>
  <c r="L808" i="2"/>
  <c r="L837" i="2"/>
  <c r="L865" i="2"/>
  <c r="L889" i="2"/>
  <c r="L915" i="2"/>
  <c r="L941" i="2"/>
  <c r="L967" i="2"/>
  <c r="L993" i="2"/>
  <c r="L136" i="2"/>
  <c r="L418" i="2"/>
  <c r="L497" i="2"/>
  <c r="L554" i="2"/>
  <c r="L601" i="2"/>
  <c r="L648" i="2"/>
  <c r="L689" i="2"/>
  <c r="L723" i="2"/>
  <c r="L754" i="2"/>
  <c r="L781" i="2"/>
  <c r="L809" i="2"/>
  <c r="L839" i="2"/>
  <c r="L866" i="2"/>
  <c r="L891" i="2"/>
  <c r="L917" i="2"/>
  <c r="L944" i="2"/>
  <c r="L968" i="2"/>
  <c r="L994" i="2"/>
  <c r="L159" i="2"/>
  <c r="L429" i="2"/>
  <c r="L503" i="2"/>
  <c r="L557" i="2"/>
  <c r="L606" i="2"/>
  <c r="L650" i="2"/>
  <c r="L691" i="2"/>
  <c r="L725" i="2"/>
  <c r="L755" i="2"/>
  <c r="L785" i="2"/>
  <c r="L811" i="2"/>
  <c r="L840" i="2"/>
  <c r="L867" i="2"/>
  <c r="L893" i="2"/>
  <c r="L919" i="2"/>
  <c r="L945" i="2"/>
  <c r="L969" i="2"/>
  <c r="L995" i="2"/>
  <c r="L181" i="2"/>
  <c r="L435" i="2"/>
  <c r="L505" i="2"/>
  <c r="L561" i="2"/>
  <c r="L608" i="2"/>
  <c r="L653" i="2"/>
  <c r="L693" i="2"/>
  <c r="L727" i="2"/>
  <c r="L757" i="2"/>
  <c r="L786" i="2"/>
  <c r="L813" i="2"/>
  <c r="L841" i="2"/>
  <c r="L869" i="2"/>
  <c r="L896" i="2"/>
  <c r="L920" i="2"/>
  <c r="L946" i="2"/>
  <c r="L971" i="2"/>
  <c r="L997" i="2"/>
  <c r="L203" i="2"/>
  <c r="L443" i="2"/>
  <c r="L510" i="2"/>
  <c r="L563" i="2"/>
  <c r="L612" i="2"/>
  <c r="L657" i="2"/>
  <c r="L695" i="2"/>
  <c r="L729" i="2"/>
  <c r="L759" i="2"/>
  <c r="L787" i="2"/>
  <c r="L817" i="2"/>
  <c r="L843" i="2"/>
  <c r="L871" i="2"/>
  <c r="L897" i="2"/>
  <c r="L921" i="2"/>
  <c r="L947" i="2"/>
  <c r="L973" i="2"/>
  <c r="L999" i="2"/>
  <c r="L225" i="2"/>
  <c r="L446" i="2"/>
  <c r="L512" i="2"/>
  <c r="L565" i="2"/>
  <c r="L614" i="2"/>
  <c r="L659" i="2"/>
  <c r="L697" i="2"/>
  <c r="L731" i="2"/>
  <c r="L760" i="2"/>
  <c r="L789" i="2"/>
  <c r="L818" i="2"/>
  <c r="L845" i="2"/>
  <c r="L872" i="2"/>
  <c r="L898" i="2"/>
  <c r="L923" i="2"/>
  <c r="L949" i="2"/>
  <c r="L976" i="2"/>
  <c r="L1000" i="2"/>
  <c r="L244" i="2"/>
  <c r="L452" i="2"/>
  <c r="L514" i="2"/>
  <c r="L571" i="2"/>
  <c r="L616" i="2"/>
  <c r="L663" i="2"/>
  <c r="L699" i="2"/>
  <c r="L733" i="2"/>
  <c r="L761" i="2"/>
  <c r="L791" i="2"/>
  <c r="L819" i="2"/>
  <c r="L849" i="2"/>
  <c r="L873" i="2"/>
  <c r="L899" i="2"/>
  <c r="L925" i="2"/>
  <c r="L951" i="2"/>
  <c r="L977" i="2"/>
  <c r="L1001" i="2"/>
  <c r="L263" i="2"/>
  <c r="L454" i="2"/>
  <c r="L520" i="2"/>
  <c r="L574" i="2"/>
  <c r="L618" i="2"/>
  <c r="L665" i="2"/>
  <c r="L701" i="2"/>
  <c r="L737" i="2"/>
  <c r="L763" i="2"/>
  <c r="L792" i="2"/>
  <c r="L821" i="2"/>
  <c r="L850" i="2"/>
  <c r="L875" i="2"/>
  <c r="L901" i="2"/>
  <c r="L928" i="2"/>
  <c r="L952" i="2"/>
  <c r="L978" i="2"/>
  <c r="L282" i="2"/>
  <c r="L461" i="2"/>
  <c r="L522" i="2"/>
  <c r="L578" i="2"/>
  <c r="L623" i="2"/>
  <c r="L667" i="2"/>
  <c r="L705" i="2"/>
  <c r="L738" i="2"/>
  <c r="L765" i="2"/>
  <c r="L793" i="2"/>
  <c r="L823" i="2"/>
  <c r="L851" i="2"/>
  <c r="L877" i="2"/>
  <c r="L903" i="2"/>
  <c r="L929" i="2"/>
  <c r="L953" i="2"/>
  <c r="L979" i="2"/>
  <c r="L302" i="2"/>
  <c r="L463" i="2"/>
  <c r="L527" i="2"/>
  <c r="L580" i="2"/>
  <c r="L625" i="2"/>
  <c r="L669" i="2"/>
  <c r="L707" i="2"/>
  <c r="L739" i="2"/>
  <c r="L769" i="2"/>
  <c r="L795" i="2"/>
  <c r="L824" i="2"/>
  <c r="L853" i="2"/>
  <c r="L880" i="2"/>
  <c r="L904" i="2"/>
  <c r="L930" i="2"/>
  <c r="L955" i="2"/>
  <c r="L981" i="2"/>
  <c r="L322" i="2"/>
  <c r="L469" i="2"/>
  <c r="L529" i="2"/>
  <c r="L582" i="2"/>
  <c r="L629" i="2"/>
  <c r="L673" i="2"/>
  <c r="L709" i="2"/>
  <c r="L741" i="2"/>
  <c r="L770" i="2"/>
  <c r="L797" i="2"/>
  <c r="L825" i="2"/>
  <c r="L855" i="2"/>
  <c r="L881" i="2"/>
  <c r="L905" i="2"/>
  <c r="L931" i="2"/>
  <c r="L957" i="2"/>
  <c r="L983" i="2"/>
  <c r="L341" i="2"/>
  <c r="L471" i="2"/>
  <c r="L531" i="2"/>
  <c r="L584" i="2"/>
  <c r="L631" i="2"/>
  <c r="L675" i="2"/>
  <c r="L711" i="2"/>
  <c r="L743" i="2"/>
  <c r="L771" i="2"/>
  <c r="L801" i="2"/>
  <c r="L827" i="2"/>
  <c r="L856" i="2"/>
  <c r="L882" i="2"/>
  <c r="L907" i="2"/>
  <c r="L933" i="2"/>
  <c r="L960" i="2"/>
  <c r="L984" i="2"/>
  <c r="L14" i="2"/>
  <c r="L360" i="2"/>
  <c r="L478" i="2"/>
  <c r="L537" i="2"/>
  <c r="L589" i="2"/>
  <c r="L633" i="2"/>
  <c r="L677" i="2"/>
  <c r="L713" i="2"/>
  <c r="L744" i="2"/>
  <c r="L773" i="2"/>
  <c r="L802" i="2"/>
  <c r="L829" i="2"/>
  <c r="L857" i="2"/>
  <c r="L883" i="2"/>
  <c r="L909" i="2"/>
  <c r="L935" i="2"/>
  <c r="L961" i="2"/>
  <c r="L985" i="2"/>
  <c r="L39" i="2"/>
  <c r="L377" i="2"/>
  <c r="L480" i="2"/>
  <c r="L539" i="2"/>
  <c r="L591" i="2"/>
  <c r="L635" i="2"/>
  <c r="L679" i="2"/>
  <c r="L715" i="2"/>
  <c r="L745" i="2"/>
  <c r="L775" i="2"/>
  <c r="L803" i="2"/>
  <c r="L833" i="2"/>
  <c r="L859" i="2"/>
  <c r="L885" i="2"/>
  <c r="L912" i="2"/>
  <c r="L936" i="2"/>
  <c r="L962" i="2"/>
  <c r="L987" i="2"/>
  <c r="L63" i="2"/>
  <c r="L394" i="2"/>
  <c r="L486" i="2"/>
  <c r="L544" i="2"/>
  <c r="L595" i="2"/>
  <c r="L640" i="2"/>
  <c r="L681" i="2"/>
  <c r="L717" i="2"/>
  <c r="L747" i="2"/>
  <c r="L776" i="2"/>
  <c r="L805" i="2"/>
  <c r="L834" i="2"/>
  <c r="L861" i="2"/>
  <c r="L887" i="2"/>
  <c r="L913" i="2"/>
  <c r="L937" i="2"/>
  <c r="L963" i="2"/>
  <c r="L989" i="2"/>
  <c r="L2" i="2"/>
  <c r="O60" i="2"/>
  <c r="O28" i="2"/>
  <c r="F7" i="2"/>
  <c r="F23" i="2"/>
  <c r="F39" i="2"/>
  <c r="F55" i="2"/>
  <c r="F71" i="2"/>
  <c r="F87" i="2"/>
  <c r="F103" i="2"/>
  <c r="F119" i="2"/>
  <c r="F135" i="2"/>
  <c r="F151" i="2"/>
  <c r="F167" i="2"/>
  <c r="F11" i="2"/>
  <c r="F27" i="2"/>
  <c r="F43" i="2"/>
  <c r="F59" i="2"/>
  <c r="F75" i="2"/>
  <c r="F91" i="2"/>
  <c r="F107" i="2"/>
  <c r="F123" i="2"/>
  <c r="F139" i="2"/>
  <c r="F155" i="2"/>
  <c r="F171" i="2"/>
  <c r="F187" i="2"/>
  <c r="F203" i="2"/>
  <c r="F219" i="2"/>
  <c r="F235" i="2"/>
  <c r="F251" i="2"/>
  <c r="F267" i="2"/>
  <c r="F283" i="2"/>
  <c r="F299" i="2"/>
  <c r="F315" i="2"/>
  <c r="F331" i="2"/>
  <c r="F347" i="2"/>
  <c r="F363" i="2"/>
  <c r="F379" i="2"/>
  <c r="F395" i="2"/>
  <c r="F411" i="2"/>
  <c r="F427" i="2"/>
  <c r="F443" i="2"/>
  <c r="F459" i="2"/>
  <c r="F475" i="2"/>
  <c r="F491" i="2"/>
  <c r="F507" i="2"/>
  <c r="F523" i="2"/>
  <c r="F539" i="2"/>
  <c r="F555" i="2"/>
  <c r="F571" i="2"/>
  <c r="F587" i="2"/>
  <c r="F603" i="2"/>
  <c r="F619" i="2"/>
  <c r="F635" i="2"/>
  <c r="F651" i="2"/>
  <c r="F667" i="2"/>
  <c r="F683" i="2"/>
  <c r="F699" i="2"/>
  <c r="F715" i="2"/>
  <c r="F731" i="2"/>
  <c r="F747" i="2"/>
  <c r="F763" i="2"/>
  <c r="F779" i="2"/>
  <c r="F795" i="2"/>
  <c r="F811" i="2"/>
  <c r="F827" i="2"/>
  <c r="F843" i="2"/>
  <c r="F859" i="2"/>
  <c r="F875" i="2"/>
  <c r="F891" i="2"/>
  <c r="F907" i="2"/>
  <c r="F923" i="2"/>
  <c r="F939" i="2"/>
  <c r="F955" i="2"/>
  <c r="F971" i="2"/>
  <c r="F987" i="2"/>
  <c r="F12" i="2"/>
  <c r="F28" i="2"/>
  <c r="F44" i="2"/>
  <c r="F60" i="2"/>
  <c r="F76" i="2"/>
  <c r="F92" i="2"/>
  <c r="F108" i="2"/>
  <c r="F14" i="2"/>
  <c r="F30" i="2"/>
  <c r="F15" i="2"/>
  <c r="F17" i="2"/>
  <c r="F33" i="2"/>
  <c r="F49" i="2"/>
  <c r="F3" i="2"/>
  <c r="F19" i="2"/>
  <c r="F35" i="2"/>
  <c r="F51" i="2"/>
  <c r="F67" i="2"/>
  <c r="F83" i="2"/>
  <c r="F99" i="2"/>
  <c r="F115" i="2"/>
  <c r="F131" i="2"/>
  <c r="F147" i="2"/>
  <c r="F163" i="2"/>
  <c r="F179" i="2"/>
  <c r="F195" i="2"/>
  <c r="F211" i="2"/>
  <c r="F227" i="2"/>
  <c r="F243" i="2"/>
  <c r="F259" i="2"/>
  <c r="F275" i="2"/>
  <c r="F291" i="2"/>
  <c r="F307" i="2"/>
  <c r="F323" i="2"/>
  <c r="F339" i="2"/>
  <c r="F355" i="2"/>
  <c r="F371" i="2"/>
  <c r="F387" i="2"/>
  <c r="F403" i="2"/>
  <c r="F419" i="2"/>
  <c r="F435" i="2"/>
  <c r="F451" i="2"/>
  <c r="F467" i="2"/>
  <c r="F483" i="2"/>
  <c r="F499" i="2"/>
  <c r="F515" i="2"/>
  <c r="F531" i="2"/>
  <c r="F547" i="2"/>
  <c r="F563" i="2"/>
  <c r="F579" i="2"/>
  <c r="F595" i="2"/>
  <c r="F611" i="2"/>
  <c r="F627" i="2"/>
  <c r="F643" i="2"/>
  <c r="F659" i="2"/>
  <c r="F675" i="2"/>
  <c r="F691" i="2"/>
  <c r="F707" i="2"/>
  <c r="F723" i="2"/>
  <c r="F29" i="2"/>
  <c r="F53" i="2"/>
  <c r="F74" i="2"/>
  <c r="F96" i="2"/>
  <c r="F117" i="2"/>
  <c r="F137" i="2"/>
  <c r="F157" i="2"/>
  <c r="F176" i="2"/>
  <c r="F194" i="2"/>
  <c r="F213" i="2"/>
  <c r="F231" i="2"/>
  <c r="F249" i="2"/>
  <c r="F268" i="2"/>
  <c r="F286" i="2"/>
  <c r="F304" i="2"/>
  <c r="F322" i="2"/>
  <c r="F341" i="2"/>
  <c r="F359" i="2"/>
  <c r="F377" i="2"/>
  <c r="F396" i="2"/>
  <c r="F414" i="2"/>
  <c r="F432" i="2"/>
  <c r="F450" i="2"/>
  <c r="F469" i="2"/>
  <c r="F487" i="2"/>
  <c r="F505" i="2"/>
  <c r="F524" i="2"/>
  <c r="F542" i="2"/>
  <c r="F560" i="2"/>
  <c r="F578" i="2"/>
  <c r="F597" i="2"/>
  <c r="F615" i="2"/>
  <c r="F633" i="2"/>
  <c r="F652" i="2"/>
  <c r="F670" i="2"/>
  <c r="F688" i="2"/>
  <c r="F706" i="2"/>
  <c r="F725" i="2"/>
  <c r="F742" i="2"/>
  <c r="F759" i="2"/>
  <c r="F776" i="2"/>
  <c r="F793" i="2"/>
  <c r="F810" i="2"/>
  <c r="F828" i="2"/>
  <c r="F845" i="2"/>
  <c r="F862" i="2"/>
  <c r="F879" i="2"/>
  <c r="F896" i="2"/>
  <c r="F913" i="2"/>
  <c r="F930" i="2"/>
  <c r="F947" i="2"/>
  <c r="F964" i="2"/>
  <c r="F981" i="2"/>
  <c r="F998" i="2"/>
  <c r="F4" i="2"/>
  <c r="F31" i="2"/>
  <c r="F54" i="2"/>
  <c r="F77" i="2"/>
  <c r="F97" i="2"/>
  <c r="F118" i="2"/>
  <c r="F138" i="2"/>
  <c r="F158" i="2"/>
  <c r="F177" i="2"/>
  <c r="F196" i="2"/>
  <c r="F214" i="2"/>
  <c r="F232" i="2"/>
  <c r="F250" i="2"/>
  <c r="F269" i="2"/>
  <c r="F287" i="2"/>
  <c r="F305" i="2"/>
  <c r="F324" i="2"/>
  <c r="F342" i="2"/>
  <c r="F360" i="2"/>
  <c r="F378" i="2"/>
  <c r="F397" i="2"/>
  <c r="F415" i="2"/>
  <c r="F433" i="2"/>
  <c r="F452" i="2"/>
  <c r="F470" i="2"/>
  <c r="F488" i="2"/>
  <c r="F506" i="2"/>
  <c r="F525" i="2"/>
  <c r="F543" i="2"/>
  <c r="F561" i="2"/>
  <c r="F580" i="2"/>
  <c r="F598" i="2"/>
  <c r="F616" i="2"/>
  <c r="F634" i="2"/>
  <c r="F653" i="2"/>
  <c r="F671" i="2"/>
  <c r="F689" i="2"/>
  <c r="F708" i="2"/>
  <c r="F726" i="2"/>
  <c r="F743" i="2"/>
  <c r="F760" i="2"/>
  <c r="F777" i="2"/>
  <c r="F794" i="2"/>
  <c r="F812" i="2"/>
  <c r="F829" i="2"/>
  <c r="F846" i="2"/>
  <c r="F863" i="2"/>
  <c r="F880" i="2"/>
  <c r="F897" i="2"/>
  <c r="F5" i="2"/>
  <c r="F32" i="2"/>
  <c r="F56" i="2"/>
  <c r="F78" i="2"/>
  <c r="F98" i="2"/>
  <c r="F120" i="2"/>
  <c r="F140" i="2"/>
  <c r="F159" i="2"/>
  <c r="F178" i="2"/>
  <c r="F197" i="2"/>
  <c r="F215" i="2"/>
  <c r="F233" i="2"/>
  <c r="F252" i="2"/>
  <c r="F270" i="2"/>
  <c r="F288" i="2"/>
  <c r="F306" i="2"/>
  <c r="F325" i="2"/>
  <c r="F343" i="2"/>
  <c r="F361" i="2"/>
  <c r="F380" i="2"/>
  <c r="F398" i="2"/>
  <c r="F416" i="2"/>
  <c r="F434" i="2"/>
  <c r="F453" i="2"/>
  <c r="F471" i="2"/>
  <c r="F489" i="2"/>
  <c r="F508" i="2"/>
  <c r="F526" i="2"/>
  <c r="F544" i="2"/>
  <c r="F562" i="2"/>
  <c r="F581" i="2"/>
  <c r="F599" i="2"/>
  <c r="F617" i="2"/>
  <c r="F636" i="2"/>
  <c r="F654" i="2"/>
  <c r="F672" i="2"/>
  <c r="F690" i="2"/>
  <c r="F709" i="2"/>
  <c r="F727" i="2"/>
  <c r="F744" i="2"/>
  <c r="F761" i="2"/>
  <c r="F6" i="2"/>
  <c r="F34" i="2"/>
  <c r="F57" i="2"/>
  <c r="F79" i="2"/>
  <c r="F100" i="2"/>
  <c r="F121" i="2"/>
  <c r="F141" i="2"/>
  <c r="F160" i="2"/>
  <c r="F180" i="2"/>
  <c r="F198" i="2"/>
  <c r="F216" i="2"/>
  <c r="F234" i="2"/>
  <c r="F253" i="2"/>
  <c r="F271" i="2"/>
  <c r="F289" i="2"/>
  <c r="F308" i="2"/>
  <c r="F326" i="2"/>
  <c r="F344" i="2"/>
  <c r="F362" i="2"/>
  <c r="F381" i="2"/>
  <c r="F399" i="2"/>
  <c r="F417" i="2"/>
  <c r="F436" i="2"/>
  <c r="F454" i="2"/>
  <c r="F472" i="2"/>
  <c r="F490" i="2"/>
  <c r="F509" i="2"/>
  <c r="F527" i="2"/>
  <c r="F545" i="2"/>
  <c r="F564" i="2"/>
  <c r="F582" i="2"/>
  <c r="F600" i="2"/>
  <c r="F618" i="2"/>
  <c r="F637" i="2"/>
  <c r="F655" i="2"/>
  <c r="F673" i="2"/>
  <c r="F692" i="2"/>
  <c r="F710" i="2"/>
  <c r="F728" i="2"/>
  <c r="F745" i="2"/>
  <c r="F762" i="2"/>
  <c r="F780" i="2"/>
  <c r="F797" i="2"/>
  <c r="F814" i="2"/>
  <c r="F831" i="2"/>
  <c r="F848" i="2"/>
  <c r="F865" i="2"/>
  <c r="F882" i="2"/>
  <c r="F899" i="2"/>
  <c r="F916" i="2"/>
  <c r="F933" i="2"/>
  <c r="F950" i="2"/>
  <c r="F967" i="2"/>
  <c r="F984" i="2"/>
  <c r="F1001" i="2"/>
  <c r="F8" i="2"/>
  <c r="F36" i="2"/>
  <c r="F58" i="2"/>
  <c r="F80" i="2"/>
  <c r="F101" i="2"/>
  <c r="F122" i="2"/>
  <c r="F142" i="2"/>
  <c r="F161" i="2"/>
  <c r="F181" i="2"/>
  <c r="F199" i="2"/>
  <c r="F217" i="2"/>
  <c r="F236" i="2"/>
  <c r="F254" i="2"/>
  <c r="F272" i="2"/>
  <c r="F290" i="2"/>
  <c r="F309" i="2"/>
  <c r="F327" i="2"/>
  <c r="F345" i="2"/>
  <c r="F364" i="2"/>
  <c r="F382" i="2"/>
  <c r="F400" i="2"/>
  <c r="F418" i="2"/>
  <c r="F437" i="2"/>
  <c r="F455" i="2"/>
  <c r="F473" i="2"/>
  <c r="F492" i="2"/>
  <c r="F510" i="2"/>
  <c r="F528" i="2"/>
  <c r="F546" i="2"/>
  <c r="F565" i="2"/>
  <c r="F583" i="2"/>
  <c r="F601" i="2"/>
  <c r="F620" i="2"/>
  <c r="F638" i="2"/>
  <c r="F656" i="2"/>
  <c r="F674" i="2"/>
  <c r="F693" i="2"/>
  <c r="F711" i="2"/>
  <c r="F729" i="2"/>
  <c r="F746" i="2"/>
  <c r="F764" i="2"/>
  <c r="F781" i="2"/>
  <c r="F798" i="2"/>
  <c r="F815" i="2"/>
  <c r="F832" i="2"/>
  <c r="F849" i="2"/>
  <c r="F866" i="2"/>
  <c r="F883" i="2"/>
  <c r="F900" i="2"/>
  <c r="F917" i="2"/>
  <c r="F934" i="2"/>
  <c r="F951" i="2"/>
  <c r="F968" i="2"/>
  <c r="F985" i="2"/>
  <c r="F1002" i="2"/>
  <c r="F9" i="2"/>
  <c r="F37" i="2"/>
  <c r="F61" i="2"/>
  <c r="F81" i="2"/>
  <c r="F102" i="2"/>
  <c r="F124" i="2"/>
  <c r="F143" i="2"/>
  <c r="F162" i="2"/>
  <c r="F182" i="2"/>
  <c r="F200" i="2"/>
  <c r="F218" i="2"/>
  <c r="F237" i="2"/>
  <c r="F255" i="2"/>
  <c r="F273" i="2"/>
  <c r="F292" i="2"/>
  <c r="F310" i="2"/>
  <c r="F328" i="2"/>
  <c r="F346" i="2"/>
  <c r="F365" i="2"/>
  <c r="F383" i="2"/>
  <c r="F401" i="2"/>
  <c r="F420" i="2"/>
  <c r="F438" i="2"/>
  <c r="F456" i="2"/>
  <c r="F474" i="2"/>
  <c r="F493" i="2"/>
  <c r="F511" i="2"/>
  <c r="F529" i="2"/>
  <c r="F548" i="2"/>
  <c r="F566" i="2"/>
  <c r="F584" i="2"/>
  <c r="F602" i="2"/>
  <c r="F621" i="2"/>
  <c r="F639" i="2"/>
  <c r="F657" i="2"/>
  <c r="F676" i="2"/>
  <c r="F694" i="2"/>
  <c r="F712" i="2"/>
  <c r="F730" i="2"/>
  <c r="F748" i="2"/>
  <c r="F765" i="2"/>
  <c r="F782" i="2"/>
  <c r="F799" i="2"/>
  <c r="F816" i="2"/>
  <c r="F833" i="2"/>
  <c r="F850" i="2"/>
  <c r="F867" i="2"/>
  <c r="F884" i="2"/>
  <c r="F901" i="2"/>
  <c r="F918" i="2"/>
  <c r="F935" i="2"/>
  <c r="F952" i="2"/>
  <c r="F969" i="2"/>
  <c r="F986" i="2"/>
  <c r="F10" i="2"/>
  <c r="F38" i="2"/>
  <c r="F62" i="2"/>
  <c r="F82" i="2"/>
  <c r="F104" i="2"/>
  <c r="F125" i="2"/>
  <c r="F144" i="2"/>
  <c r="F164" i="2"/>
  <c r="F183" i="2"/>
  <c r="F201" i="2"/>
  <c r="F220" i="2"/>
  <c r="F238" i="2"/>
  <c r="F256" i="2"/>
  <c r="F274" i="2"/>
  <c r="F293" i="2"/>
  <c r="F311" i="2"/>
  <c r="F329" i="2"/>
  <c r="F348" i="2"/>
  <c r="F366" i="2"/>
  <c r="F384" i="2"/>
  <c r="F402" i="2"/>
  <c r="F421" i="2"/>
  <c r="F439" i="2"/>
  <c r="F457" i="2"/>
  <c r="F476" i="2"/>
  <c r="F494" i="2"/>
  <c r="F512" i="2"/>
  <c r="F530" i="2"/>
  <c r="F549" i="2"/>
  <c r="F567" i="2"/>
  <c r="F585" i="2"/>
  <c r="F604" i="2"/>
  <c r="F622" i="2"/>
  <c r="F640" i="2"/>
  <c r="F658" i="2"/>
  <c r="F677" i="2"/>
  <c r="F695" i="2"/>
  <c r="F713" i="2"/>
  <c r="F732" i="2"/>
  <c r="F749" i="2"/>
  <c r="F766" i="2"/>
  <c r="F783" i="2"/>
  <c r="F800" i="2"/>
  <c r="F817" i="2"/>
  <c r="F834" i="2"/>
  <c r="F851" i="2"/>
  <c r="F868" i="2"/>
  <c r="F885" i="2"/>
  <c r="F902" i="2"/>
  <c r="F919" i="2"/>
  <c r="F936" i="2"/>
  <c r="F953" i="2"/>
  <c r="F970" i="2"/>
  <c r="F988" i="2"/>
  <c r="F13" i="2"/>
  <c r="F40" i="2"/>
  <c r="F63" i="2"/>
  <c r="F84" i="2"/>
  <c r="F105" i="2"/>
  <c r="F126" i="2"/>
  <c r="F145" i="2"/>
  <c r="F165" i="2"/>
  <c r="F184" i="2"/>
  <c r="F202" i="2"/>
  <c r="F221" i="2"/>
  <c r="F239" i="2"/>
  <c r="F257" i="2"/>
  <c r="F276" i="2"/>
  <c r="F294" i="2"/>
  <c r="F312" i="2"/>
  <c r="F330" i="2"/>
  <c r="F349" i="2"/>
  <c r="F367" i="2"/>
  <c r="F385" i="2"/>
  <c r="F404" i="2"/>
  <c r="F422" i="2"/>
  <c r="F440" i="2"/>
  <c r="F458" i="2"/>
  <c r="F477" i="2"/>
  <c r="F495" i="2"/>
  <c r="F513" i="2"/>
  <c r="F532" i="2"/>
  <c r="F550" i="2"/>
  <c r="F568" i="2"/>
  <c r="F586" i="2"/>
  <c r="F605" i="2"/>
  <c r="F623" i="2"/>
  <c r="F641" i="2"/>
  <c r="F660" i="2"/>
  <c r="F678" i="2"/>
  <c r="F696" i="2"/>
  <c r="F714" i="2"/>
  <c r="F733" i="2"/>
  <c r="F750" i="2"/>
  <c r="F767" i="2"/>
  <c r="F784" i="2"/>
  <c r="F801" i="2"/>
  <c r="F818" i="2"/>
  <c r="F835" i="2"/>
  <c r="F852" i="2"/>
  <c r="F869" i="2"/>
  <c r="F886" i="2"/>
  <c r="F903" i="2"/>
  <c r="F920" i="2"/>
  <c r="F937" i="2"/>
  <c r="F954" i="2"/>
  <c r="F972" i="2"/>
  <c r="F989" i="2"/>
  <c r="F16" i="2"/>
  <c r="F41" i="2"/>
  <c r="F64" i="2"/>
  <c r="F85" i="2"/>
  <c r="F106" i="2"/>
  <c r="F127" i="2"/>
  <c r="F146" i="2"/>
  <c r="F166" i="2"/>
  <c r="F185" i="2"/>
  <c r="F204" i="2"/>
  <c r="F222" i="2"/>
  <c r="F240" i="2"/>
  <c r="F258" i="2"/>
  <c r="F277" i="2"/>
  <c r="F295" i="2"/>
  <c r="F313" i="2"/>
  <c r="F332" i="2"/>
  <c r="F350" i="2"/>
  <c r="F368" i="2"/>
  <c r="F386" i="2"/>
  <c r="F405" i="2"/>
  <c r="F423" i="2"/>
  <c r="F441" i="2"/>
  <c r="F460" i="2"/>
  <c r="F478" i="2"/>
  <c r="F496" i="2"/>
  <c r="F514" i="2"/>
  <c r="F533" i="2"/>
  <c r="F551" i="2"/>
  <c r="F569" i="2"/>
  <c r="F588" i="2"/>
  <c r="F606" i="2"/>
  <c r="F624" i="2"/>
  <c r="F642" i="2"/>
  <c r="F661" i="2"/>
  <c r="F679" i="2"/>
  <c r="F697" i="2"/>
  <c r="F716" i="2"/>
  <c r="F734" i="2"/>
  <c r="F751" i="2"/>
  <c r="F768" i="2"/>
  <c r="F785" i="2"/>
  <c r="F802" i="2"/>
  <c r="F819" i="2"/>
  <c r="F836" i="2"/>
  <c r="F853" i="2"/>
  <c r="F870" i="2"/>
  <c r="F887" i="2"/>
  <c r="F904" i="2"/>
  <c r="F921" i="2"/>
  <c r="F938" i="2"/>
  <c r="F956" i="2"/>
  <c r="F973" i="2"/>
  <c r="F990" i="2"/>
  <c r="F18" i="2"/>
  <c r="F42" i="2"/>
  <c r="F65" i="2"/>
  <c r="F86" i="2"/>
  <c r="F109" i="2"/>
  <c r="F128" i="2"/>
  <c r="F148" i="2"/>
  <c r="F168" i="2"/>
  <c r="F186" i="2"/>
  <c r="F205" i="2"/>
  <c r="F223" i="2"/>
  <c r="F241" i="2"/>
  <c r="F260" i="2"/>
  <c r="F278" i="2"/>
  <c r="F296" i="2"/>
  <c r="F314" i="2"/>
  <c r="F333" i="2"/>
  <c r="F351" i="2"/>
  <c r="F369" i="2"/>
  <c r="F388" i="2"/>
  <c r="F406" i="2"/>
  <c r="F424" i="2"/>
  <c r="F442" i="2"/>
  <c r="F461" i="2"/>
  <c r="F479" i="2"/>
  <c r="F497" i="2"/>
  <c r="F516" i="2"/>
  <c r="F534" i="2"/>
  <c r="F552" i="2"/>
  <c r="F570" i="2"/>
  <c r="F589" i="2"/>
  <c r="F607" i="2"/>
  <c r="F625" i="2"/>
  <c r="F644" i="2"/>
  <c r="F662" i="2"/>
  <c r="F680" i="2"/>
  <c r="F698" i="2"/>
  <c r="F717" i="2"/>
  <c r="F735" i="2"/>
  <c r="F752" i="2"/>
  <c r="F769" i="2"/>
  <c r="F786" i="2"/>
  <c r="F803" i="2"/>
  <c r="F820" i="2"/>
  <c r="F20" i="2"/>
  <c r="F45" i="2"/>
  <c r="F66" i="2"/>
  <c r="F88" i="2"/>
  <c r="F110" i="2"/>
  <c r="F129" i="2"/>
  <c r="F149" i="2"/>
  <c r="F169" i="2"/>
  <c r="F188" i="2"/>
  <c r="F206" i="2"/>
  <c r="F224" i="2"/>
  <c r="F242" i="2"/>
  <c r="F261" i="2"/>
  <c r="F279" i="2"/>
  <c r="F297" i="2"/>
  <c r="F316" i="2"/>
  <c r="F334" i="2"/>
  <c r="F352" i="2"/>
  <c r="F370" i="2"/>
  <c r="F389" i="2"/>
  <c r="F407" i="2"/>
  <c r="F425" i="2"/>
  <c r="F444" i="2"/>
  <c r="F462" i="2"/>
  <c r="F480" i="2"/>
  <c r="F498" i="2"/>
  <c r="F517" i="2"/>
  <c r="F535" i="2"/>
  <c r="F553" i="2"/>
  <c r="F572" i="2"/>
  <c r="F590" i="2"/>
  <c r="F608" i="2"/>
  <c r="F626" i="2"/>
  <c r="F645" i="2"/>
  <c r="F663" i="2"/>
  <c r="F681" i="2"/>
  <c r="F700" i="2"/>
  <c r="F718" i="2"/>
  <c r="F736" i="2"/>
  <c r="F753" i="2"/>
  <c r="F770" i="2"/>
  <c r="F787" i="2"/>
  <c r="F804" i="2"/>
  <c r="F821" i="2"/>
  <c r="F838" i="2"/>
  <c r="F855" i="2"/>
  <c r="F872" i="2"/>
  <c r="F889" i="2"/>
  <c r="F906" i="2"/>
  <c r="F924" i="2"/>
  <c r="F941" i="2"/>
  <c r="F958" i="2"/>
  <c r="F975" i="2"/>
  <c r="F992" i="2"/>
  <c r="F21" i="2"/>
  <c r="F46" i="2"/>
  <c r="F68" i="2"/>
  <c r="F89" i="2"/>
  <c r="F111" i="2"/>
  <c r="F130" i="2"/>
  <c r="F150" i="2"/>
  <c r="F170" i="2"/>
  <c r="F189" i="2"/>
  <c r="F207" i="2"/>
  <c r="F225" i="2"/>
  <c r="F244" i="2"/>
  <c r="F262" i="2"/>
  <c r="F280" i="2"/>
  <c r="F298" i="2"/>
  <c r="F317" i="2"/>
  <c r="F335" i="2"/>
  <c r="F353" i="2"/>
  <c r="F372" i="2"/>
  <c r="F390" i="2"/>
  <c r="F408" i="2"/>
  <c r="F426" i="2"/>
  <c r="F445" i="2"/>
  <c r="F463" i="2"/>
  <c r="F481" i="2"/>
  <c r="F500" i="2"/>
  <c r="F518" i="2"/>
  <c r="F536" i="2"/>
  <c r="F554" i="2"/>
  <c r="F573" i="2"/>
  <c r="F591" i="2"/>
  <c r="F609" i="2"/>
  <c r="F628" i="2"/>
  <c r="F646" i="2"/>
  <c r="F664" i="2"/>
  <c r="F682" i="2"/>
  <c r="F701" i="2"/>
  <c r="F719" i="2"/>
  <c r="F737" i="2"/>
  <c r="F754" i="2"/>
  <c r="F771" i="2"/>
  <c r="F788" i="2"/>
  <c r="F805" i="2"/>
  <c r="F822" i="2"/>
  <c r="F839" i="2"/>
  <c r="F856" i="2"/>
  <c r="F873" i="2"/>
  <c r="F890" i="2"/>
  <c r="F908" i="2"/>
  <c r="F925" i="2"/>
  <c r="F942" i="2"/>
  <c r="F959" i="2"/>
  <c r="F976" i="2"/>
  <c r="F22" i="2"/>
  <c r="F47" i="2"/>
  <c r="F69" i="2"/>
  <c r="F90" i="2"/>
  <c r="F112" i="2"/>
  <c r="F132" i="2"/>
  <c r="F152" i="2"/>
  <c r="F172" i="2"/>
  <c r="F190" i="2"/>
  <c r="F208" i="2"/>
  <c r="F226" i="2"/>
  <c r="F245" i="2"/>
  <c r="F263" i="2"/>
  <c r="F281" i="2"/>
  <c r="F300" i="2"/>
  <c r="F318" i="2"/>
  <c r="F336" i="2"/>
  <c r="F354" i="2"/>
  <c r="F373" i="2"/>
  <c r="F391" i="2"/>
  <c r="F409" i="2"/>
  <c r="F428" i="2"/>
  <c r="F446" i="2"/>
  <c r="F464" i="2"/>
  <c r="F482" i="2"/>
  <c r="F501" i="2"/>
  <c r="F519" i="2"/>
  <c r="F537" i="2"/>
  <c r="F556" i="2"/>
  <c r="F574" i="2"/>
  <c r="F592" i="2"/>
  <c r="F610" i="2"/>
  <c r="F629" i="2"/>
  <c r="F647" i="2"/>
  <c r="F665" i="2"/>
  <c r="F684" i="2"/>
  <c r="F702" i="2"/>
  <c r="F720" i="2"/>
  <c r="F738" i="2"/>
  <c r="F755" i="2"/>
  <c r="F772" i="2"/>
  <c r="F789" i="2"/>
  <c r="F806" i="2"/>
  <c r="F823" i="2"/>
  <c r="F840" i="2"/>
  <c r="F857" i="2"/>
  <c r="F874" i="2"/>
  <c r="F892" i="2"/>
  <c r="F909" i="2"/>
  <c r="F926" i="2"/>
  <c r="F943" i="2"/>
  <c r="F960" i="2"/>
  <c r="F977" i="2"/>
  <c r="F994" i="2"/>
  <c r="F24" i="2"/>
  <c r="F48" i="2"/>
  <c r="F70" i="2"/>
  <c r="F93" i="2"/>
  <c r="F113" i="2"/>
  <c r="F133" i="2"/>
  <c r="F153" i="2"/>
  <c r="F173" i="2"/>
  <c r="F191" i="2"/>
  <c r="F209" i="2"/>
  <c r="F228" i="2"/>
  <c r="F246" i="2"/>
  <c r="F264" i="2"/>
  <c r="F282" i="2"/>
  <c r="F301" i="2"/>
  <c r="F319" i="2"/>
  <c r="F337" i="2"/>
  <c r="F356" i="2"/>
  <c r="F374" i="2"/>
  <c r="F392" i="2"/>
  <c r="F410" i="2"/>
  <c r="F429" i="2"/>
  <c r="F447" i="2"/>
  <c r="F465" i="2"/>
  <c r="F484" i="2"/>
  <c r="F502" i="2"/>
  <c r="F520" i="2"/>
  <c r="F538" i="2"/>
  <c r="F557" i="2"/>
  <c r="F575" i="2"/>
  <c r="F593" i="2"/>
  <c r="F612" i="2"/>
  <c r="F630" i="2"/>
  <c r="F648" i="2"/>
  <c r="F666" i="2"/>
  <c r="F685" i="2"/>
  <c r="F703" i="2"/>
  <c r="F721" i="2"/>
  <c r="F739" i="2"/>
  <c r="F756" i="2"/>
  <c r="F773" i="2"/>
  <c r="F790" i="2"/>
  <c r="F807" i="2"/>
  <c r="F824" i="2"/>
  <c r="F841" i="2"/>
  <c r="F858" i="2"/>
  <c r="F876" i="2"/>
  <c r="F25" i="2"/>
  <c r="F50" i="2"/>
  <c r="F72" i="2"/>
  <c r="F94" i="2"/>
  <c r="F114" i="2"/>
  <c r="F134" i="2"/>
  <c r="F154" i="2"/>
  <c r="F174" i="2"/>
  <c r="F192" i="2"/>
  <c r="F210" i="2"/>
  <c r="F229" i="2"/>
  <c r="F247" i="2"/>
  <c r="F265" i="2"/>
  <c r="F284" i="2"/>
  <c r="F302" i="2"/>
  <c r="F320" i="2"/>
  <c r="F338" i="2"/>
  <c r="F357" i="2"/>
  <c r="F375" i="2"/>
  <c r="F393" i="2"/>
  <c r="F412" i="2"/>
  <c r="F430" i="2"/>
  <c r="F448" i="2"/>
  <c r="F466" i="2"/>
  <c r="F485" i="2"/>
  <c r="F503" i="2"/>
  <c r="F521" i="2"/>
  <c r="F540" i="2"/>
  <c r="F558" i="2"/>
  <c r="F576" i="2"/>
  <c r="F594" i="2"/>
  <c r="F613" i="2"/>
  <c r="F631" i="2"/>
  <c r="F649" i="2"/>
  <c r="F668" i="2"/>
  <c r="F686" i="2"/>
  <c r="F704" i="2"/>
  <c r="F722" i="2"/>
  <c r="F740" i="2"/>
  <c r="F757" i="2"/>
  <c r="F774" i="2"/>
  <c r="F791" i="2"/>
  <c r="F808" i="2"/>
  <c r="F825" i="2"/>
  <c r="F842" i="2"/>
  <c r="F860" i="2"/>
  <c r="F877" i="2"/>
  <c r="F894" i="2"/>
  <c r="F911" i="2"/>
  <c r="F928" i="2"/>
  <c r="F945" i="2"/>
  <c r="F962" i="2"/>
  <c r="F979" i="2"/>
  <c r="F996" i="2"/>
  <c r="F26" i="2"/>
  <c r="F52" i="2"/>
  <c r="F73" i="2"/>
  <c r="F95" i="2"/>
  <c r="F116" i="2"/>
  <c r="F136" i="2"/>
  <c r="F156" i="2"/>
  <c r="F175" i="2"/>
  <c r="F193" i="2"/>
  <c r="F212" i="2"/>
  <c r="F230" i="2"/>
  <c r="F248" i="2"/>
  <c r="F266" i="2"/>
  <c r="F285" i="2"/>
  <c r="F303" i="2"/>
  <c r="F321" i="2"/>
  <c r="F340" i="2"/>
  <c r="F358" i="2"/>
  <c r="F376" i="2"/>
  <c r="F394" i="2"/>
  <c r="F413" i="2"/>
  <c r="F431" i="2"/>
  <c r="F449" i="2"/>
  <c r="F468" i="2"/>
  <c r="F486" i="2"/>
  <c r="F504" i="2"/>
  <c r="F522" i="2"/>
  <c r="F541" i="2"/>
  <c r="F559" i="2"/>
  <c r="F577" i="2"/>
  <c r="F596" i="2"/>
  <c r="F614" i="2"/>
  <c r="F632" i="2"/>
  <c r="F650" i="2"/>
  <c r="F669" i="2"/>
  <c r="F687" i="2"/>
  <c r="F705" i="2"/>
  <c r="F724" i="2"/>
  <c r="F741" i="2"/>
  <c r="F758" i="2"/>
  <c r="F775" i="2"/>
  <c r="F792" i="2"/>
  <c r="F809" i="2"/>
  <c r="F826" i="2"/>
  <c r="F844" i="2"/>
  <c r="F861" i="2"/>
  <c r="F878" i="2"/>
  <c r="F895" i="2"/>
  <c r="F912" i="2"/>
  <c r="F929" i="2"/>
  <c r="F946" i="2"/>
  <c r="F963" i="2"/>
  <c r="F980" i="2"/>
  <c r="F997" i="2"/>
  <c r="F871" i="2"/>
  <c r="F949" i="2"/>
  <c r="F881" i="2"/>
  <c r="F957" i="2"/>
  <c r="F888" i="2"/>
  <c r="F961" i="2"/>
  <c r="F893" i="2"/>
  <c r="F965" i="2"/>
  <c r="F898" i="2"/>
  <c r="F966" i="2"/>
  <c r="F905" i="2"/>
  <c r="F974" i="2"/>
  <c r="F910" i="2"/>
  <c r="F978" i="2"/>
  <c r="F914" i="2"/>
  <c r="F982" i="2"/>
  <c r="F778" i="2"/>
  <c r="F915" i="2"/>
  <c r="F983" i="2"/>
  <c r="F796" i="2"/>
  <c r="F922" i="2"/>
  <c r="F991" i="2"/>
  <c r="F813" i="2"/>
  <c r="F927" i="2"/>
  <c r="F993" i="2"/>
  <c r="F830" i="2"/>
  <c r="F931" i="2"/>
  <c r="F995" i="2"/>
  <c r="F837" i="2"/>
  <c r="F932" i="2"/>
  <c r="F999" i="2"/>
  <c r="F847" i="2"/>
  <c r="F940" i="2"/>
  <c r="F1000" i="2"/>
  <c r="F854" i="2"/>
  <c r="F944" i="2"/>
  <c r="F864" i="2"/>
  <c r="F948" i="2"/>
  <c r="F2" i="2"/>
  <c r="O996" i="2"/>
  <c r="O980" i="2"/>
  <c r="O964" i="2"/>
  <c r="O948" i="2"/>
  <c r="O932" i="2"/>
  <c r="O916" i="2"/>
  <c r="O900" i="2"/>
  <c r="O884" i="2"/>
  <c r="O868" i="2"/>
  <c r="O852" i="2"/>
  <c r="O836" i="2"/>
  <c r="O820" i="2"/>
  <c r="O804" i="2"/>
  <c r="O788" i="2"/>
  <c r="O772" i="2"/>
  <c r="O756" i="2"/>
  <c r="O740" i="2"/>
  <c r="O724" i="2"/>
  <c r="O708" i="2"/>
  <c r="O692" i="2"/>
  <c r="O676" i="2"/>
  <c r="O660" i="2"/>
  <c r="O644" i="2"/>
  <c r="O628" i="2"/>
  <c r="O612" i="2"/>
  <c r="O596" i="2"/>
  <c r="O580" i="2"/>
  <c r="O564" i="2"/>
  <c r="O548" i="2"/>
  <c r="O531" i="2"/>
  <c r="O509" i="2"/>
  <c r="O488" i="2"/>
  <c r="O468" i="2"/>
  <c r="O445" i="2"/>
  <c r="O424" i="2"/>
  <c r="O404" i="2"/>
  <c r="O381" i="2"/>
  <c r="O360" i="2"/>
  <c r="O340" i="2"/>
  <c r="O317" i="2"/>
  <c r="O296" i="2"/>
  <c r="O276" i="2"/>
  <c r="O252" i="2"/>
  <c r="O228" i="2"/>
  <c r="O201" i="2"/>
  <c r="O175" i="2"/>
  <c r="O151" i="2"/>
  <c r="O121" i="2"/>
  <c r="O89" i="2"/>
  <c r="O57" i="2"/>
  <c r="O25" i="2"/>
  <c r="G3" i="2"/>
  <c r="G19" i="2"/>
  <c r="G35" i="2"/>
  <c r="G15" i="2"/>
  <c r="G32" i="2"/>
  <c r="G49" i="2"/>
  <c r="G65" i="2"/>
  <c r="G81" i="2"/>
  <c r="G97" i="2"/>
  <c r="G113" i="2"/>
  <c r="G129" i="2"/>
  <c r="G145" i="2"/>
  <c r="G161" i="2"/>
  <c r="G177" i="2"/>
  <c r="G193" i="2"/>
  <c r="G209" i="2"/>
  <c r="G18" i="2"/>
  <c r="G36" i="2"/>
  <c r="G52" i="2"/>
  <c r="G68" i="2"/>
  <c r="G84" i="2"/>
  <c r="G20" i="2"/>
  <c r="G37" i="2"/>
  <c r="G53" i="2"/>
  <c r="G69" i="2"/>
  <c r="G85" i="2"/>
  <c r="G101" i="2"/>
  <c r="G117" i="2"/>
  <c r="G4" i="2"/>
  <c r="G21" i="2"/>
  <c r="G38" i="2"/>
  <c r="G54" i="2"/>
  <c r="G70" i="2"/>
  <c r="G86" i="2"/>
  <c r="G102" i="2"/>
  <c r="G118" i="2"/>
  <c r="G134" i="2"/>
  <c r="G150" i="2"/>
  <c r="G166" i="2"/>
  <c r="G182" i="2"/>
  <c r="G198" i="2"/>
  <c r="G214" i="2"/>
  <c r="G230" i="2"/>
  <c r="G246" i="2"/>
  <c r="G262" i="2"/>
  <c r="G278" i="2"/>
  <c r="G5" i="2"/>
  <c r="G22" i="2"/>
  <c r="G39" i="2"/>
  <c r="G55" i="2"/>
  <c r="G71" i="2"/>
  <c r="G87" i="2"/>
  <c r="G103" i="2"/>
  <c r="G119" i="2"/>
  <c r="G135" i="2"/>
  <c r="G6" i="2"/>
  <c r="G23" i="2"/>
  <c r="G40" i="2"/>
  <c r="G56" i="2"/>
  <c r="G72" i="2"/>
  <c r="G88" i="2"/>
  <c r="G104" i="2"/>
  <c r="G120" i="2"/>
  <c r="G136" i="2"/>
  <c r="G152" i="2"/>
  <c r="G168" i="2"/>
  <c r="G184" i="2"/>
  <c r="G200" i="2"/>
  <c r="G216" i="2"/>
  <c r="G232" i="2"/>
  <c r="G248" i="2"/>
  <c r="G264" i="2"/>
  <c r="G280" i="2"/>
  <c r="G296" i="2"/>
  <c r="G312" i="2"/>
  <c r="G328" i="2"/>
  <c r="G344" i="2"/>
  <c r="G360" i="2"/>
  <c r="G7" i="2"/>
  <c r="G24" i="2"/>
  <c r="G41" i="2"/>
  <c r="G57" i="2"/>
  <c r="G73" i="2"/>
  <c r="G89" i="2"/>
  <c r="G105" i="2"/>
  <c r="G121" i="2"/>
  <c r="G137" i="2"/>
  <c r="G153" i="2"/>
  <c r="G169" i="2"/>
  <c r="G185" i="2"/>
  <c r="G201" i="2"/>
  <c r="G217" i="2"/>
  <c r="G233" i="2"/>
  <c r="G249" i="2"/>
  <c r="G265" i="2"/>
  <c r="G281" i="2"/>
  <c r="G297" i="2"/>
  <c r="G313" i="2"/>
  <c r="G329" i="2"/>
  <c r="G345" i="2"/>
  <c r="G361" i="2"/>
  <c r="G377" i="2"/>
  <c r="G393" i="2"/>
  <c r="G409" i="2"/>
  <c r="G425" i="2"/>
  <c r="G441" i="2"/>
  <c r="G9" i="2"/>
  <c r="G26" i="2"/>
  <c r="G43" i="2"/>
  <c r="G59" i="2"/>
  <c r="G75" i="2"/>
  <c r="G91" i="2"/>
  <c r="G107" i="2"/>
  <c r="G123" i="2"/>
  <c r="G139" i="2"/>
  <c r="G155" i="2"/>
  <c r="G171" i="2"/>
  <c r="G187" i="2"/>
  <c r="G203" i="2"/>
  <c r="G11" i="2"/>
  <c r="G28" i="2"/>
  <c r="G45" i="2"/>
  <c r="G61" i="2"/>
  <c r="G77" i="2"/>
  <c r="G93" i="2"/>
  <c r="G109" i="2"/>
  <c r="G125" i="2"/>
  <c r="G141" i="2"/>
  <c r="G157" i="2"/>
  <c r="G173" i="2"/>
  <c r="G189" i="2"/>
  <c r="G205" i="2"/>
  <c r="G221" i="2"/>
  <c r="G13" i="2"/>
  <c r="G30" i="2"/>
  <c r="G47" i="2"/>
  <c r="G63" i="2"/>
  <c r="G79" i="2"/>
  <c r="G95" i="2"/>
  <c r="G111" i="2"/>
  <c r="G127" i="2"/>
  <c r="G14" i="2"/>
  <c r="G31" i="2"/>
  <c r="G48" i="2"/>
  <c r="G64" i="2"/>
  <c r="G80" i="2"/>
  <c r="G96" i="2"/>
  <c r="G112" i="2"/>
  <c r="G128" i="2"/>
  <c r="G144" i="2"/>
  <c r="G160" i="2"/>
  <c r="G176" i="2"/>
  <c r="G192" i="2"/>
  <c r="G208" i="2"/>
  <c r="G12" i="2"/>
  <c r="G66" i="2"/>
  <c r="G114" i="2"/>
  <c r="G148" i="2"/>
  <c r="G178" i="2"/>
  <c r="G206" i="2"/>
  <c r="G228" i="2"/>
  <c r="G250" i="2"/>
  <c r="G269" i="2"/>
  <c r="G288" i="2"/>
  <c r="G306" i="2"/>
  <c r="G324" i="2"/>
  <c r="G342" i="2"/>
  <c r="G362" i="2"/>
  <c r="G379" i="2"/>
  <c r="G396" i="2"/>
  <c r="G413" i="2"/>
  <c r="G430" i="2"/>
  <c r="G447" i="2"/>
  <c r="G463" i="2"/>
  <c r="G479" i="2"/>
  <c r="G495" i="2"/>
  <c r="G511" i="2"/>
  <c r="G527" i="2"/>
  <c r="G543" i="2"/>
  <c r="G559" i="2"/>
  <c r="G575" i="2"/>
  <c r="G591" i="2"/>
  <c r="G607" i="2"/>
  <c r="G623" i="2"/>
  <c r="G639" i="2"/>
  <c r="G655" i="2"/>
  <c r="G671" i="2"/>
  <c r="G687" i="2"/>
  <c r="G703" i="2"/>
  <c r="G719" i="2"/>
  <c r="G735" i="2"/>
  <c r="G751" i="2"/>
  <c r="G767" i="2"/>
  <c r="G783" i="2"/>
  <c r="G799" i="2"/>
  <c r="G815" i="2"/>
  <c r="G831" i="2"/>
  <c r="G847" i="2"/>
  <c r="G863" i="2"/>
  <c r="G879" i="2"/>
  <c r="G895" i="2"/>
  <c r="G911" i="2"/>
  <c r="G927" i="2"/>
  <c r="G943" i="2"/>
  <c r="G959" i="2"/>
  <c r="G975" i="2"/>
  <c r="G991" i="2"/>
  <c r="G16" i="2"/>
  <c r="G67" i="2"/>
  <c r="G115" i="2"/>
  <c r="G149" i="2"/>
  <c r="G179" i="2"/>
  <c r="G207" i="2"/>
  <c r="G229" i="2"/>
  <c r="G251" i="2"/>
  <c r="G270" i="2"/>
  <c r="G289" i="2"/>
  <c r="G307" i="2"/>
  <c r="G325" i="2"/>
  <c r="G343" i="2"/>
  <c r="G363" i="2"/>
  <c r="G380" i="2"/>
  <c r="G397" i="2"/>
  <c r="G414" i="2"/>
  <c r="G431" i="2"/>
  <c r="G448" i="2"/>
  <c r="G464" i="2"/>
  <c r="G480" i="2"/>
  <c r="G496" i="2"/>
  <c r="G512" i="2"/>
  <c r="G528" i="2"/>
  <c r="G544" i="2"/>
  <c r="G560" i="2"/>
  <c r="G576" i="2"/>
  <c r="G592" i="2"/>
  <c r="G608" i="2"/>
  <c r="G624" i="2"/>
  <c r="G640" i="2"/>
  <c r="G656" i="2"/>
  <c r="G672" i="2"/>
  <c r="G688" i="2"/>
  <c r="G704" i="2"/>
  <c r="G720" i="2"/>
  <c r="G736" i="2"/>
  <c r="G752" i="2"/>
  <c r="G768" i="2"/>
  <c r="G784" i="2"/>
  <c r="G800" i="2"/>
  <c r="G816" i="2"/>
  <c r="G832" i="2"/>
  <c r="G848" i="2"/>
  <c r="G864" i="2"/>
  <c r="G880" i="2"/>
  <c r="G896" i="2"/>
  <c r="G912" i="2"/>
  <c r="G928" i="2"/>
  <c r="G944" i="2"/>
  <c r="G960" i="2"/>
  <c r="G976" i="2"/>
  <c r="G992" i="2"/>
  <c r="G17" i="2"/>
  <c r="G74" i="2"/>
  <c r="G116" i="2"/>
  <c r="G151" i="2"/>
  <c r="G180" i="2"/>
  <c r="G210" i="2"/>
  <c r="G231" i="2"/>
  <c r="G252" i="2"/>
  <c r="G271" i="2"/>
  <c r="G290" i="2"/>
  <c r="G308" i="2"/>
  <c r="G326" i="2"/>
  <c r="G346" i="2"/>
  <c r="G364" i="2"/>
  <c r="G381" i="2"/>
  <c r="G398" i="2"/>
  <c r="G415" i="2"/>
  <c r="G432" i="2"/>
  <c r="G449" i="2"/>
  <c r="G465" i="2"/>
  <c r="G481" i="2"/>
  <c r="G497" i="2"/>
  <c r="G513" i="2"/>
  <c r="G529" i="2"/>
  <c r="G545" i="2"/>
  <c r="G561" i="2"/>
  <c r="G577" i="2"/>
  <c r="G593" i="2"/>
  <c r="G609" i="2"/>
  <c r="G625" i="2"/>
  <c r="G641" i="2"/>
  <c r="G657" i="2"/>
  <c r="G673" i="2"/>
  <c r="G689" i="2"/>
  <c r="G705" i="2"/>
  <c r="G721" i="2"/>
  <c r="G737" i="2"/>
  <c r="G753" i="2"/>
  <c r="G769" i="2"/>
  <c r="G785" i="2"/>
  <c r="G801" i="2"/>
  <c r="G817" i="2"/>
  <c r="G833" i="2"/>
  <c r="G849" i="2"/>
  <c r="G865" i="2"/>
  <c r="G881" i="2"/>
  <c r="G897" i="2"/>
  <c r="G913" i="2"/>
  <c r="G929" i="2"/>
  <c r="G945" i="2"/>
  <c r="G961" i="2"/>
  <c r="G977" i="2"/>
  <c r="G993" i="2"/>
  <c r="G25" i="2"/>
  <c r="G76" i="2"/>
  <c r="G122" i="2"/>
  <c r="G154" i="2"/>
  <c r="G181" i="2"/>
  <c r="G211" i="2"/>
  <c r="G234" i="2"/>
  <c r="G253" i="2"/>
  <c r="G272" i="2"/>
  <c r="G291" i="2"/>
  <c r="G309" i="2"/>
  <c r="G327" i="2"/>
  <c r="G347" i="2"/>
  <c r="G365" i="2"/>
  <c r="G382" i="2"/>
  <c r="G399" i="2"/>
  <c r="G416" i="2"/>
  <c r="G433" i="2"/>
  <c r="G450" i="2"/>
  <c r="G466" i="2"/>
  <c r="G482" i="2"/>
  <c r="G498" i="2"/>
  <c r="G514" i="2"/>
  <c r="G530" i="2"/>
  <c r="G546" i="2"/>
  <c r="G562" i="2"/>
  <c r="G578" i="2"/>
  <c r="G594" i="2"/>
  <c r="G610" i="2"/>
  <c r="G626" i="2"/>
  <c r="G642" i="2"/>
  <c r="G658" i="2"/>
  <c r="G674" i="2"/>
  <c r="G690" i="2"/>
  <c r="G706" i="2"/>
  <c r="G722" i="2"/>
  <c r="G738" i="2"/>
  <c r="G754" i="2"/>
  <c r="G770" i="2"/>
  <c r="G786" i="2"/>
  <c r="G802" i="2"/>
  <c r="G818" i="2"/>
  <c r="G834" i="2"/>
  <c r="G850" i="2"/>
  <c r="G866" i="2"/>
  <c r="G882" i="2"/>
  <c r="G898" i="2"/>
  <c r="G914" i="2"/>
  <c r="G930" i="2"/>
  <c r="G946" i="2"/>
  <c r="G962" i="2"/>
  <c r="G978" i="2"/>
  <c r="G994" i="2"/>
  <c r="G27" i="2"/>
  <c r="G78" i="2"/>
  <c r="G124" i="2"/>
  <c r="G156" i="2"/>
  <c r="G183" i="2"/>
  <c r="G212" i="2"/>
  <c r="G235" i="2"/>
  <c r="G254" i="2"/>
  <c r="G273" i="2"/>
  <c r="G292" i="2"/>
  <c r="G310" i="2"/>
  <c r="G330" i="2"/>
  <c r="G348" i="2"/>
  <c r="G366" i="2"/>
  <c r="G383" i="2"/>
  <c r="G400" i="2"/>
  <c r="G417" i="2"/>
  <c r="G434" i="2"/>
  <c r="G451" i="2"/>
  <c r="G467" i="2"/>
  <c r="G483" i="2"/>
  <c r="G499" i="2"/>
  <c r="G515" i="2"/>
  <c r="G531" i="2"/>
  <c r="G547" i="2"/>
  <c r="G563" i="2"/>
  <c r="G579" i="2"/>
  <c r="G595" i="2"/>
  <c r="G611" i="2"/>
  <c r="G627" i="2"/>
  <c r="G643" i="2"/>
  <c r="G659" i="2"/>
  <c r="G675" i="2"/>
  <c r="G691" i="2"/>
  <c r="G707" i="2"/>
  <c r="G723" i="2"/>
  <c r="G739" i="2"/>
  <c r="G755" i="2"/>
  <c r="G771" i="2"/>
  <c r="G787" i="2"/>
  <c r="G803" i="2"/>
  <c r="G819" i="2"/>
  <c r="G835" i="2"/>
  <c r="G851" i="2"/>
  <c r="G867" i="2"/>
  <c r="G883" i="2"/>
  <c r="G899" i="2"/>
  <c r="G915" i="2"/>
  <c r="G931" i="2"/>
  <c r="G947" i="2"/>
  <c r="G963" i="2"/>
  <c r="G979" i="2"/>
  <c r="G995" i="2"/>
  <c r="G29" i="2"/>
  <c r="G82" i="2"/>
  <c r="G126" i="2"/>
  <c r="G158" i="2"/>
  <c r="G186" i="2"/>
  <c r="G213" i="2"/>
  <c r="G236" i="2"/>
  <c r="G255" i="2"/>
  <c r="G274" i="2"/>
  <c r="G293" i="2"/>
  <c r="G311" i="2"/>
  <c r="G331" i="2"/>
  <c r="G349" i="2"/>
  <c r="G367" i="2"/>
  <c r="G384" i="2"/>
  <c r="G401" i="2"/>
  <c r="G418" i="2"/>
  <c r="G435" i="2"/>
  <c r="G452" i="2"/>
  <c r="G468" i="2"/>
  <c r="G484" i="2"/>
  <c r="G500" i="2"/>
  <c r="G516" i="2"/>
  <c r="G532" i="2"/>
  <c r="G548" i="2"/>
  <c r="G564" i="2"/>
  <c r="G580" i="2"/>
  <c r="G596" i="2"/>
  <c r="G612" i="2"/>
  <c r="G628" i="2"/>
  <c r="G644" i="2"/>
  <c r="G660" i="2"/>
  <c r="G676" i="2"/>
  <c r="G692" i="2"/>
  <c r="G708" i="2"/>
  <c r="G724" i="2"/>
  <c r="G740" i="2"/>
  <c r="G756" i="2"/>
  <c r="G772" i="2"/>
  <c r="G788" i="2"/>
  <c r="G804" i="2"/>
  <c r="G820" i="2"/>
  <c r="G836" i="2"/>
  <c r="G852" i="2"/>
  <c r="G868" i="2"/>
  <c r="G884" i="2"/>
  <c r="G900" i="2"/>
  <c r="G916" i="2"/>
  <c r="G932" i="2"/>
  <c r="G948" i="2"/>
  <c r="G964" i="2"/>
  <c r="G980" i="2"/>
  <c r="G996" i="2"/>
  <c r="G33" i="2"/>
  <c r="G83" i="2"/>
  <c r="G130" i="2"/>
  <c r="G159" i="2"/>
  <c r="G188" i="2"/>
  <c r="G215" i="2"/>
  <c r="G237" i="2"/>
  <c r="G256" i="2"/>
  <c r="G275" i="2"/>
  <c r="G294" i="2"/>
  <c r="G314" i="2"/>
  <c r="G332" i="2"/>
  <c r="G350" i="2"/>
  <c r="G368" i="2"/>
  <c r="G385" i="2"/>
  <c r="G402" i="2"/>
  <c r="G419" i="2"/>
  <c r="G436" i="2"/>
  <c r="G453" i="2"/>
  <c r="G469" i="2"/>
  <c r="G485" i="2"/>
  <c r="G501" i="2"/>
  <c r="G517" i="2"/>
  <c r="G533" i="2"/>
  <c r="G549" i="2"/>
  <c r="G565" i="2"/>
  <c r="G581" i="2"/>
  <c r="G597" i="2"/>
  <c r="G613" i="2"/>
  <c r="G629" i="2"/>
  <c r="G645" i="2"/>
  <c r="G661" i="2"/>
  <c r="G677" i="2"/>
  <c r="G693" i="2"/>
  <c r="G709" i="2"/>
  <c r="G725" i="2"/>
  <c r="G741" i="2"/>
  <c r="G757" i="2"/>
  <c r="G773" i="2"/>
  <c r="G789" i="2"/>
  <c r="G805" i="2"/>
  <c r="G821" i="2"/>
  <c r="G837" i="2"/>
  <c r="G853" i="2"/>
  <c r="G869" i="2"/>
  <c r="G885" i="2"/>
  <c r="G901" i="2"/>
  <c r="G917" i="2"/>
  <c r="G933" i="2"/>
  <c r="G949" i="2"/>
  <c r="G965" i="2"/>
  <c r="G981" i="2"/>
  <c r="G997" i="2"/>
  <c r="G34" i="2"/>
  <c r="G90" i="2"/>
  <c r="G131" i="2"/>
  <c r="G162" i="2"/>
  <c r="G190" i="2"/>
  <c r="G218" i="2"/>
  <c r="G238" i="2"/>
  <c r="G257" i="2"/>
  <c r="G276" i="2"/>
  <c r="G295" i="2"/>
  <c r="G315" i="2"/>
  <c r="G333" i="2"/>
  <c r="G351" i="2"/>
  <c r="G369" i="2"/>
  <c r="G386" i="2"/>
  <c r="G403" i="2"/>
  <c r="G420" i="2"/>
  <c r="G437" i="2"/>
  <c r="G454" i="2"/>
  <c r="G470" i="2"/>
  <c r="G486" i="2"/>
  <c r="G502" i="2"/>
  <c r="G518" i="2"/>
  <c r="G534" i="2"/>
  <c r="G550" i="2"/>
  <c r="G566" i="2"/>
  <c r="G582" i="2"/>
  <c r="G598" i="2"/>
  <c r="G614" i="2"/>
  <c r="G630" i="2"/>
  <c r="G646" i="2"/>
  <c r="G662" i="2"/>
  <c r="G678" i="2"/>
  <c r="G694" i="2"/>
  <c r="G710" i="2"/>
  <c r="G726" i="2"/>
  <c r="G742" i="2"/>
  <c r="G758" i="2"/>
  <c r="G774" i="2"/>
  <c r="G790" i="2"/>
  <c r="G806" i="2"/>
  <c r="G822" i="2"/>
  <c r="G838" i="2"/>
  <c r="G854" i="2"/>
  <c r="G870" i="2"/>
  <c r="G886" i="2"/>
  <c r="G902" i="2"/>
  <c r="G918" i="2"/>
  <c r="G934" i="2"/>
  <c r="G950" i="2"/>
  <c r="G966" i="2"/>
  <c r="G982" i="2"/>
  <c r="G998" i="2"/>
  <c r="G42" i="2"/>
  <c r="G92" i="2"/>
  <c r="G132" i="2"/>
  <c r="G163" i="2"/>
  <c r="G191" i="2"/>
  <c r="G219" i="2"/>
  <c r="G239" i="2"/>
  <c r="G258" i="2"/>
  <c r="G277" i="2"/>
  <c r="G298" i="2"/>
  <c r="G316" i="2"/>
  <c r="G334" i="2"/>
  <c r="G352" i="2"/>
  <c r="G370" i="2"/>
  <c r="G387" i="2"/>
  <c r="G404" i="2"/>
  <c r="G421" i="2"/>
  <c r="G438" i="2"/>
  <c r="G455" i="2"/>
  <c r="G471" i="2"/>
  <c r="G487" i="2"/>
  <c r="G503" i="2"/>
  <c r="G519" i="2"/>
  <c r="G535" i="2"/>
  <c r="G551" i="2"/>
  <c r="G567" i="2"/>
  <c r="G583" i="2"/>
  <c r="G599" i="2"/>
  <c r="G615" i="2"/>
  <c r="G631" i="2"/>
  <c r="G647" i="2"/>
  <c r="G663" i="2"/>
  <c r="G679" i="2"/>
  <c r="G695" i="2"/>
  <c r="G711" i="2"/>
  <c r="G727" i="2"/>
  <c r="G743" i="2"/>
  <c r="G759" i="2"/>
  <c r="G775" i="2"/>
  <c r="G791" i="2"/>
  <c r="G807" i="2"/>
  <c r="G823" i="2"/>
  <c r="G839" i="2"/>
  <c r="G855" i="2"/>
  <c r="G871" i="2"/>
  <c r="G887" i="2"/>
  <c r="G903" i="2"/>
  <c r="G919" i="2"/>
  <c r="G935" i="2"/>
  <c r="G951" i="2"/>
  <c r="G967" i="2"/>
  <c r="G983" i="2"/>
  <c r="G999" i="2"/>
  <c r="G44" i="2"/>
  <c r="G94" i="2"/>
  <c r="G133" i="2"/>
  <c r="G164" i="2"/>
  <c r="G194" i="2"/>
  <c r="G220" i="2"/>
  <c r="G240" i="2"/>
  <c r="G259" i="2"/>
  <c r="G279" i="2"/>
  <c r="G299" i="2"/>
  <c r="G317" i="2"/>
  <c r="G335" i="2"/>
  <c r="G353" i="2"/>
  <c r="G371" i="2"/>
  <c r="G388" i="2"/>
  <c r="G405" i="2"/>
  <c r="G422" i="2"/>
  <c r="G439" i="2"/>
  <c r="G456" i="2"/>
  <c r="G472" i="2"/>
  <c r="G488" i="2"/>
  <c r="G504" i="2"/>
  <c r="G520" i="2"/>
  <c r="G536" i="2"/>
  <c r="G552" i="2"/>
  <c r="G568" i="2"/>
  <c r="G584" i="2"/>
  <c r="G600" i="2"/>
  <c r="G616" i="2"/>
  <c r="G632" i="2"/>
  <c r="G648" i="2"/>
  <c r="G664" i="2"/>
  <c r="G680" i="2"/>
  <c r="G696" i="2"/>
  <c r="G712" i="2"/>
  <c r="G728" i="2"/>
  <c r="G744" i="2"/>
  <c r="G760" i="2"/>
  <c r="G776" i="2"/>
  <c r="G792" i="2"/>
  <c r="G808" i="2"/>
  <c r="G824" i="2"/>
  <c r="G840" i="2"/>
  <c r="G856" i="2"/>
  <c r="G872" i="2"/>
  <c r="G888" i="2"/>
  <c r="G904" i="2"/>
  <c r="G920" i="2"/>
  <c r="G936" i="2"/>
  <c r="G952" i="2"/>
  <c r="G968" i="2"/>
  <c r="G984" i="2"/>
  <c r="G1000" i="2"/>
  <c r="G46" i="2"/>
  <c r="G98" i="2"/>
  <c r="G138" i="2"/>
  <c r="G165" i="2"/>
  <c r="G195" i="2"/>
  <c r="G222" i="2"/>
  <c r="G241" i="2"/>
  <c r="G260" i="2"/>
  <c r="G282" i="2"/>
  <c r="G300" i="2"/>
  <c r="G318" i="2"/>
  <c r="G336" i="2"/>
  <c r="G354" i="2"/>
  <c r="G372" i="2"/>
  <c r="G389" i="2"/>
  <c r="G406" i="2"/>
  <c r="G423" i="2"/>
  <c r="G440" i="2"/>
  <c r="G457" i="2"/>
  <c r="G473" i="2"/>
  <c r="G489" i="2"/>
  <c r="G505" i="2"/>
  <c r="G521" i="2"/>
  <c r="G537" i="2"/>
  <c r="G553" i="2"/>
  <c r="G569" i="2"/>
  <c r="G585" i="2"/>
  <c r="G601" i="2"/>
  <c r="G617" i="2"/>
  <c r="G633" i="2"/>
  <c r="G649" i="2"/>
  <c r="G665" i="2"/>
  <c r="G681" i="2"/>
  <c r="G697" i="2"/>
  <c r="G713" i="2"/>
  <c r="G729" i="2"/>
  <c r="G745" i="2"/>
  <c r="G761" i="2"/>
  <c r="G777" i="2"/>
  <c r="G793" i="2"/>
  <c r="G809" i="2"/>
  <c r="G825" i="2"/>
  <c r="G841" i="2"/>
  <c r="G857" i="2"/>
  <c r="G873" i="2"/>
  <c r="G889" i="2"/>
  <c r="G905" i="2"/>
  <c r="G921" i="2"/>
  <c r="G937" i="2"/>
  <c r="G953" i="2"/>
  <c r="G969" i="2"/>
  <c r="G985" i="2"/>
  <c r="G1001" i="2"/>
  <c r="G50" i="2"/>
  <c r="G99" i="2"/>
  <c r="G140" i="2"/>
  <c r="G167" i="2"/>
  <c r="G196" i="2"/>
  <c r="G223" i="2"/>
  <c r="G242" i="2"/>
  <c r="G261" i="2"/>
  <c r="G283" i="2"/>
  <c r="G301" i="2"/>
  <c r="G319" i="2"/>
  <c r="G337" i="2"/>
  <c r="G355" i="2"/>
  <c r="G373" i="2"/>
  <c r="G390" i="2"/>
  <c r="G407" i="2"/>
  <c r="G424" i="2"/>
  <c r="G442" i="2"/>
  <c r="G458" i="2"/>
  <c r="G474" i="2"/>
  <c r="G490" i="2"/>
  <c r="G506" i="2"/>
  <c r="G522" i="2"/>
  <c r="G538" i="2"/>
  <c r="G554" i="2"/>
  <c r="G570" i="2"/>
  <c r="G586" i="2"/>
  <c r="G602" i="2"/>
  <c r="G618" i="2"/>
  <c r="G634" i="2"/>
  <c r="G650" i="2"/>
  <c r="G666" i="2"/>
  <c r="G682" i="2"/>
  <c r="G698" i="2"/>
  <c r="G714" i="2"/>
  <c r="G730" i="2"/>
  <c r="G746" i="2"/>
  <c r="G762" i="2"/>
  <c r="G778" i="2"/>
  <c r="G794" i="2"/>
  <c r="G810" i="2"/>
  <c r="G826" i="2"/>
  <c r="G842" i="2"/>
  <c r="G858" i="2"/>
  <c r="G874" i="2"/>
  <c r="G890" i="2"/>
  <c r="G906" i="2"/>
  <c r="G922" i="2"/>
  <c r="G938" i="2"/>
  <c r="G954" i="2"/>
  <c r="G970" i="2"/>
  <c r="G986" i="2"/>
  <c r="G1002" i="2"/>
  <c r="G51" i="2"/>
  <c r="G100" i="2"/>
  <c r="G142" i="2"/>
  <c r="G170" i="2"/>
  <c r="G197" i="2"/>
  <c r="G224" i="2"/>
  <c r="G243" i="2"/>
  <c r="G263" i="2"/>
  <c r="G284" i="2"/>
  <c r="G302" i="2"/>
  <c r="G320" i="2"/>
  <c r="G338" i="2"/>
  <c r="G356" i="2"/>
  <c r="G374" i="2"/>
  <c r="G391" i="2"/>
  <c r="G408" i="2"/>
  <c r="G426" i="2"/>
  <c r="G443" i="2"/>
  <c r="G459" i="2"/>
  <c r="G475" i="2"/>
  <c r="G491" i="2"/>
  <c r="G507" i="2"/>
  <c r="G523" i="2"/>
  <c r="G539" i="2"/>
  <c r="G555" i="2"/>
  <c r="G571" i="2"/>
  <c r="G587" i="2"/>
  <c r="G603" i="2"/>
  <c r="G619" i="2"/>
  <c r="G635" i="2"/>
  <c r="G651" i="2"/>
  <c r="G667" i="2"/>
  <c r="G683" i="2"/>
  <c r="G699" i="2"/>
  <c r="G715" i="2"/>
  <c r="G731" i="2"/>
  <c r="G747" i="2"/>
  <c r="G763" i="2"/>
  <c r="G779" i="2"/>
  <c r="G795" i="2"/>
  <c r="G811" i="2"/>
  <c r="G827" i="2"/>
  <c r="G843" i="2"/>
  <c r="G859" i="2"/>
  <c r="G875" i="2"/>
  <c r="G891" i="2"/>
  <c r="G907" i="2"/>
  <c r="G923" i="2"/>
  <c r="G939" i="2"/>
  <c r="G955" i="2"/>
  <c r="G971" i="2"/>
  <c r="G987" i="2"/>
  <c r="G58" i="2"/>
  <c r="G106" i="2"/>
  <c r="G143" i="2"/>
  <c r="G172" i="2"/>
  <c r="G199" i="2"/>
  <c r="G225" i="2"/>
  <c r="G244" i="2"/>
  <c r="G266" i="2"/>
  <c r="G285" i="2"/>
  <c r="G303" i="2"/>
  <c r="G321" i="2"/>
  <c r="G339" i="2"/>
  <c r="G357" i="2"/>
  <c r="G375" i="2"/>
  <c r="G392" i="2"/>
  <c r="G410" i="2"/>
  <c r="G427" i="2"/>
  <c r="G444" i="2"/>
  <c r="G460" i="2"/>
  <c r="G476" i="2"/>
  <c r="G492" i="2"/>
  <c r="G508" i="2"/>
  <c r="G524" i="2"/>
  <c r="G540" i="2"/>
  <c r="G556" i="2"/>
  <c r="G572" i="2"/>
  <c r="G588" i="2"/>
  <c r="G604" i="2"/>
  <c r="G620" i="2"/>
  <c r="G636" i="2"/>
  <c r="G652" i="2"/>
  <c r="G668" i="2"/>
  <c r="G684" i="2"/>
  <c r="G700" i="2"/>
  <c r="G716" i="2"/>
  <c r="G732" i="2"/>
  <c r="G748" i="2"/>
  <c r="G764" i="2"/>
  <c r="G780" i="2"/>
  <c r="G796" i="2"/>
  <c r="G812" i="2"/>
  <c r="G828" i="2"/>
  <c r="G844" i="2"/>
  <c r="G860" i="2"/>
  <c r="G876" i="2"/>
  <c r="G892" i="2"/>
  <c r="G908" i="2"/>
  <c r="G924" i="2"/>
  <c r="G940" i="2"/>
  <c r="G956" i="2"/>
  <c r="G972" i="2"/>
  <c r="G988" i="2"/>
  <c r="G8" i="2"/>
  <c r="G60" i="2"/>
  <c r="G108" i="2"/>
  <c r="G146" i="2"/>
  <c r="G174" i="2"/>
  <c r="G202" i="2"/>
  <c r="G226" i="2"/>
  <c r="G245" i="2"/>
  <c r="G267" i="2"/>
  <c r="G286" i="2"/>
  <c r="G304" i="2"/>
  <c r="G322" i="2"/>
  <c r="G340" i="2"/>
  <c r="G358" i="2"/>
  <c r="G376" i="2"/>
  <c r="G394" i="2"/>
  <c r="G411" i="2"/>
  <c r="G428" i="2"/>
  <c r="G445" i="2"/>
  <c r="G461" i="2"/>
  <c r="G477" i="2"/>
  <c r="G493" i="2"/>
  <c r="G509" i="2"/>
  <c r="G525" i="2"/>
  <c r="G541" i="2"/>
  <c r="G557" i="2"/>
  <c r="G573" i="2"/>
  <c r="G589" i="2"/>
  <c r="G605" i="2"/>
  <c r="G621" i="2"/>
  <c r="G637" i="2"/>
  <c r="G653" i="2"/>
  <c r="G669" i="2"/>
  <c r="G685" i="2"/>
  <c r="G701" i="2"/>
  <c r="G717" i="2"/>
  <c r="G733" i="2"/>
  <c r="G749" i="2"/>
  <c r="G765" i="2"/>
  <c r="G781" i="2"/>
  <c r="G797" i="2"/>
  <c r="G813" i="2"/>
  <c r="G829" i="2"/>
  <c r="G845" i="2"/>
  <c r="G861" i="2"/>
  <c r="G877" i="2"/>
  <c r="G893" i="2"/>
  <c r="G909" i="2"/>
  <c r="G925" i="2"/>
  <c r="G941" i="2"/>
  <c r="G957" i="2"/>
  <c r="G973" i="2"/>
  <c r="G989" i="2"/>
  <c r="G10" i="2"/>
  <c r="G62" i="2"/>
  <c r="G110" i="2"/>
  <c r="G147" i="2"/>
  <c r="G175" i="2"/>
  <c r="G204" i="2"/>
  <c r="G227" i="2"/>
  <c r="G247" i="2"/>
  <c r="G268" i="2"/>
  <c r="G287" i="2"/>
  <c r="G305" i="2"/>
  <c r="G323" i="2"/>
  <c r="G341" i="2"/>
  <c r="G359" i="2"/>
  <c r="G378" i="2"/>
  <c r="G395" i="2"/>
  <c r="G412" i="2"/>
  <c r="G429" i="2"/>
  <c r="G446" i="2"/>
  <c r="G462" i="2"/>
  <c r="G478" i="2"/>
  <c r="G494" i="2"/>
  <c r="G510" i="2"/>
  <c r="G526" i="2"/>
  <c r="G542" i="2"/>
  <c r="G558" i="2"/>
  <c r="G574" i="2"/>
  <c r="G590" i="2"/>
  <c r="G606" i="2"/>
  <c r="G622" i="2"/>
  <c r="G638" i="2"/>
  <c r="G654" i="2"/>
  <c r="G670" i="2"/>
  <c r="G686" i="2"/>
  <c r="G702" i="2"/>
  <c r="G718" i="2"/>
  <c r="G734" i="2"/>
  <c r="G750" i="2"/>
  <c r="G766" i="2"/>
  <c r="G782" i="2"/>
  <c r="G798" i="2"/>
  <c r="G814" i="2"/>
  <c r="G830" i="2"/>
  <c r="G846" i="2"/>
  <c r="G862" i="2"/>
  <c r="G878" i="2"/>
  <c r="G894" i="2"/>
  <c r="G910" i="2"/>
  <c r="G926" i="2"/>
  <c r="G942" i="2"/>
  <c r="G958" i="2"/>
  <c r="G974" i="2"/>
  <c r="G990" i="2"/>
  <c r="G2" i="2"/>
  <c r="O787" i="2"/>
  <c r="O771" i="2"/>
  <c r="O755" i="2"/>
  <c r="O739" i="2"/>
  <c r="O723" i="2"/>
  <c r="O707" i="2"/>
  <c r="O691" i="2"/>
  <c r="O675" i="2"/>
  <c r="O659" i="2"/>
  <c r="O643" i="2"/>
  <c r="O627" i="2"/>
  <c r="O611" i="2"/>
  <c r="O595" i="2"/>
  <c r="O579" i="2"/>
  <c r="O563" i="2"/>
  <c r="O547" i="2"/>
  <c r="O530" i="2"/>
  <c r="O508" i="2"/>
  <c r="O487" i="2"/>
  <c r="O466" i="2"/>
  <c r="O444" i="2"/>
  <c r="O423" i="2"/>
  <c r="O402" i="2"/>
  <c r="O380" i="2"/>
  <c r="O359" i="2"/>
  <c r="O338" i="2"/>
  <c r="O316" i="2"/>
  <c r="O295" i="2"/>
  <c r="O274" i="2"/>
  <c r="O250" i="2"/>
  <c r="O226" i="2"/>
  <c r="O200" i="2"/>
  <c r="O173" i="2"/>
  <c r="O149" i="2"/>
  <c r="O120" i="2"/>
  <c r="O88" i="2"/>
  <c r="O56" i="2"/>
  <c r="O24" i="2"/>
  <c r="H9" i="2"/>
  <c r="H25" i="2"/>
  <c r="H41" i="2"/>
  <c r="H57" i="2"/>
  <c r="H73" i="2"/>
  <c r="H89" i="2"/>
  <c r="H105" i="2"/>
  <c r="H121" i="2"/>
  <c r="H137" i="2"/>
  <c r="H153" i="2"/>
  <c r="H169" i="2"/>
  <c r="H185" i="2"/>
  <c r="H201" i="2"/>
  <c r="H217" i="2"/>
  <c r="H233" i="2"/>
  <c r="H249" i="2"/>
  <c r="H265" i="2"/>
  <c r="H281" i="2"/>
  <c r="H297" i="2"/>
  <c r="H313" i="2"/>
  <c r="H329" i="2"/>
  <c r="H345" i="2"/>
  <c r="H361" i="2"/>
  <c r="H377" i="2"/>
  <c r="H393" i="2"/>
  <c r="H409" i="2"/>
  <c r="H425" i="2"/>
  <c r="H441" i="2"/>
  <c r="H457" i="2"/>
  <c r="H473" i="2"/>
  <c r="H489" i="2"/>
  <c r="H505" i="2"/>
  <c r="H521" i="2"/>
  <c r="H537" i="2"/>
  <c r="H553" i="2"/>
  <c r="H569" i="2"/>
  <c r="H585" i="2"/>
  <c r="H601" i="2"/>
  <c r="H617" i="2"/>
  <c r="H633" i="2"/>
  <c r="H649" i="2"/>
  <c r="H10" i="2"/>
  <c r="H26" i="2"/>
  <c r="H42" i="2"/>
  <c r="H58" i="2"/>
  <c r="H74" i="2"/>
  <c r="H90" i="2"/>
  <c r="H106" i="2"/>
  <c r="H122" i="2"/>
  <c r="H138" i="2"/>
  <c r="H154" i="2"/>
  <c r="H170" i="2"/>
  <c r="H186" i="2"/>
  <c r="H202" i="2"/>
  <c r="H218" i="2"/>
  <c r="H234" i="2"/>
  <c r="H250" i="2"/>
  <c r="H266" i="2"/>
  <c r="H282" i="2"/>
  <c r="H298" i="2"/>
  <c r="H314" i="2"/>
  <c r="H330" i="2"/>
  <c r="H346" i="2"/>
  <c r="H362" i="2"/>
  <c r="H378" i="2"/>
  <c r="H394" i="2"/>
  <c r="H410" i="2"/>
  <c r="H426" i="2"/>
  <c r="H442" i="2"/>
  <c r="H458" i="2"/>
  <c r="H474" i="2"/>
  <c r="H490" i="2"/>
  <c r="H506" i="2"/>
  <c r="H522" i="2"/>
  <c r="H538" i="2"/>
  <c r="H554" i="2"/>
  <c r="H570" i="2"/>
  <c r="H586" i="2"/>
  <c r="H602" i="2"/>
  <c r="H618" i="2"/>
  <c r="H634" i="2"/>
  <c r="H650" i="2"/>
  <c r="H11" i="2"/>
  <c r="H27" i="2"/>
  <c r="H43" i="2"/>
  <c r="H59" i="2"/>
  <c r="H75" i="2"/>
  <c r="H91" i="2"/>
  <c r="H107" i="2"/>
  <c r="H123" i="2"/>
  <c r="H139" i="2"/>
  <c r="H155" i="2"/>
  <c r="H171" i="2"/>
  <c r="H187" i="2"/>
  <c r="H203" i="2"/>
  <c r="H219" i="2"/>
  <c r="H235" i="2"/>
  <c r="H251" i="2"/>
  <c r="H12" i="2"/>
  <c r="H28" i="2"/>
  <c r="H44" i="2"/>
  <c r="H60" i="2"/>
  <c r="H76" i="2"/>
  <c r="H92" i="2"/>
  <c r="H108" i="2"/>
  <c r="H124" i="2"/>
  <c r="H140" i="2"/>
  <c r="H156" i="2"/>
  <c r="H172" i="2"/>
  <c r="H188" i="2"/>
  <c r="H204" i="2"/>
  <c r="H220" i="2"/>
  <c r="H236" i="2"/>
  <c r="H252" i="2"/>
  <c r="H268" i="2"/>
  <c r="H284" i="2"/>
  <c r="H300" i="2"/>
  <c r="H316" i="2"/>
  <c r="H332" i="2"/>
  <c r="H348" i="2"/>
  <c r="H364" i="2"/>
  <c r="H380" i="2"/>
  <c r="H396" i="2"/>
  <c r="H412" i="2"/>
  <c r="H428" i="2"/>
  <c r="H444" i="2"/>
  <c r="H460" i="2"/>
  <c r="H476" i="2"/>
  <c r="H492" i="2"/>
  <c r="H508" i="2"/>
  <c r="H524" i="2"/>
  <c r="H540" i="2"/>
  <c r="H556" i="2"/>
  <c r="H13" i="2"/>
  <c r="H29" i="2"/>
  <c r="H45" i="2"/>
  <c r="H61" i="2"/>
  <c r="H77" i="2"/>
  <c r="H93" i="2"/>
  <c r="H109" i="2"/>
  <c r="H125" i="2"/>
  <c r="H141" i="2"/>
  <c r="H157" i="2"/>
  <c r="H173" i="2"/>
  <c r="H189" i="2"/>
  <c r="H205" i="2"/>
  <c r="H221" i="2"/>
  <c r="H237" i="2"/>
  <c r="H253" i="2"/>
  <c r="H269" i="2"/>
  <c r="H285" i="2"/>
  <c r="H301" i="2"/>
  <c r="H317" i="2"/>
  <c r="H333" i="2"/>
  <c r="H349" i="2"/>
  <c r="H365" i="2"/>
  <c r="H381" i="2"/>
  <c r="H397" i="2"/>
  <c r="H413" i="2"/>
  <c r="H429" i="2"/>
  <c r="H445" i="2"/>
  <c r="H461" i="2"/>
  <c r="H477" i="2"/>
  <c r="H493" i="2"/>
  <c r="H509" i="2"/>
  <c r="H525" i="2"/>
  <c r="H541" i="2"/>
  <c r="H557" i="2"/>
  <c r="H573" i="2"/>
  <c r="H589" i="2"/>
  <c r="H605" i="2"/>
  <c r="H621" i="2"/>
  <c r="H637" i="2"/>
  <c r="H14" i="2"/>
  <c r="H30" i="2"/>
  <c r="H46" i="2"/>
  <c r="H62" i="2"/>
  <c r="H78" i="2"/>
  <c r="H94" i="2"/>
  <c r="H110" i="2"/>
  <c r="H126" i="2"/>
  <c r="H142" i="2"/>
  <c r="H158" i="2"/>
  <c r="H174" i="2"/>
  <c r="H190" i="2"/>
  <c r="H206" i="2"/>
  <c r="H222" i="2"/>
  <c r="H238" i="2"/>
  <c r="H254" i="2"/>
  <c r="H270" i="2"/>
  <c r="H286" i="2"/>
  <c r="H302" i="2"/>
  <c r="H318" i="2"/>
  <c r="H15" i="2"/>
  <c r="H31" i="2"/>
  <c r="H47" i="2"/>
  <c r="H63" i="2"/>
  <c r="H79" i="2"/>
  <c r="H95" i="2"/>
  <c r="H111" i="2"/>
  <c r="H127" i="2"/>
  <c r="H143" i="2"/>
  <c r="H159" i="2"/>
  <c r="H175" i="2"/>
  <c r="H191" i="2"/>
  <c r="H207" i="2"/>
  <c r="H223" i="2"/>
  <c r="H239" i="2"/>
  <c r="H255" i="2"/>
  <c r="H271" i="2"/>
  <c r="H287" i="2"/>
  <c r="H303" i="2"/>
  <c r="H319" i="2"/>
  <c r="H335" i="2"/>
  <c r="H351" i="2"/>
  <c r="H367" i="2"/>
  <c r="H383" i="2"/>
  <c r="H399" i="2"/>
  <c r="H415" i="2"/>
  <c r="H431" i="2"/>
  <c r="H447" i="2"/>
  <c r="H463" i="2"/>
  <c r="H479" i="2"/>
  <c r="H495" i="2"/>
  <c r="H511" i="2"/>
  <c r="H527" i="2"/>
  <c r="H543" i="2"/>
  <c r="H559" i="2"/>
  <c r="H575" i="2"/>
  <c r="H591" i="2"/>
  <c r="H607" i="2"/>
  <c r="H623" i="2"/>
  <c r="H639" i="2"/>
  <c r="H655" i="2"/>
  <c r="H16" i="2"/>
  <c r="H32" i="2"/>
  <c r="H48" i="2"/>
  <c r="H64" i="2"/>
  <c r="H80" i="2"/>
  <c r="H96" i="2"/>
  <c r="H112" i="2"/>
  <c r="H128" i="2"/>
  <c r="H144" i="2"/>
  <c r="H160" i="2"/>
  <c r="H176" i="2"/>
  <c r="H192" i="2"/>
  <c r="H208" i="2"/>
  <c r="H224" i="2"/>
  <c r="H240" i="2"/>
  <c r="H256" i="2"/>
  <c r="H272" i="2"/>
  <c r="H288" i="2"/>
  <c r="H304" i="2"/>
  <c r="H320" i="2"/>
  <c r="H336" i="2"/>
  <c r="H352" i="2"/>
  <c r="H368" i="2"/>
  <c r="H384" i="2"/>
  <c r="H400" i="2"/>
  <c r="H416" i="2"/>
  <c r="H432" i="2"/>
  <c r="H448" i="2"/>
  <c r="H464" i="2"/>
  <c r="H480" i="2"/>
  <c r="H496" i="2"/>
  <c r="H512" i="2"/>
  <c r="H528" i="2"/>
  <c r="H544" i="2"/>
  <c r="H560" i="2"/>
  <c r="H576" i="2"/>
  <c r="H592" i="2"/>
  <c r="H608" i="2"/>
  <c r="H624" i="2"/>
  <c r="H640" i="2"/>
  <c r="H656" i="2"/>
  <c r="H17" i="2"/>
  <c r="H33" i="2"/>
  <c r="H49" i="2"/>
  <c r="H65" i="2"/>
  <c r="H81" i="2"/>
  <c r="H97" i="2"/>
  <c r="H113" i="2"/>
  <c r="H129" i="2"/>
  <c r="H145" i="2"/>
  <c r="H161" i="2"/>
  <c r="H177" i="2"/>
  <c r="H193" i="2"/>
  <c r="H209" i="2"/>
  <c r="H225" i="2"/>
  <c r="H241" i="2"/>
  <c r="H257" i="2"/>
  <c r="H273" i="2"/>
  <c r="H289" i="2"/>
  <c r="H305" i="2"/>
  <c r="H321" i="2"/>
  <c r="H337" i="2"/>
  <c r="H353" i="2"/>
  <c r="H369" i="2"/>
  <c r="H385" i="2"/>
  <c r="H401" i="2"/>
  <c r="H417" i="2"/>
  <c r="H433" i="2"/>
  <c r="H449" i="2"/>
  <c r="H465" i="2"/>
  <c r="H481" i="2"/>
  <c r="H497" i="2"/>
  <c r="H513" i="2"/>
  <c r="H529" i="2"/>
  <c r="H545" i="2"/>
  <c r="H561" i="2"/>
  <c r="H577" i="2"/>
  <c r="H593" i="2"/>
  <c r="H609" i="2"/>
  <c r="H625" i="2"/>
  <c r="H641" i="2"/>
  <c r="H657" i="2"/>
  <c r="H18" i="2"/>
  <c r="H34" i="2"/>
  <c r="H50" i="2"/>
  <c r="H66" i="2"/>
  <c r="H82" i="2"/>
  <c r="H98" i="2"/>
  <c r="H114" i="2"/>
  <c r="H130" i="2"/>
  <c r="H146" i="2"/>
  <c r="H162" i="2"/>
  <c r="H178" i="2"/>
  <c r="H194" i="2"/>
  <c r="H210" i="2"/>
  <c r="H226" i="2"/>
  <c r="H242" i="2"/>
  <c r="H258" i="2"/>
  <c r="H274" i="2"/>
  <c r="H290" i="2"/>
  <c r="H306" i="2"/>
  <c r="H322" i="2"/>
  <c r="H338" i="2"/>
  <c r="H354" i="2"/>
  <c r="H370" i="2"/>
  <c r="H386" i="2"/>
  <c r="H402" i="2"/>
  <c r="H418" i="2"/>
  <c r="H434" i="2"/>
  <c r="H450" i="2"/>
  <c r="H466" i="2"/>
  <c r="H482" i="2"/>
  <c r="H498" i="2"/>
  <c r="H3" i="2"/>
  <c r="H19" i="2"/>
  <c r="H35" i="2"/>
  <c r="H51" i="2"/>
  <c r="H67" i="2"/>
  <c r="H83" i="2"/>
  <c r="H99" i="2"/>
  <c r="H115" i="2"/>
  <c r="H131" i="2"/>
  <c r="H147" i="2"/>
  <c r="H163" i="2"/>
  <c r="H179" i="2"/>
  <c r="H195" i="2"/>
  <c r="H211" i="2"/>
  <c r="H227" i="2"/>
  <c r="H243" i="2"/>
  <c r="H259" i="2"/>
  <c r="H275" i="2"/>
  <c r="H291" i="2"/>
  <c r="H307" i="2"/>
  <c r="H323" i="2"/>
  <c r="H4" i="2"/>
  <c r="H20" i="2"/>
  <c r="H36" i="2"/>
  <c r="H52" i="2"/>
  <c r="H68" i="2"/>
  <c r="H84" i="2"/>
  <c r="H100" i="2"/>
  <c r="H116" i="2"/>
  <c r="H132" i="2"/>
  <c r="H148" i="2"/>
  <c r="H164" i="2"/>
  <c r="H180" i="2"/>
  <c r="H196" i="2"/>
  <c r="H212" i="2"/>
  <c r="H228" i="2"/>
  <c r="H244" i="2"/>
  <c r="H260" i="2"/>
  <c r="H276" i="2"/>
  <c r="H292" i="2"/>
  <c r="H308" i="2"/>
  <c r="H324" i="2"/>
  <c r="H340" i="2"/>
  <c r="H356" i="2"/>
  <c r="H372" i="2"/>
  <c r="H388" i="2"/>
  <c r="H404" i="2"/>
  <c r="H420" i="2"/>
  <c r="H436" i="2"/>
  <c r="H452" i="2"/>
  <c r="H468" i="2"/>
  <c r="H484" i="2"/>
  <c r="H5" i="2"/>
  <c r="H21" i="2"/>
  <c r="H37" i="2"/>
  <c r="H53" i="2"/>
  <c r="H69" i="2"/>
  <c r="H85" i="2"/>
  <c r="H101" i="2"/>
  <c r="H117" i="2"/>
  <c r="H133" i="2"/>
  <c r="H149" i="2"/>
  <c r="H165" i="2"/>
  <c r="H181" i="2"/>
  <c r="H197" i="2"/>
  <c r="H213" i="2"/>
  <c r="H229" i="2"/>
  <c r="H245" i="2"/>
  <c r="H261" i="2"/>
  <c r="H277" i="2"/>
  <c r="H293" i="2"/>
  <c r="H309" i="2"/>
  <c r="H325" i="2"/>
  <c r="H341" i="2"/>
  <c r="H357" i="2"/>
  <c r="H373" i="2"/>
  <c r="H389" i="2"/>
  <c r="H405" i="2"/>
  <c r="H421" i="2"/>
  <c r="H437" i="2"/>
  <c r="H453" i="2"/>
  <c r="H469" i="2"/>
  <c r="H485" i="2"/>
  <c r="H501" i="2"/>
  <c r="H517" i="2"/>
  <c r="H533" i="2"/>
  <c r="H549" i="2"/>
  <c r="H565" i="2"/>
  <c r="H581" i="2"/>
  <c r="H597" i="2"/>
  <c r="H613" i="2"/>
  <c r="H629" i="2"/>
  <c r="H645" i="2"/>
  <c r="H6" i="2"/>
  <c r="H22" i="2"/>
  <c r="H38" i="2"/>
  <c r="H54" i="2"/>
  <c r="H70" i="2"/>
  <c r="H86" i="2"/>
  <c r="H102" i="2"/>
  <c r="H118" i="2"/>
  <c r="H134" i="2"/>
  <c r="H150" i="2"/>
  <c r="H166" i="2"/>
  <c r="H182" i="2"/>
  <c r="H198" i="2"/>
  <c r="H214" i="2"/>
  <c r="H230" i="2"/>
  <c r="H246" i="2"/>
  <c r="H262" i="2"/>
  <c r="H278" i="2"/>
  <c r="H294" i="2"/>
  <c r="H310" i="2"/>
  <c r="H7" i="2"/>
  <c r="H23" i="2"/>
  <c r="H39" i="2"/>
  <c r="H55" i="2"/>
  <c r="H71" i="2"/>
  <c r="H87" i="2"/>
  <c r="H103" i="2"/>
  <c r="H119" i="2"/>
  <c r="H135" i="2"/>
  <c r="H151" i="2"/>
  <c r="H167" i="2"/>
  <c r="H183" i="2"/>
  <c r="H199" i="2"/>
  <c r="H215" i="2"/>
  <c r="H231" i="2"/>
  <c r="H247" i="2"/>
  <c r="H263" i="2"/>
  <c r="H279" i="2"/>
  <c r="H295" i="2"/>
  <c r="H311" i="2"/>
  <c r="H327" i="2"/>
  <c r="H343" i="2"/>
  <c r="H359" i="2"/>
  <c r="H375" i="2"/>
  <c r="H391" i="2"/>
  <c r="H407" i="2"/>
  <c r="H423" i="2"/>
  <c r="H439" i="2"/>
  <c r="H455" i="2"/>
  <c r="H471" i="2"/>
  <c r="H487" i="2"/>
  <c r="H503" i="2"/>
  <c r="H519" i="2"/>
  <c r="H535" i="2"/>
  <c r="H551" i="2"/>
  <c r="H567" i="2"/>
  <c r="H583" i="2"/>
  <c r="H599" i="2"/>
  <c r="H615" i="2"/>
  <c r="H631" i="2"/>
  <c r="H647" i="2"/>
  <c r="H8" i="2"/>
  <c r="H24" i="2"/>
  <c r="H40" i="2"/>
  <c r="H56" i="2"/>
  <c r="H72" i="2"/>
  <c r="H88" i="2"/>
  <c r="H104" i="2"/>
  <c r="H120" i="2"/>
  <c r="H136" i="2"/>
  <c r="H152" i="2"/>
  <c r="H168" i="2"/>
  <c r="H184" i="2"/>
  <c r="H200" i="2"/>
  <c r="H216" i="2"/>
  <c r="H232" i="2"/>
  <c r="H248" i="2"/>
  <c r="H264" i="2"/>
  <c r="H280" i="2"/>
  <c r="H296" i="2"/>
  <c r="H312" i="2"/>
  <c r="H328" i="2"/>
  <c r="H344" i="2"/>
  <c r="H360" i="2"/>
  <c r="H376" i="2"/>
  <c r="H392" i="2"/>
  <c r="H408" i="2"/>
  <c r="H424" i="2"/>
  <c r="H440" i="2"/>
  <c r="H456" i="2"/>
  <c r="H472" i="2"/>
  <c r="H488" i="2"/>
  <c r="H504" i="2"/>
  <c r="H520" i="2"/>
  <c r="H536" i="2"/>
  <c r="H552" i="2"/>
  <c r="H568" i="2"/>
  <c r="H584" i="2"/>
  <c r="H600" i="2"/>
  <c r="H616" i="2"/>
  <c r="H632" i="2"/>
  <c r="H648" i="2"/>
  <c r="H664" i="2"/>
  <c r="H342" i="2"/>
  <c r="H406" i="2"/>
  <c r="H470" i="2"/>
  <c r="H523" i="2"/>
  <c r="H564" i="2"/>
  <c r="H603" i="2"/>
  <c r="H638" i="2"/>
  <c r="H666" i="2"/>
  <c r="H682" i="2"/>
  <c r="H698" i="2"/>
  <c r="H714" i="2"/>
  <c r="H730" i="2"/>
  <c r="H746" i="2"/>
  <c r="H762" i="2"/>
  <c r="H778" i="2"/>
  <c r="H794" i="2"/>
  <c r="H810" i="2"/>
  <c r="H826" i="2"/>
  <c r="H842" i="2"/>
  <c r="H858" i="2"/>
  <c r="H874" i="2"/>
  <c r="H890" i="2"/>
  <c r="H906" i="2"/>
  <c r="H922" i="2"/>
  <c r="H938" i="2"/>
  <c r="H954" i="2"/>
  <c r="H970" i="2"/>
  <c r="H986" i="2"/>
  <c r="H1002" i="2"/>
  <c r="H347" i="2"/>
  <c r="H411" i="2"/>
  <c r="H475" i="2"/>
  <c r="H526" i="2"/>
  <c r="H566" i="2"/>
  <c r="H604" i="2"/>
  <c r="H642" i="2"/>
  <c r="H667" i="2"/>
  <c r="H683" i="2"/>
  <c r="H699" i="2"/>
  <c r="H715" i="2"/>
  <c r="H731" i="2"/>
  <c r="H747" i="2"/>
  <c r="H763" i="2"/>
  <c r="H779" i="2"/>
  <c r="H795" i="2"/>
  <c r="H811" i="2"/>
  <c r="H827" i="2"/>
  <c r="H843" i="2"/>
  <c r="H859" i="2"/>
  <c r="H875" i="2"/>
  <c r="H891" i="2"/>
  <c r="H907" i="2"/>
  <c r="H923" i="2"/>
  <c r="H939" i="2"/>
  <c r="H955" i="2"/>
  <c r="H971" i="2"/>
  <c r="H987" i="2"/>
  <c r="H350" i="2"/>
  <c r="H414" i="2"/>
  <c r="H478" i="2"/>
  <c r="H530" i="2"/>
  <c r="H571" i="2"/>
  <c r="H606" i="2"/>
  <c r="H643" i="2"/>
  <c r="H668" i="2"/>
  <c r="H684" i="2"/>
  <c r="H700" i="2"/>
  <c r="H716" i="2"/>
  <c r="H732" i="2"/>
  <c r="H748" i="2"/>
  <c r="H764" i="2"/>
  <c r="H780" i="2"/>
  <c r="H796" i="2"/>
  <c r="H812" i="2"/>
  <c r="H828" i="2"/>
  <c r="H844" i="2"/>
  <c r="H860" i="2"/>
  <c r="H876" i="2"/>
  <c r="H892" i="2"/>
  <c r="H908" i="2"/>
  <c r="H924" i="2"/>
  <c r="H940" i="2"/>
  <c r="H956" i="2"/>
  <c r="H972" i="2"/>
  <c r="H988" i="2"/>
  <c r="H355" i="2"/>
  <c r="H419" i="2"/>
  <c r="H483" i="2"/>
  <c r="H531" i="2"/>
  <c r="H572" i="2"/>
  <c r="H610" i="2"/>
  <c r="H644" i="2"/>
  <c r="H669" i="2"/>
  <c r="H685" i="2"/>
  <c r="H701" i="2"/>
  <c r="H717" i="2"/>
  <c r="H733" i="2"/>
  <c r="H749" i="2"/>
  <c r="H765" i="2"/>
  <c r="H781" i="2"/>
  <c r="H797" i="2"/>
  <c r="H813" i="2"/>
  <c r="H829" i="2"/>
  <c r="H845" i="2"/>
  <c r="H861" i="2"/>
  <c r="H877" i="2"/>
  <c r="H893" i="2"/>
  <c r="H909" i="2"/>
  <c r="H925" i="2"/>
  <c r="H941" i="2"/>
  <c r="H957" i="2"/>
  <c r="H973" i="2"/>
  <c r="H989" i="2"/>
  <c r="H358" i="2"/>
  <c r="H422" i="2"/>
  <c r="H486" i="2"/>
  <c r="H532" i="2"/>
  <c r="H574" i="2"/>
  <c r="H611" i="2"/>
  <c r="H646" i="2"/>
  <c r="H670" i="2"/>
  <c r="H686" i="2"/>
  <c r="H702" i="2"/>
  <c r="H718" i="2"/>
  <c r="H734" i="2"/>
  <c r="H750" i="2"/>
  <c r="H766" i="2"/>
  <c r="H782" i="2"/>
  <c r="H798" i="2"/>
  <c r="H814" i="2"/>
  <c r="H830" i="2"/>
  <c r="H846" i="2"/>
  <c r="H862" i="2"/>
  <c r="H878" i="2"/>
  <c r="H894" i="2"/>
  <c r="H910" i="2"/>
  <c r="H926" i="2"/>
  <c r="H942" i="2"/>
  <c r="H958" i="2"/>
  <c r="H974" i="2"/>
  <c r="H990" i="2"/>
  <c r="H363" i="2"/>
  <c r="H427" i="2"/>
  <c r="H491" i="2"/>
  <c r="H534" i="2"/>
  <c r="H578" i="2"/>
  <c r="H612" i="2"/>
  <c r="H651" i="2"/>
  <c r="H671" i="2"/>
  <c r="H687" i="2"/>
  <c r="H703" i="2"/>
  <c r="H719" i="2"/>
  <c r="H735" i="2"/>
  <c r="H751" i="2"/>
  <c r="H767" i="2"/>
  <c r="H783" i="2"/>
  <c r="H799" i="2"/>
  <c r="H815" i="2"/>
  <c r="H831" i="2"/>
  <c r="H847" i="2"/>
  <c r="H863" i="2"/>
  <c r="H879" i="2"/>
  <c r="H895" i="2"/>
  <c r="H911" i="2"/>
  <c r="H927" i="2"/>
  <c r="H943" i="2"/>
  <c r="H959" i="2"/>
  <c r="H975" i="2"/>
  <c r="H991" i="2"/>
  <c r="H366" i="2"/>
  <c r="H430" i="2"/>
  <c r="H494" i="2"/>
  <c r="H539" i="2"/>
  <c r="H579" i="2"/>
  <c r="H614" i="2"/>
  <c r="H652" i="2"/>
  <c r="H672" i="2"/>
  <c r="H688" i="2"/>
  <c r="H704" i="2"/>
  <c r="H720" i="2"/>
  <c r="H736" i="2"/>
  <c r="H752" i="2"/>
  <c r="H768" i="2"/>
  <c r="H784" i="2"/>
  <c r="H800" i="2"/>
  <c r="H816" i="2"/>
  <c r="H832" i="2"/>
  <c r="H848" i="2"/>
  <c r="H864" i="2"/>
  <c r="H880" i="2"/>
  <c r="H896" i="2"/>
  <c r="H912" i="2"/>
  <c r="H928" i="2"/>
  <c r="H944" i="2"/>
  <c r="H960" i="2"/>
  <c r="H976" i="2"/>
  <c r="H992" i="2"/>
  <c r="H371" i="2"/>
  <c r="H435" i="2"/>
  <c r="H499" i="2"/>
  <c r="H542" i="2"/>
  <c r="H580" i="2"/>
  <c r="H619" i="2"/>
  <c r="H653" i="2"/>
  <c r="H673" i="2"/>
  <c r="H689" i="2"/>
  <c r="H705" i="2"/>
  <c r="H721" i="2"/>
  <c r="H737" i="2"/>
  <c r="H753" i="2"/>
  <c r="H769" i="2"/>
  <c r="H785" i="2"/>
  <c r="H801" i="2"/>
  <c r="H817" i="2"/>
  <c r="H833" i="2"/>
  <c r="H849" i="2"/>
  <c r="H865" i="2"/>
  <c r="H881" i="2"/>
  <c r="H897" i="2"/>
  <c r="H913" i="2"/>
  <c r="H929" i="2"/>
  <c r="H945" i="2"/>
  <c r="H961" i="2"/>
  <c r="H977" i="2"/>
  <c r="H993" i="2"/>
  <c r="H267" i="2"/>
  <c r="H374" i="2"/>
  <c r="H438" i="2"/>
  <c r="H500" i="2"/>
  <c r="H546" i="2"/>
  <c r="H582" i="2"/>
  <c r="H620" i="2"/>
  <c r="H654" i="2"/>
  <c r="H674" i="2"/>
  <c r="H690" i="2"/>
  <c r="H706" i="2"/>
  <c r="H722" i="2"/>
  <c r="H738" i="2"/>
  <c r="H754" i="2"/>
  <c r="H770" i="2"/>
  <c r="H786" i="2"/>
  <c r="H802" i="2"/>
  <c r="H818" i="2"/>
  <c r="H834" i="2"/>
  <c r="H850" i="2"/>
  <c r="H866" i="2"/>
  <c r="H882" i="2"/>
  <c r="H898" i="2"/>
  <c r="H914" i="2"/>
  <c r="H930" i="2"/>
  <c r="H946" i="2"/>
  <c r="H962" i="2"/>
  <c r="H978" i="2"/>
  <c r="H994" i="2"/>
  <c r="H283" i="2"/>
  <c r="H379" i="2"/>
  <c r="H443" i="2"/>
  <c r="H502" i="2"/>
  <c r="H547" i="2"/>
  <c r="H587" i="2"/>
  <c r="H622" i="2"/>
  <c r="H658" i="2"/>
  <c r="H675" i="2"/>
  <c r="H691" i="2"/>
  <c r="H707" i="2"/>
  <c r="H723" i="2"/>
  <c r="H739" i="2"/>
  <c r="H755" i="2"/>
  <c r="H771" i="2"/>
  <c r="H787" i="2"/>
  <c r="H803" i="2"/>
  <c r="H819" i="2"/>
  <c r="H835" i="2"/>
  <c r="H851" i="2"/>
  <c r="H867" i="2"/>
  <c r="H883" i="2"/>
  <c r="H899" i="2"/>
  <c r="H915" i="2"/>
  <c r="H931" i="2"/>
  <c r="H947" i="2"/>
  <c r="H963" i="2"/>
  <c r="H979" i="2"/>
  <c r="H995" i="2"/>
  <c r="H299" i="2"/>
  <c r="H382" i="2"/>
  <c r="H446" i="2"/>
  <c r="H507" i="2"/>
  <c r="H548" i="2"/>
  <c r="H588" i="2"/>
  <c r="H626" i="2"/>
  <c r="H659" i="2"/>
  <c r="H676" i="2"/>
  <c r="H692" i="2"/>
  <c r="H708" i="2"/>
  <c r="H724" i="2"/>
  <c r="H740" i="2"/>
  <c r="H756" i="2"/>
  <c r="H772" i="2"/>
  <c r="H788" i="2"/>
  <c r="H804" i="2"/>
  <c r="H820" i="2"/>
  <c r="H836" i="2"/>
  <c r="H852" i="2"/>
  <c r="H868" i="2"/>
  <c r="H884" i="2"/>
  <c r="H900" i="2"/>
  <c r="H916" i="2"/>
  <c r="H932" i="2"/>
  <c r="H948" i="2"/>
  <c r="H964" i="2"/>
  <c r="H980" i="2"/>
  <c r="H996" i="2"/>
  <c r="H315" i="2"/>
  <c r="H387" i="2"/>
  <c r="H451" i="2"/>
  <c r="H510" i="2"/>
  <c r="H550" i="2"/>
  <c r="H590" i="2"/>
  <c r="H627" i="2"/>
  <c r="H660" i="2"/>
  <c r="H677" i="2"/>
  <c r="H693" i="2"/>
  <c r="H709" i="2"/>
  <c r="H725" i="2"/>
  <c r="H741" i="2"/>
  <c r="H757" i="2"/>
  <c r="H773" i="2"/>
  <c r="H789" i="2"/>
  <c r="H805" i="2"/>
  <c r="H821" i="2"/>
  <c r="H837" i="2"/>
  <c r="H853" i="2"/>
  <c r="H869" i="2"/>
  <c r="H885" i="2"/>
  <c r="H901" i="2"/>
  <c r="H917" i="2"/>
  <c r="H933" i="2"/>
  <c r="H949" i="2"/>
  <c r="H965" i="2"/>
  <c r="H981" i="2"/>
  <c r="H997" i="2"/>
  <c r="H326" i="2"/>
  <c r="H390" i="2"/>
  <c r="H454" i="2"/>
  <c r="H514" i="2"/>
  <c r="H555" i="2"/>
  <c r="H594" i="2"/>
  <c r="H628" i="2"/>
  <c r="H661" i="2"/>
  <c r="H678" i="2"/>
  <c r="H694" i="2"/>
  <c r="H710" i="2"/>
  <c r="H726" i="2"/>
  <c r="H742" i="2"/>
  <c r="H758" i="2"/>
  <c r="H774" i="2"/>
  <c r="H790" i="2"/>
  <c r="H806" i="2"/>
  <c r="H822" i="2"/>
  <c r="H838" i="2"/>
  <c r="H854" i="2"/>
  <c r="H870" i="2"/>
  <c r="H886" i="2"/>
  <c r="H902" i="2"/>
  <c r="H918" i="2"/>
  <c r="H934" i="2"/>
  <c r="H950" i="2"/>
  <c r="H966" i="2"/>
  <c r="H982" i="2"/>
  <c r="H998" i="2"/>
  <c r="H331" i="2"/>
  <c r="H395" i="2"/>
  <c r="H459" i="2"/>
  <c r="H515" i="2"/>
  <c r="H558" i="2"/>
  <c r="H595" i="2"/>
  <c r="H630" i="2"/>
  <c r="H662" i="2"/>
  <c r="H679" i="2"/>
  <c r="H695" i="2"/>
  <c r="H711" i="2"/>
  <c r="H727" i="2"/>
  <c r="H743" i="2"/>
  <c r="H759" i="2"/>
  <c r="H775" i="2"/>
  <c r="H791" i="2"/>
  <c r="H807" i="2"/>
  <c r="H823" i="2"/>
  <c r="H839" i="2"/>
  <c r="H855" i="2"/>
  <c r="H871" i="2"/>
  <c r="H887" i="2"/>
  <c r="H903" i="2"/>
  <c r="H919" i="2"/>
  <c r="H935" i="2"/>
  <c r="H951" i="2"/>
  <c r="H967" i="2"/>
  <c r="H983" i="2"/>
  <c r="H999" i="2"/>
  <c r="H334" i="2"/>
  <c r="H398" i="2"/>
  <c r="H462" i="2"/>
  <c r="H516" i="2"/>
  <c r="H562" i="2"/>
  <c r="H596" i="2"/>
  <c r="H635" i="2"/>
  <c r="H663" i="2"/>
  <c r="H680" i="2"/>
  <c r="H696" i="2"/>
  <c r="H712" i="2"/>
  <c r="H728" i="2"/>
  <c r="H744" i="2"/>
  <c r="H760" i="2"/>
  <c r="H776" i="2"/>
  <c r="H792" i="2"/>
  <c r="H808" i="2"/>
  <c r="H824" i="2"/>
  <c r="H840" i="2"/>
  <c r="H856" i="2"/>
  <c r="H872" i="2"/>
  <c r="H888" i="2"/>
  <c r="H904" i="2"/>
  <c r="H920" i="2"/>
  <c r="H936" i="2"/>
  <c r="H952" i="2"/>
  <c r="H968" i="2"/>
  <c r="H984" i="2"/>
  <c r="H1000" i="2"/>
  <c r="H339" i="2"/>
  <c r="H403" i="2"/>
  <c r="H467" i="2"/>
  <c r="H518" i="2"/>
  <c r="H563" i="2"/>
  <c r="H598" i="2"/>
  <c r="H636" i="2"/>
  <c r="H665" i="2"/>
  <c r="H681" i="2"/>
  <c r="H697" i="2"/>
  <c r="H713" i="2"/>
  <c r="H729" i="2"/>
  <c r="H745" i="2"/>
  <c r="H761" i="2"/>
  <c r="H777" i="2"/>
  <c r="H793" i="2"/>
  <c r="H809" i="2"/>
  <c r="H825" i="2"/>
  <c r="H841" i="2"/>
  <c r="H857" i="2"/>
  <c r="H873" i="2"/>
  <c r="H889" i="2"/>
  <c r="H905" i="2"/>
  <c r="H921" i="2"/>
  <c r="H937" i="2"/>
  <c r="H953" i="2"/>
  <c r="H969" i="2"/>
  <c r="H985" i="2"/>
  <c r="H1001" i="2"/>
  <c r="H2" i="2"/>
  <c r="O117" i="2"/>
  <c r="O85" i="2"/>
  <c r="O53" i="2"/>
  <c r="O21" i="2"/>
  <c r="I7" i="2"/>
  <c r="I23" i="2"/>
  <c r="I39" i="2"/>
  <c r="I55" i="2"/>
  <c r="I71" i="2"/>
  <c r="I87" i="2"/>
  <c r="I103" i="2"/>
  <c r="I119" i="2"/>
  <c r="I135" i="2"/>
  <c r="I151" i="2"/>
  <c r="I167" i="2"/>
  <c r="I183" i="2"/>
  <c r="I199" i="2"/>
  <c r="I215" i="2"/>
  <c r="I231" i="2"/>
  <c r="I247" i="2"/>
  <c r="I263" i="2"/>
  <c r="I279" i="2"/>
  <c r="I295" i="2"/>
  <c r="I311" i="2"/>
  <c r="I327" i="2"/>
  <c r="I343" i="2"/>
  <c r="I359" i="2"/>
  <c r="I375" i="2"/>
  <c r="I8" i="2"/>
  <c r="I9" i="2"/>
  <c r="I25" i="2"/>
  <c r="I41" i="2"/>
  <c r="I57" i="2"/>
  <c r="I73" i="2"/>
  <c r="I89" i="2"/>
  <c r="I105" i="2"/>
  <c r="I10" i="2"/>
  <c r="I26" i="2"/>
  <c r="I42" i="2"/>
  <c r="I58" i="2"/>
  <c r="I74" i="2"/>
  <c r="I90" i="2"/>
  <c r="I106" i="2"/>
  <c r="I122" i="2"/>
  <c r="I138" i="2"/>
  <c r="I154" i="2"/>
  <c r="I170" i="2"/>
  <c r="I186" i="2"/>
  <c r="I202" i="2"/>
  <c r="I218" i="2"/>
  <c r="I234" i="2"/>
  <c r="I250" i="2"/>
  <c r="I266" i="2"/>
  <c r="I11" i="2"/>
  <c r="I27" i="2"/>
  <c r="I43" i="2"/>
  <c r="I59" i="2"/>
  <c r="I75" i="2"/>
  <c r="I91" i="2"/>
  <c r="I107" i="2"/>
  <c r="I123" i="2"/>
  <c r="I139" i="2"/>
  <c r="I155" i="2"/>
  <c r="I171" i="2"/>
  <c r="I187" i="2"/>
  <c r="I203" i="2"/>
  <c r="I219" i="2"/>
  <c r="I235" i="2"/>
  <c r="I251" i="2"/>
  <c r="I267" i="2"/>
  <c r="I283" i="2"/>
  <c r="I299" i="2"/>
  <c r="I315" i="2"/>
  <c r="I12" i="2"/>
  <c r="I28" i="2"/>
  <c r="I44" i="2"/>
  <c r="I60" i="2"/>
  <c r="I76" i="2"/>
  <c r="I92" i="2"/>
  <c r="I108" i="2"/>
  <c r="I124" i="2"/>
  <c r="I140" i="2"/>
  <c r="I156" i="2"/>
  <c r="I172" i="2"/>
  <c r="I188" i="2"/>
  <c r="I204" i="2"/>
  <c r="I220" i="2"/>
  <c r="I236" i="2"/>
  <c r="I252" i="2"/>
  <c r="I268" i="2"/>
  <c r="I284" i="2"/>
  <c r="I300" i="2"/>
  <c r="I316" i="2"/>
  <c r="I332" i="2"/>
  <c r="I348" i="2"/>
  <c r="I364" i="2"/>
  <c r="I380" i="2"/>
  <c r="I396" i="2"/>
  <c r="I412" i="2"/>
  <c r="I428" i="2"/>
  <c r="I13" i="2"/>
  <c r="I29" i="2"/>
  <c r="I45" i="2"/>
  <c r="I61" i="2"/>
  <c r="I77" i="2"/>
  <c r="I93" i="2"/>
  <c r="I109" i="2"/>
  <c r="I125" i="2"/>
  <c r="I141" i="2"/>
  <c r="I157" i="2"/>
  <c r="I173" i="2"/>
  <c r="I189" i="2"/>
  <c r="I205" i="2"/>
  <c r="I221" i="2"/>
  <c r="I237" i="2"/>
  <c r="I253" i="2"/>
  <c r="I269" i="2"/>
  <c r="I285" i="2"/>
  <c r="I301" i="2"/>
  <c r="I317" i="2"/>
  <c r="I333" i="2"/>
  <c r="I349" i="2"/>
  <c r="I365" i="2"/>
  <c r="I381" i="2"/>
  <c r="I397" i="2"/>
  <c r="I413" i="2"/>
  <c r="I429" i="2"/>
  <c r="I14" i="2"/>
  <c r="I30" i="2"/>
  <c r="I46" i="2"/>
  <c r="I62" i="2"/>
  <c r="I78" i="2"/>
  <c r="I94" i="2"/>
  <c r="I110" i="2"/>
  <c r="I126" i="2"/>
  <c r="I142" i="2"/>
  <c r="I158" i="2"/>
  <c r="I174" i="2"/>
  <c r="I190" i="2"/>
  <c r="I206" i="2"/>
  <c r="I222" i="2"/>
  <c r="I238" i="2"/>
  <c r="I254" i="2"/>
  <c r="I270" i="2"/>
  <c r="I286" i="2"/>
  <c r="I302" i="2"/>
  <c r="I318" i="2"/>
  <c r="I334" i="2"/>
  <c r="I350" i="2"/>
  <c r="I366" i="2"/>
  <c r="I382" i="2"/>
  <c r="I398" i="2"/>
  <c r="I414" i="2"/>
  <c r="I430" i="2"/>
  <c r="I446" i="2"/>
  <c r="I462" i="2"/>
  <c r="I478" i="2"/>
  <c r="I494" i="2"/>
  <c r="I510" i="2"/>
  <c r="I526" i="2"/>
  <c r="I542" i="2"/>
  <c r="I558" i="2"/>
  <c r="I574" i="2"/>
  <c r="I15" i="2"/>
  <c r="I31" i="2"/>
  <c r="I47" i="2"/>
  <c r="I63" i="2"/>
  <c r="I79" i="2"/>
  <c r="I95" i="2"/>
  <c r="I111" i="2"/>
  <c r="I127" i="2"/>
  <c r="I143" i="2"/>
  <c r="I159" i="2"/>
  <c r="I175" i="2"/>
  <c r="I191" i="2"/>
  <c r="I207" i="2"/>
  <c r="I223" i="2"/>
  <c r="I239" i="2"/>
  <c r="I255" i="2"/>
  <c r="I271" i="2"/>
  <c r="I287" i="2"/>
  <c r="I303" i="2"/>
  <c r="I319" i="2"/>
  <c r="I335" i="2"/>
  <c r="I351" i="2"/>
  <c r="I367" i="2"/>
  <c r="I383" i="2"/>
  <c r="I399" i="2"/>
  <c r="I415" i="2"/>
  <c r="I431" i="2"/>
  <c r="I447" i="2"/>
  <c r="I463" i="2"/>
  <c r="I479" i="2"/>
  <c r="I16" i="2"/>
  <c r="I17" i="2"/>
  <c r="I33" i="2"/>
  <c r="I49" i="2"/>
  <c r="I65" i="2"/>
  <c r="I81" i="2"/>
  <c r="I97" i="2"/>
  <c r="I113" i="2"/>
  <c r="I129" i="2"/>
  <c r="I145" i="2"/>
  <c r="I161" i="2"/>
  <c r="I177" i="2"/>
  <c r="I193" i="2"/>
  <c r="I209" i="2"/>
  <c r="I225" i="2"/>
  <c r="I241" i="2"/>
  <c r="I257" i="2"/>
  <c r="I273" i="2"/>
  <c r="I289" i="2"/>
  <c r="I305" i="2"/>
  <c r="I321" i="2"/>
  <c r="I337" i="2"/>
  <c r="I353" i="2"/>
  <c r="I369" i="2"/>
  <c r="I385" i="2"/>
  <c r="I401" i="2"/>
  <c r="I417" i="2"/>
  <c r="I433" i="2"/>
  <c r="I449" i="2"/>
  <c r="I465" i="2"/>
  <c r="I18" i="2"/>
  <c r="I34" i="2"/>
  <c r="I50" i="2"/>
  <c r="I66" i="2"/>
  <c r="I82" i="2"/>
  <c r="I98" i="2"/>
  <c r="I114" i="2"/>
  <c r="I130" i="2"/>
  <c r="I146" i="2"/>
  <c r="I3" i="2"/>
  <c r="I19" i="2"/>
  <c r="I35" i="2"/>
  <c r="I51" i="2"/>
  <c r="I67" i="2"/>
  <c r="I83" i="2"/>
  <c r="I99" i="2"/>
  <c r="I115" i="2"/>
  <c r="I131" i="2"/>
  <c r="I147" i="2"/>
  <c r="I163" i="2"/>
  <c r="I179" i="2"/>
  <c r="I195" i="2"/>
  <c r="I211" i="2"/>
  <c r="I227" i="2"/>
  <c r="I243" i="2"/>
  <c r="I259" i="2"/>
  <c r="I275" i="2"/>
  <c r="I291" i="2"/>
  <c r="I307" i="2"/>
  <c r="I323" i="2"/>
  <c r="I339" i="2"/>
  <c r="I355" i="2"/>
  <c r="I371" i="2"/>
  <c r="I4" i="2"/>
  <c r="I20" i="2"/>
  <c r="I5" i="2"/>
  <c r="I21" i="2"/>
  <c r="I37" i="2"/>
  <c r="I53" i="2"/>
  <c r="I69" i="2"/>
  <c r="I85" i="2"/>
  <c r="I101" i="2"/>
  <c r="I117" i="2"/>
  <c r="I133" i="2"/>
  <c r="I149" i="2"/>
  <c r="I165" i="2"/>
  <c r="I181" i="2"/>
  <c r="I197" i="2"/>
  <c r="I213" i="2"/>
  <c r="I229" i="2"/>
  <c r="I245" i="2"/>
  <c r="I261" i="2"/>
  <c r="I277" i="2"/>
  <c r="I293" i="2"/>
  <c r="I6" i="2"/>
  <c r="I22" i="2"/>
  <c r="I38" i="2"/>
  <c r="I54" i="2"/>
  <c r="I70" i="2"/>
  <c r="I86" i="2"/>
  <c r="I102" i="2"/>
  <c r="I118" i="2"/>
  <c r="I134" i="2"/>
  <c r="I150" i="2"/>
  <c r="I166" i="2"/>
  <c r="I182" i="2"/>
  <c r="I198" i="2"/>
  <c r="I214" i="2"/>
  <c r="I230" i="2"/>
  <c r="I246" i="2"/>
  <c r="I262" i="2"/>
  <c r="I278" i="2"/>
  <c r="I294" i="2"/>
  <c r="I310" i="2"/>
  <c r="I326" i="2"/>
  <c r="I342" i="2"/>
  <c r="I68" i="2"/>
  <c r="I144" i="2"/>
  <c r="I196" i="2"/>
  <c r="I248" i="2"/>
  <c r="I296" i="2"/>
  <c r="I330" i="2"/>
  <c r="I361" i="2"/>
  <c r="I389" i="2"/>
  <c r="I410" i="2"/>
  <c r="I436" i="2"/>
  <c r="I455" i="2"/>
  <c r="I474" i="2"/>
  <c r="I492" i="2"/>
  <c r="I509" i="2"/>
  <c r="I527" i="2"/>
  <c r="I544" i="2"/>
  <c r="I561" i="2"/>
  <c r="I578" i="2"/>
  <c r="I594" i="2"/>
  <c r="I610" i="2"/>
  <c r="I626" i="2"/>
  <c r="I642" i="2"/>
  <c r="I658" i="2"/>
  <c r="I674" i="2"/>
  <c r="I690" i="2"/>
  <c r="I706" i="2"/>
  <c r="I722" i="2"/>
  <c r="I738" i="2"/>
  <c r="I754" i="2"/>
  <c r="I770" i="2"/>
  <c r="I786" i="2"/>
  <c r="I802" i="2"/>
  <c r="I818" i="2"/>
  <c r="I834" i="2"/>
  <c r="I850" i="2"/>
  <c r="I866" i="2"/>
  <c r="I882" i="2"/>
  <c r="I898" i="2"/>
  <c r="I914" i="2"/>
  <c r="I930" i="2"/>
  <c r="I946" i="2"/>
  <c r="I962" i="2"/>
  <c r="I978" i="2"/>
  <c r="I994" i="2"/>
  <c r="I72" i="2"/>
  <c r="I148" i="2"/>
  <c r="I200" i="2"/>
  <c r="I249" i="2"/>
  <c r="I297" i="2"/>
  <c r="I331" i="2"/>
  <c r="I362" i="2"/>
  <c r="I390" i="2"/>
  <c r="I411" i="2"/>
  <c r="I437" i="2"/>
  <c r="I456" i="2"/>
  <c r="I475" i="2"/>
  <c r="I493" i="2"/>
  <c r="I511" i="2"/>
  <c r="I528" i="2"/>
  <c r="I545" i="2"/>
  <c r="I562" i="2"/>
  <c r="I579" i="2"/>
  <c r="I595" i="2"/>
  <c r="I611" i="2"/>
  <c r="I627" i="2"/>
  <c r="I643" i="2"/>
  <c r="I659" i="2"/>
  <c r="I675" i="2"/>
  <c r="I691" i="2"/>
  <c r="I707" i="2"/>
  <c r="I723" i="2"/>
  <c r="I739" i="2"/>
  <c r="I755" i="2"/>
  <c r="I771" i="2"/>
  <c r="I787" i="2"/>
  <c r="I803" i="2"/>
  <c r="I819" i="2"/>
  <c r="I835" i="2"/>
  <c r="I851" i="2"/>
  <c r="I867" i="2"/>
  <c r="I883" i="2"/>
  <c r="I899" i="2"/>
  <c r="I915" i="2"/>
  <c r="I931" i="2"/>
  <c r="I947" i="2"/>
  <c r="I963" i="2"/>
  <c r="I979" i="2"/>
  <c r="I995" i="2"/>
  <c r="I80" i="2"/>
  <c r="I152" i="2"/>
  <c r="I201" i="2"/>
  <c r="I256" i="2"/>
  <c r="I298" i="2"/>
  <c r="I336" i="2"/>
  <c r="I363" i="2"/>
  <c r="I391" i="2"/>
  <c r="I416" i="2"/>
  <c r="I438" i="2"/>
  <c r="I457" i="2"/>
  <c r="I476" i="2"/>
  <c r="I495" i="2"/>
  <c r="I512" i="2"/>
  <c r="I529" i="2"/>
  <c r="I546" i="2"/>
  <c r="I563" i="2"/>
  <c r="I580" i="2"/>
  <c r="I596" i="2"/>
  <c r="I612" i="2"/>
  <c r="I628" i="2"/>
  <c r="I644" i="2"/>
  <c r="I660" i="2"/>
  <c r="I676" i="2"/>
  <c r="I692" i="2"/>
  <c r="I708" i="2"/>
  <c r="I724" i="2"/>
  <c r="I740" i="2"/>
  <c r="I756" i="2"/>
  <c r="I772" i="2"/>
  <c r="I788" i="2"/>
  <c r="I804" i="2"/>
  <c r="I820" i="2"/>
  <c r="I836" i="2"/>
  <c r="I852" i="2"/>
  <c r="I868" i="2"/>
  <c r="I884" i="2"/>
  <c r="I900" i="2"/>
  <c r="I916" i="2"/>
  <c r="I932" i="2"/>
  <c r="I948" i="2"/>
  <c r="I964" i="2"/>
  <c r="I980" i="2"/>
  <c r="I996" i="2"/>
  <c r="I84" i="2"/>
  <c r="I153" i="2"/>
  <c r="I208" i="2"/>
  <c r="I258" i="2"/>
  <c r="I304" i="2"/>
  <c r="I338" i="2"/>
  <c r="I368" i="2"/>
  <c r="I392" i="2"/>
  <c r="I418" i="2"/>
  <c r="I439" i="2"/>
  <c r="I458" i="2"/>
  <c r="I477" i="2"/>
  <c r="I496" i="2"/>
  <c r="I513" i="2"/>
  <c r="I530" i="2"/>
  <c r="I547" i="2"/>
  <c r="I564" i="2"/>
  <c r="I581" i="2"/>
  <c r="I597" i="2"/>
  <c r="I613" i="2"/>
  <c r="I629" i="2"/>
  <c r="I645" i="2"/>
  <c r="I661" i="2"/>
  <c r="I677" i="2"/>
  <c r="I693" i="2"/>
  <c r="I709" i="2"/>
  <c r="I725" i="2"/>
  <c r="I741" i="2"/>
  <c r="I757" i="2"/>
  <c r="I773" i="2"/>
  <c r="I789" i="2"/>
  <c r="I805" i="2"/>
  <c r="I821" i="2"/>
  <c r="I837" i="2"/>
  <c r="I853" i="2"/>
  <c r="I869" i="2"/>
  <c r="I885" i="2"/>
  <c r="I901" i="2"/>
  <c r="I917" i="2"/>
  <c r="I933" i="2"/>
  <c r="I949" i="2"/>
  <c r="I965" i="2"/>
  <c r="I981" i="2"/>
  <c r="I997" i="2"/>
  <c r="I88" i="2"/>
  <c r="I160" i="2"/>
  <c r="I210" i="2"/>
  <c r="I260" i="2"/>
  <c r="I306" i="2"/>
  <c r="I340" i="2"/>
  <c r="I370" i="2"/>
  <c r="I393" i="2"/>
  <c r="I419" i="2"/>
  <c r="I440" i="2"/>
  <c r="I459" i="2"/>
  <c r="I480" i="2"/>
  <c r="I497" i="2"/>
  <c r="I514" i="2"/>
  <c r="I531" i="2"/>
  <c r="I548" i="2"/>
  <c r="I565" i="2"/>
  <c r="I582" i="2"/>
  <c r="I598" i="2"/>
  <c r="I614" i="2"/>
  <c r="I630" i="2"/>
  <c r="I646" i="2"/>
  <c r="I662" i="2"/>
  <c r="I678" i="2"/>
  <c r="I694" i="2"/>
  <c r="I710" i="2"/>
  <c r="I726" i="2"/>
  <c r="I742" i="2"/>
  <c r="I758" i="2"/>
  <c r="I774" i="2"/>
  <c r="I790" i="2"/>
  <c r="I806" i="2"/>
  <c r="I822" i="2"/>
  <c r="I838" i="2"/>
  <c r="I854" i="2"/>
  <c r="I870" i="2"/>
  <c r="I886" i="2"/>
  <c r="I902" i="2"/>
  <c r="I918" i="2"/>
  <c r="I934" i="2"/>
  <c r="I950" i="2"/>
  <c r="I966" i="2"/>
  <c r="I982" i="2"/>
  <c r="I998" i="2"/>
  <c r="I96" i="2"/>
  <c r="I162" i="2"/>
  <c r="I212" i="2"/>
  <c r="I264" i="2"/>
  <c r="I308" i="2"/>
  <c r="I341" i="2"/>
  <c r="I372" i="2"/>
  <c r="I394" i="2"/>
  <c r="I420" i="2"/>
  <c r="I441" i="2"/>
  <c r="I460" i="2"/>
  <c r="I481" i="2"/>
  <c r="I498" i="2"/>
  <c r="I515" i="2"/>
  <c r="I532" i="2"/>
  <c r="I549" i="2"/>
  <c r="I566" i="2"/>
  <c r="I583" i="2"/>
  <c r="I599" i="2"/>
  <c r="I615" i="2"/>
  <c r="I631" i="2"/>
  <c r="I647" i="2"/>
  <c r="I663" i="2"/>
  <c r="I679" i="2"/>
  <c r="I695" i="2"/>
  <c r="I711" i="2"/>
  <c r="I727" i="2"/>
  <c r="I743" i="2"/>
  <c r="I759" i="2"/>
  <c r="I775" i="2"/>
  <c r="I791" i="2"/>
  <c r="I807" i="2"/>
  <c r="I823" i="2"/>
  <c r="I839" i="2"/>
  <c r="I855" i="2"/>
  <c r="I871" i="2"/>
  <c r="I887" i="2"/>
  <c r="I903" i="2"/>
  <c r="I919" i="2"/>
  <c r="I935" i="2"/>
  <c r="I951" i="2"/>
  <c r="I967" i="2"/>
  <c r="I983" i="2"/>
  <c r="I999" i="2"/>
  <c r="I100" i="2"/>
  <c r="I164" i="2"/>
  <c r="I216" i="2"/>
  <c r="I265" i="2"/>
  <c r="I309" i="2"/>
  <c r="I344" i="2"/>
  <c r="I373" i="2"/>
  <c r="I395" i="2"/>
  <c r="I421" i="2"/>
  <c r="I442" i="2"/>
  <c r="I461" i="2"/>
  <c r="I482" i="2"/>
  <c r="I499" i="2"/>
  <c r="I516" i="2"/>
  <c r="I533" i="2"/>
  <c r="I550" i="2"/>
  <c r="I567" i="2"/>
  <c r="I584" i="2"/>
  <c r="I600" i="2"/>
  <c r="I616" i="2"/>
  <c r="I632" i="2"/>
  <c r="I648" i="2"/>
  <c r="I664" i="2"/>
  <c r="I680" i="2"/>
  <c r="I696" i="2"/>
  <c r="I712" i="2"/>
  <c r="I728" i="2"/>
  <c r="I744" i="2"/>
  <c r="I760" i="2"/>
  <c r="I776" i="2"/>
  <c r="I792" i="2"/>
  <c r="I808" i="2"/>
  <c r="I824" i="2"/>
  <c r="I840" i="2"/>
  <c r="I856" i="2"/>
  <c r="I872" i="2"/>
  <c r="I888" i="2"/>
  <c r="I904" i="2"/>
  <c r="I920" i="2"/>
  <c r="I936" i="2"/>
  <c r="I952" i="2"/>
  <c r="I968" i="2"/>
  <c r="I984" i="2"/>
  <c r="I1000" i="2"/>
  <c r="I104" i="2"/>
  <c r="I168" i="2"/>
  <c r="I217" i="2"/>
  <c r="I272" i="2"/>
  <c r="I312" i="2"/>
  <c r="I345" i="2"/>
  <c r="I374" i="2"/>
  <c r="I400" i="2"/>
  <c r="I422" i="2"/>
  <c r="I443" i="2"/>
  <c r="I464" i="2"/>
  <c r="I483" i="2"/>
  <c r="I500" i="2"/>
  <c r="I517" i="2"/>
  <c r="I534" i="2"/>
  <c r="I551" i="2"/>
  <c r="I568" i="2"/>
  <c r="I585" i="2"/>
  <c r="I601" i="2"/>
  <c r="I617" i="2"/>
  <c r="I633" i="2"/>
  <c r="I649" i="2"/>
  <c r="I665" i="2"/>
  <c r="I681" i="2"/>
  <c r="I697" i="2"/>
  <c r="I713" i="2"/>
  <c r="I729" i="2"/>
  <c r="I745" i="2"/>
  <c r="I761" i="2"/>
  <c r="I777" i="2"/>
  <c r="I793" i="2"/>
  <c r="I809" i="2"/>
  <c r="I825" i="2"/>
  <c r="I841" i="2"/>
  <c r="I857" i="2"/>
  <c r="I873" i="2"/>
  <c r="I889" i="2"/>
  <c r="I905" i="2"/>
  <c r="I921" i="2"/>
  <c r="I937" i="2"/>
  <c r="I953" i="2"/>
  <c r="I969" i="2"/>
  <c r="I985" i="2"/>
  <c r="I1001" i="2"/>
  <c r="I24" i="2"/>
  <c r="I112" i="2"/>
  <c r="I169" i="2"/>
  <c r="I224" i="2"/>
  <c r="I274" i="2"/>
  <c r="I313" i="2"/>
  <c r="I346" i="2"/>
  <c r="I376" i="2"/>
  <c r="I402" i="2"/>
  <c r="I423" i="2"/>
  <c r="I444" i="2"/>
  <c r="I466" i="2"/>
  <c r="I484" i="2"/>
  <c r="I501" i="2"/>
  <c r="I518" i="2"/>
  <c r="I535" i="2"/>
  <c r="I552" i="2"/>
  <c r="I569" i="2"/>
  <c r="I586" i="2"/>
  <c r="I602" i="2"/>
  <c r="I618" i="2"/>
  <c r="I634" i="2"/>
  <c r="I650" i="2"/>
  <c r="I666" i="2"/>
  <c r="I682" i="2"/>
  <c r="I698" i="2"/>
  <c r="I714" i="2"/>
  <c r="I730" i="2"/>
  <c r="I746" i="2"/>
  <c r="I762" i="2"/>
  <c r="I778" i="2"/>
  <c r="I794" i="2"/>
  <c r="I810" i="2"/>
  <c r="I826" i="2"/>
  <c r="I842" i="2"/>
  <c r="I858" i="2"/>
  <c r="I874" i="2"/>
  <c r="I890" i="2"/>
  <c r="I906" i="2"/>
  <c r="I922" i="2"/>
  <c r="I938" i="2"/>
  <c r="I954" i="2"/>
  <c r="I970" i="2"/>
  <c r="I986" i="2"/>
  <c r="I1002" i="2"/>
  <c r="I32" i="2"/>
  <c r="I116" i="2"/>
  <c r="I176" i="2"/>
  <c r="I226" i="2"/>
  <c r="I276" i="2"/>
  <c r="I314" i="2"/>
  <c r="I347" i="2"/>
  <c r="I377" i="2"/>
  <c r="I403" i="2"/>
  <c r="I424" i="2"/>
  <c r="I445" i="2"/>
  <c r="I467" i="2"/>
  <c r="I485" i="2"/>
  <c r="I502" i="2"/>
  <c r="I519" i="2"/>
  <c r="I536" i="2"/>
  <c r="I553" i="2"/>
  <c r="I570" i="2"/>
  <c r="I587" i="2"/>
  <c r="I603" i="2"/>
  <c r="I619" i="2"/>
  <c r="I635" i="2"/>
  <c r="I651" i="2"/>
  <c r="I667" i="2"/>
  <c r="I683" i="2"/>
  <c r="I699" i="2"/>
  <c r="I715" i="2"/>
  <c r="I731" i="2"/>
  <c r="I747" i="2"/>
  <c r="I763" i="2"/>
  <c r="I779" i="2"/>
  <c r="I795" i="2"/>
  <c r="I811" i="2"/>
  <c r="I827" i="2"/>
  <c r="I843" i="2"/>
  <c r="I859" i="2"/>
  <c r="I875" i="2"/>
  <c r="I891" i="2"/>
  <c r="I907" i="2"/>
  <c r="I923" i="2"/>
  <c r="I939" i="2"/>
  <c r="I955" i="2"/>
  <c r="I971" i="2"/>
  <c r="I987" i="2"/>
  <c r="I2" i="2"/>
  <c r="I36" i="2"/>
  <c r="I120" i="2"/>
  <c r="I178" i="2"/>
  <c r="I228" i="2"/>
  <c r="I280" i="2"/>
  <c r="I320" i="2"/>
  <c r="I352" i="2"/>
  <c r="I378" i="2"/>
  <c r="I404" i="2"/>
  <c r="I425" i="2"/>
  <c r="I448" i="2"/>
  <c r="I468" i="2"/>
  <c r="I486" i="2"/>
  <c r="I503" i="2"/>
  <c r="I520" i="2"/>
  <c r="I537" i="2"/>
  <c r="I554" i="2"/>
  <c r="I571" i="2"/>
  <c r="I588" i="2"/>
  <c r="I604" i="2"/>
  <c r="I620" i="2"/>
  <c r="I636" i="2"/>
  <c r="I652" i="2"/>
  <c r="I668" i="2"/>
  <c r="I684" i="2"/>
  <c r="I700" i="2"/>
  <c r="I716" i="2"/>
  <c r="I732" i="2"/>
  <c r="I748" i="2"/>
  <c r="I764" i="2"/>
  <c r="I780" i="2"/>
  <c r="I796" i="2"/>
  <c r="I812" i="2"/>
  <c r="I828" i="2"/>
  <c r="I844" i="2"/>
  <c r="I860" i="2"/>
  <c r="I876" i="2"/>
  <c r="I892" i="2"/>
  <c r="I908" i="2"/>
  <c r="I924" i="2"/>
  <c r="I940" i="2"/>
  <c r="I956" i="2"/>
  <c r="I972" i="2"/>
  <c r="I988" i="2"/>
  <c r="I40" i="2"/>
  <c r="I121" i="2"/>
  <c r="I180" i="2"/>
  <c r="I232" i="2"/>
  <c r="I281" i="2"/>
  <c r="I322" i="2"/>
  <c r="I354" i="2"/>
  <c r="I379" i="2"/>
  <c r="I405" i="2"/>
  <c r="I426" i="2"/>
  <c r="I450" i="2"/>
  <c r="I469" i="2"/>
  <c r="I487" i="2"/>
  <c r="I504" i="2"/>
  <c r="I521" i="2"/>
  <c r="I538" i="2"/>
  <c r="I555" i="2"/>
  <c r="I572" i="2"/>
  <c r="I589" i="2"/>
  <c r="I605" i="2"/>
  <c r="I621" i="2"/>
  <c r="I637" i="2"/>
  <c r="I653" i="2"/>
  <c r="I669" i="2"/>
  <c r="I685" i="2"/>
  <c r="I701" i="2"/>
  <c r="I717" i="2"/>
  <c r="I733" i="2"/>
  <c r="I749" i="2"/>
  <c r="I765" i="2"/>
  <c r="I781" i="2"/>
  <c r="I797" i="2"/>
  <c r="I813" i="2"/>
  <c r="I829" i="2"/>
  <c r="I845" i="2"/>
  <c r="I861" i="2"/>
  <c r="I877" i="2"/>
  <c r="I893" i="2"/>
  <c r="I909" i="2"/>
  <c r="I925" i="2"/>
  <c r="I941" i="2"/>
  <c r="I957" i="2"/>
  <c r="I973" i="2"/>
  <c r="I989" i="2"/>
  <c r="I48" i="2"/>
  <c r="I128" i="2"/>
  <c r="I184" i="2"/>
  <c r="I233" i="2"/>
  <c r="I282" i="2"/>
  <c r="I324" i="2"/>
  <c r="I356" i="2"/>
  <c r="I384" i="2"/>
  <c r="I406" i="2"/>
  <c r="I427" i="2"/>
  <c r="I451" i="2"/>
  <c r="I470" i="2"/>
  <c r="I488" i="2"/>
  <c r="I505" i="2"/>
  <c r="I522" i="2"/>
  <c r="I539" i="2"/>
  <c r="I556" i="2"/>
  <c r="I573" i="2"/>
  <c r="I590" i="2"/>
  <c r="I606" i="2"/>
  <c r="I622" i="2"/>
  <c r="I638" i="2"/>
  <c r="I654" i="2"/>
  <c r="I670" i="2"/>
  <c r="I686" i="2"/>
  <c r="I702" i="2"/>
  <c r="I718" i="2"/>
  <c r="I734" i="2"/>
  <c r="I750" i="2"/>
  <c r="I766" i="2"/>
  <c r="I782" i="2"/>
  <c r="I798" i="2"/>
  <c r="I814" i="2"/>
  <c r="I830" i="2"/>
  <c r="I846" i="2"/>
  <c r="I862" i="2"/>
  <c r="I878" i="2"/>
  <c r="I894" i="2"/>
  <c r="I910" i="2"/>
  <c r="I926" i="2"/>
  <c r="I942" i="2"/>
  <c r="I958" i="2"/>
  <c r="I974" i="2"/>
  <c r="I990" i="2"/>
  <c r="I52" i="2"/>
  <c r="I132" i="2"/>
  <c r="I185" i="2"/>
  <c r="I240" i="2"/>
  <c r="I288" i="2"/>
  <c r="I325" i="2"/>
  <c r="I357" i="2"/>
  <c r="I386" i="2"/>
  <c r="I407" i="2"/>
  <c r="I432" i="2"/>
  <c r="I452" i="2"/>
  <c r="I471" i="2"/>
  <c r="I489" i="2"/>
  <c r="I506" i="2"/>
  <c r="I523" i="2"/>
  <c r="I540" i="2"/>
  <c r="I557" i="2"/>
  <c r="I575" i="2"/>
  <c r="I591" i="2"/>
  <c r="I607" i="2"/>
  <c r="I623" i="2"/>
  <c r="I639" i="2"/>
  <c r="I655" i="2"/>
  <c r="I671" i="2"/>
  <c r="I687" i="2"/>
  <c r="I703" i="2"/>
  <c r="I719" i="2"/>
  <c r="I735" i="2"/>
  <c r="I751" i="2"/>
  <c r="I767" i="2"/>
  <c r="I783" i="2"/>
  <c r="I799" i="2"/>
  <c r="I815" i="2"/>
  <c r="I831" i="2"/>
  <c r="I847" i="2"/>
  <c r="I863" i="2"/>
  <c r="I879" i="2"/>
  <c r="I895" i="2"/>
  <c r="I911" i="2"/>
  <c r="I927" i="2"/>
  <c r="I943" i="2"/>
  <c r="I959" i="2"/>
  <c r="I975" i="2"/>
  <c r="I991" i="2"/>
  <c r="I56" i="2"/>
  <c r="I136" i="2"/>
  <c r="I192" i="2"/>
  <c r="I242" i="2"/>
  <c r="I290" i="2"/>
  <c r="I328" i="2"/>
  <c r="I358" i="2"/>
  <c r="I387" i="2"/>
  <c r="I408" i="2"/>
  <c r="I434" i="2"/>
  <c r="I453" i="2"/>
  <c r="I472" i="2"/>
  <c r="I490" i="2"/>
  <c r="I507" i="2"/>
  <c r="I524" i="2"/>
  <c r="I541" i="2"/>
  <c r="I559" i="2"/>
  <c r="I576" i="2"/>
  <c r="I592" i="2"/>
  <c r="I608" i="2"/>
  <c r="I624" i="2"/>
  <c r="I640" i="2"/>
  <c r="I656" i="2"/>
  <c r="I672" i="2"/>
  <c r="I688" i="2"/>
  <c r="I704" i="2"/>
  <c r="I720" i="2"/>
  <c r="I736" i="2"/>
  <c r="I752" i="2"/>
  <c r="I768" i="2"/>
  <c r="I784" i="2"/>
  <c r="I800" i="2"/>
  <c r="I816" i="2"/>
  <c r="I832" i="2"/>
  <c r="I848" i="2"/>
  <c r="I864" i="2"/>
  <c r="I880" i="2"/>
  <c r="I896" i="2"/>
  <c r="I912" i="2"/>
  <c r="I928" i="2"/>
  <c r="I944" i="2"/>
  <c r="I960" i="2"/>
  <c r="I976" i="2"/>
  <c r="I992" i="2"/>
  <c r="I64" i="2"/>
  <c r="I137" i="2"/>
  <c r="I194" i="2"/>
  <c r="I244" i="2"/>
  <c r="I292" i="2"/>
  <c r="I329" i="2"/>
  <c r="I360" i="2"/>
  <c r="I388" i="2"/>
  <c r="I409" i="2"/>
  <c r="I435" i="2"/>
  <c r="I454" i="2"/>
  <c r="I473" i="2"/>
  <c r="I491" i="2"/>
  <c r="I508" i="2"/>
  <c r="I525" i="2"/>
  <c r="I543" i="2"/>
  <c r="I560" i="2"/>
  <c r="I577" i="2"/>
  <c r="I593" i="2"/>
  <c r="I609" i="2"/>
  <c r="I625" i="2"/>
  <c r="I641" i="2"/>
  <c r="I657" i="2"/>
  <c r="I673" i="2"/>
  <c r="I689" i="2"/>
  <c r="I705" i="2"/>
  <c r="I721" i="2"/>
  <c r="I737" i="2"/>
  <c r="I753" i="2"/>
  <c r="I769" i="2"/>
  <c r="I785" i="2"/>
  <c r="I801" i="2"/>
  <c r="I817" i="2"/>
  <c r="I833" i="2"/>
  <c r="I849" i="2"/>
  <c r="I865" i="2"/>
  <c r="I881" i="2"/>
  <c r="I897" i="2"/>
  <c r="I913" i="2"/>
  <c r="I929" i="2"/>
  <c r="I945" i="2"/>
  <c r="I961" i="2"/>
  <c r="I977" i="2"/>
  <c r="I993" i="2"/>
  <c r="O990" i="2"/>
  <c r="O974" i="2"/>
  <c r="O958" i="2"/>
  <c r="O942" i="2"/>
  <c r="O926" i="2"/>
  <c r="O910" i="2"/>
  <c r="O894" i="2"/>
  <c r="O878" i="2"/>
  <c r="O862" i="2"/>
  <c r="O846" i="2"/>
  <c r="O830" i="2"/>
  <c r="O814" i="2"/>
  <c r="O798" i="2"/>
  <c r="O782" i="2"/>
  <c r="O766" i="2"/>
  <c r="O750" i="2"/>
  <c r="O734" i="2"/>
  <c r="O718" i="2"/>
  <c r="O702" i="2"/>
  <c r="O686" i="2"/>
  <c r="O670" i="2"/>
  <c r="O654" i="2"/>
  <c r="O638" i="2"/>
  <c r="O622" i="2"/>
  <c r="O606" i="2"/>
  <c r="O590" i="2"/>
  <c r="O574" i="2"/>
  <c r="O558" i="2"/>
  <c r="O542" i="2"/>
  <c r="O522" i="2"/>
  <c r="O502" i="2"/>
  <c r="O479" i="2"/>
  <c r="O458" i="2"/>
  <c r="O438" i="2"/>
  <c r="O415" i="2"/>
  <c r="O394" i="2"/>
  <c r="O374" i="2"/>
  <c r="O351" i="2"/>
  <c r="O330" i="2"/>
  <c r="O310" i="2"/>
  <c r="O287" i="2"/>
  <c r="O266" i="2"/>
  <c r="O244" i="2"/>
  <c r="O217" i="2"/>
  <c r="O191" i="2"/>
  <c r="O167" i="2"/>
  <c r="O140" i="2"/>
  <c r="O109" i="2"/>
  <c r="O77" i="2"/>
  <c r="O45" i="2"/>
  <c r="O13" i="2"/>
  <c r="O76" i="2"/>
  <c r="O44" i="2"/>
  <c r="O12" i="2"/>
  <c r="D362" i="2"/>
  <c r="D342" i="2"/>
  <c r="D322" i="2"/>
  <c r="D302" i="2"/>
  <c r="D283" i="2"/>
  <c r="D263" i="2"/>
  <c r="D244" i="2"/>
  <c r="D224" i="2"/>
  <c r="D204" i="2"/>
  <c r="D185" i="2"/>
  <c r="D165" i="2"/>
  <c r="D145" i="2"/>
  <c r="D125" i="2"/>
  <c r="D106" i="2"/>
  <c r="D86" i="2"/>
  <c r="D66" i="2"/>
  <c r="D46" i="2"/>
  <c r="D27" i="2"/>
  <c r="D7" i="2"/>
  <c r="D498" i="2"/>
  <c r="D478" i="2"/>
  <c r="D459" i="2"/>
  <c r="D439" i="2"/>
  <c r="D420" i="2"/>
  <c r="D400" i="2"/>
  <c r="D380" i="2"/>
  <c r="D361" i="2"/>
  <c r="D341" i="2"/>
  <c r="D321" i="2"/>
  <c r="D301" i="2"/>
  <c r="D282" i="2"/>
  <c r="D262" i="2"/>
  <c r="D242" i="2"/>
  <c r="D222" i="2"/>
  <c r="D203" i="2"/>
  <c r="D183" i="2"/>
  <c r="D164" i="2"/>
  <c r="D144" i="2"/>
  <c r="D124" i="2"/>
  <c r="D105" i="2"/>
  <c r="D85" i="2"/>
  <c r="D65" i="2"/>
  <c r="D45" i="2"/>
  <c r="D26" i="2"/>
  <c r="D6" i="2"/>
  <c r="D261" i="2"/>
  <c r="D241" i="2"/>
  <c r="D221" i="2"/>
  <c r="D202" i="2"/>
  <c r="D182" i="2"/>
  <c r="D162" i="2"/>
  <c r="D142" i="2"/>
  <c r="D123" i="2"/>
  <c r="D103" i="2"/>
  <c r="D84" i="2"/>
  <c r="D64" i="2"/>
  <c r="D44" i="2"/>
  <c r="D25" i="2"/>
  <c r="D5" i="2"/>
  <c r="D988" i="2"/>
  <c r="D969" i="2"/>
  <c r="D949" i="2"/>
  <c r="D929" i="2"/>
  <c r="D909" i="2"/>
  <c r="D890" i="2"/>
  <c r="D870" i="2"/>
  <c r="D850" i="2"/>
  <c r="D830" i="2"/>
  <c r="D811" i="2"/>
  <c r="D791" i="2"/>
  <c r="D772" i="2"/>
  <c r="D752" i="2"/>
  <c r="D732" i="2"/>
  <c r="D713" i="2"/>
  <c r="D693" i="2"/>
  <c r="D673" i="2"/>
  <c r="D653" i="2"/>
  <c r="D634" i="2"/>
  <c r="D614" i="2"/>
  <c r="D594" i="2"/>
  <c r="D574" i="2"/>
  <c r="D555" i="2"/>
  <c r="D535" i="2"/>
  <c r="D516" i="2"/>
  <c r="D496" i="2"/>
  <c r="D476" i="2"/>
  <c r="D457" i="2"/>
  <c r="D437" i="2"/>
  <c r="D417" i="2"/>
  <c r="D397" i="2"/>
  <c r="D378" i="2"/>
  <c r="D358" i="2"/>
  <c r="D338" i="2"/>
  <c r="D318" i="2"/>
  <c r="D299" i="2"/>
  <c r="D279" i="2"/>
  <c r="D260" i="2"/>
  <c r="D240" i="2"/>
  <c r="D220" i="2"/>
  <c r="D201" i="2"/>
  <c r="D181" i="2"/>
  <c r="D161" i="2"/>
  <c r="D141" i="2"/>
  <c r="D122" i="2"/>
  <c r="D102" i="2"/>
  <c r="D82" i="2"/>
  <c r="D62" i="2"/>
  <c r="D43" i="2"/>
  <c r="D23" i="2"/>
  <c r="D4" i="2"/>
  <c r="D22" i="2"/>
  <c r="D985" i="2"/>
  <c r="D965" i="2"/>
  <c r="D945" i="2"/>
  <c r="D925" i="2"/>
  <c r="D906" i="2"/>
  <c r="D886" i="2"/>
  <c r="D866" i="2"/>
  <c r="D846" i="2"/>
  <c r="D827" i="2"/>
  <c r="D807" i="2"/>
  <c r="D788" i="2"/>
  <c r="D768" i="2"/>
  <c r="D748" i="2"/>
  <c r="D729" i="2"/>
  <c r="D709" i="2"/>
  <c r="D689" i="2"/>
  <c r="D669" i="2"/>
  <c r="D650" i="2"/>
  <c r="D630" i="2"/>
  <c r="D610" i="2"/>
  <c r="D590" i="2"/>
  <c r="D571" i="2"/>
  <c r="D551" i="2"/>
  <c r="D532" i="2"/>
  <c r="D512" i="2"/>
  <c r="D492" i="2"/>
  <c r="D473" i="2"/>
  <c r="D453" i="2"/>
  <c r="D433" i="2"/>
  <c r="D413" i="2"/>
  <c r="D394" i="2"/>
  <c r="D374" i="2"/>
  <c r="D354" i="2"/>
  <c r="D334" i="2"/>
  <c r="D315" i="2"/>
  <c r="D295" i="2"/>
  <c r="D276" i="2"/>
  <c r="D256" i="2"/>
  <c r="D236" i="2"/>
  <c r="D217" i="2"/>
  <c r="D197" i="2"/>
  <c r="D177" i="2"/>
  <c r="D157" i="2"/>
  <c r="D138" i="2"/>
  <c r="D118" i="2"/>
  <c r="D98" i="2"/>
  <c r="D78" i="2"/>
  <c r="D59" i="2"/>
  <c r="D39" i="2"/>
  <c r="D20" i="2"/>
  <c r="D2" i="2"/>
  <c r="D983" i="2"/>
  <c r="D964" i="2"/>
  <c r="D944" i="2"/>
  <c r="D924" i="2"/>
  <c r="D905" i="2"/>
  <c r="D885" i="2"/>
  <c r="D865" i="2"/>
  <c r="D845" i="2"/>
  <c r="D826" i="2"/>
  <c r="D806" i="2"/>
  <c r="D786" i="2"/>
  <c r="D766" i="2"/>
  <c r="D747" i="2"/>
  <c r="D727" i="2"/>
  <c r="D708" i="2"/>
  <c r="D688" i="2"/>
  <c r="D668" i="2"/>
  <c r="D649" i="2"/>
  <c r="D629" i="2"/>
  <c r="D609" i="2"/>
  <c r="D589" i="2"/>
  <c r="D570" i="2"/>
  <c r="D550" i="2"/>
  <c r="D530" i="2"/>
  <c r="D510" i="2"/>
  <c r="D491" i="2"/>
  <c r="D471" i="2"/>
  <c r="D452" i="2"/>
  <c r="D432" i="2"/>
  <c r="D412" i="2"/>
  <c r="D393" i="2"/>
  <c r="D373" i="2"/>
  <c r="D353" i="2"/>
  <c r="D333" i="2"/>
  <c r="D314" i="2"/>
  <c r="D294" i="2"/>
  <c r="D274" i="2"/>
  <c r="D254" i="2"/>
  <c r="D235" i="2"/>
  <c r="D215" i="2"/>
  <c r="D196" i="2"/>
  <c r="D176" i="2"/>
  <c r="D156" i="2"/>
  <c r="D137" i="2"/>
  <c r="D117" i="2"/>
  <c r="D97" i="2"/>
  <c r="D77" i="2"/>
  <c r="D58" i="2"/>
  <c r="D38" i="2"/>
  <c r="D18" i="2"/>
  <c r="D1002" i="2"/>
  <c r="D982" i="2"/>
  <c r="D962" i="2"/>
  <c r="D942" i="2"/>
  <c r="D923" i="2"/>
  <c r="D903" i="2"/>
  <c r="D884" i="2"/>
  <c r="D864" i="2"/>
  <c r="D844" i="2"/>
  <c r="D825" i="2"/>
  <c r="D805" i="2"/>
  <c r="D785" i="2"/>
  <c r="D765" i="2"/>
  <c r="D746" i="2"/>
  <c r="D726" i="2"/>
  <c r="D706" i="2"/>
  <c r="D686" i="2"/>
  <c r="D667" i="2"/>
  <c r="D647" i="2"/>
  <c r="D628" i="2"/>
  <c r="D608" i="2"/>
  <c r="D588" i="2"/>
  <c r="D569" i="2"/>
  <c r="D549" i="2"/>
  <c r="D529" i="2"/>
  <c r="D509" i="2"/>
  <c r="D490" i="2"/>
  <c r="D470" i="2"/>
  <c r="D450" i="2"/>
  <c r="D430" i="2"/>
  <c r="D411" i="2"/>
  <c r="D391" i="2"/>
  <c r="D372" i="2"/>
  <c r="D352" i="2"/>
  <c r="D332" i="2"/>
  <c r="D313" i="2"/>
  <c r="D293" i="2"/>
  <c r="D273" i="2"/>
  <c r="D253" i="2"/>
  <c r="D234" i="2"/>
  <c r="D214" i="2"/>
  <c r="D194" i="2"/>
  <c r="D174" i="2"/>
  <c r="D155" i="2"/>
  <c r="D135" i="2"/>
  <c r="D116" i="2"/>
  <c r="D96" i="2"/>
  <c r="D76" i="2"/>
  <c r="D57" i="2"/>
  <c r="D37" i="2"/>
  <c r="D17" i="2"/>
  <c r="D1001" i="2"/>
  <c r="D981" i="2"/>
  <c r="D961" i="2"/>
  <c r="D941" i="2"/>
  <c r="D922" i="2"/>
  <c r="D902" i="2"/>
  <c r="D882" i="2"/>
  <c r="D862" i="2"/>
  <c r="D843" i="2"/>
  <c r="D823" i="2"/>
  <c r="D804" i="2"/>
  <c r="D784" i="2"/>
  <c r="D764" i="2"/>
  <c r="D745" i="2"/>
  <c r="D725" i="2"/>
  <c r="D705" i="2"/>
  <c r="D685" i="2"/>
  <c r="D666" i="2"/>
  <c r="D646" i="2"/>
  <c r="D626" i="2"/>
  <c r="D606" i="2"/>
  <c r="D587" i="2"/>
  <c r="D567" i="2"/>
  <c r="D548" i="2"/>
  <c r="D528" i="2"/>
  <c r="D508" i="2"/>
  <c r="D489" i="2"/>
  <c r="D469" i="2"/>
  <c r="D449" i="2"/>
  <c r="D429" i="2"/>
  <c r="D410" i="2"/>
  <c r="D390" i="2"/>
  <c r="D370" i="2"/>
  <c r="D350" i="2"/>
  <c r="D331" i="2"/>
  <c r="D311" i="2"/>
  <c r="D292" i="2"/>
  <c r="D272" i="2"/>
  <c r="D252" i="2"/>
  <c r="D233" i="2"/>
  <c r="D213" i="2"/>
  <c r="D193" i="2"/>
  <c r="D173" i="2"/>
  <c r="D154" i="2"/>
  <c r="D134" i="2"/>
  <c r="D114" i="2"/>
  <c r="D94" i="2"/>
  <c r="D75" i="2"/>
  <c r="D55" i="2"/>
  <c r="D36" i="2"/>
  <c r="D16" i="2"/>
  <c r="D54" i="2"/>
  <c r="D34" i="2"/>
  <c r="D14" i="2"/>
  <c r="D998" i="2"/>
  <c r="D978" i="2"/>
  <c r="D958" i="2"/>
  <c r="D939" i="2"/>
  <c r="D919" i="2"/>
  <c r="D900" i="2"/>
  <c r="D880" i="2"/>
  <c r="D860" i="2"/>
  <c r="D841" i="2"/>
  <c r="D821" i="2"/>
  <c r="D801" i="2"/>
  <c r="D781" i="2"/>
  <c r="D762" i="2"/>
  <c r="D742" i="2"/>
  <c r="D722" i="2"/>
  <c r="D702" i="2"/>
  <c r="D683" i="2"/>
  <c r="D663" i="2"/>
  <c r="D644" i="2"/>
  <c r="D624" i="2"/>
  <c r="D604" i="2"/>
  <c r="D585" i="2"/>
  <c r="D565" i="2"/>
  <c r="D545" i="2"/>
  <c r="D525" i="2"/>
  <c r="D506" i="2"/>
  <c r="D486" i="2"/>
  <c r="D466" i="2"/>
  <c r="D446" i="2"/>
  <c r="D427" i="2"/>
  <c r="D407" i="2"/>
  <c r="D388" i="2"/>
  <c r="D368" i="2"/>
  <c r="D348" i="2"/>
  <c r="D329" i="2"/>
  <c r="D309" i="2"/>
  <c r="D289" i="2"/>
  <c r="D269" i="2"/>
  <c r="D250" i="2"/>
  <c r="D230" i="2"/>
  <c r="D210" i="2"/>
  <c r="D190" i="2"/>
  <c r="D171" i="2"/>
  <c r="D151" i="2"/>
  <c r="D132" i="2"/>
  <c r="D112" i="2"/>
  <c r="D92" i="2"/>
  <c r="D73" i="2"/>
  <c r="D53" i="2"/>
  <c r="D33" i="2"/>
  <c r="D13" i="2"/>
  <c r="D327" i="2"/>
  <c r="D308" i="2"/>
  <c r="D288" i="2"/>
  <c r="D268" i="2"/>
  <c r="D249" i="2"/>
  <c r="D229" i="2"/>
  <c r="D209" i="2"/>
  <c r="D189" i="2"/>
  <c r="D170" i="2"/>
  <c r="D150" i="2"/>
  <c r="D130" i="2"/>
  <c r="D110" i="2"/>
  <c r="D91" i="2"/>
  <c r="D71" i="2"/>
  <c r="D52" i="2"/>
  <c r="D32" i="2"/>
  <c r="D12" i="2"/>
  <c r="D994" i="2"/>
  <c r="D974" i="2"/>
  <c r="D955" i="2"/>
  <c r="D935" i="2"/>
  <c r="D916" i="2"/>
  <c r="D896" i="2"/>
  <c r="D876" i="2"/>
  <c r="D857" i="2"/>
  <c r="D837" i="2"/>
  <c r="D817" i="2"/>
  <c r="D797" i="2"/>
  <c r="D778" i="2"/>
  <c r="D758" i="2"/>
  <c r="D738" i="2"/>
  <c r="D718" i="2"/>
  <c r="D699" i="2"/>
  <c r="D679" i="2"/>
  <c r="D660" i="2"/>
  <c r="D640" i="2"/>
  <c r="D620" i="2"/>
  <c r="D601" i="2"/>
  <c r="D581" i="2"/>
  <c r="D561" i="2"/>
  <c r="D541" i="2"/>
  <c r="D522" i="2"/>
  <c r="D502" i="2"/>
  <c r="D482" i="2"/>
  <c r="D462" i="2"/>
  <c r="D443" i="2"/>
  <c r="D423" i="2"/>
  <c r="D404" i="2"/>
  <c r="D384" i="2"/>
  <c r="D364" i="2"/>
  <c r="D345" i="2"/>
  <c r="D325" i="2"/>
  <c r="D305" i="2"/>
  <c r="D285" i="2"/>
  <c r="D266" i="2"/>
  <c r="D246" i="2"/>
  <c r="D226" i="2"/>
  <c r="D206" i="2"/>
  <c r="D187" i="2"/>
  <c r="D167" i="2"/>
  <c r="D148" i="2"/>
  <c r="D128" i="2"/>
  <c r="D108" i="2"/>
  <c r="D89" i="2"/>
  <c r="D69" i="2"/>
  <c r="D49" i="2"/>
  <c r="D29" i="2"/>
  <c r="D10" i="2"/>
  <c r="D993" i="2"/>
  <c r="D973" i="2"/>
  <c r="D954" i="2"/>
  <c r="D934" i="2"/>
  <c r="D914" i="2"/>
  <c r="D894" i="2"/>
  <c r="D875" i="2"/>
  <c r="D855" i="2"/>
  <c r="D836" i="2"/>
  <c r="D816" i="2"/>
  <c r="D796" i="2"/>
  <c r="D777" i="2"/>
  <c r="D757" i="2"/>
  <c r="D737" i="2"/>
  <c r="D717" i="2"/>
  <c r="D698" i="2"/>
  <c r="D678" i="2"/>
  <c r="D658" i="2"/>
  <c r="D638" i="2"/>
  <c r="D619" i="2"/>
  <c r="D599" i="2"/>
  <c r="D580" i="2"/>
  <c r="D560" i="2"/>
  <c r="D540" i="2"/>
  <c r="D521" i="2"/>
  <c r="D501" i="2"/>
  <c r="D481" i="2"/>
  <c r="D461" i="2"/>
  <c r="D442" i="2"/>
  <c r="D422" i="2"/>
  <c r="D402" i="2"/>
  <c r="D382" i="2"/>
  <c r="D363" i="2"/>
  <c r="D343" i="2"/>
  <c r="D324" i="2"/>
  <c r="D304" i="2"/>
  <c r="D284" i="2"/>
  <c r="D265" i="2"/>
  <c r="D245" i="2"/>
  <c r="D225" i="2"/>
  <c r="D205" i="2"/>
  <c r="D186" i="2"/>
  <c r="D166" i="2"/>
  <c r="D146" i="2"/>
  <c r="D126" i="2"/>
  <c r="D107" i="2"/>
  <c r="D87" i="2"/>
  <c r="D68" i="2"/>
  <c r="D48" i="2"/>
  <c r="D28" i="2"/>
  <c r="D9" i="2"/>
  <c r="D1000" i="2"/>
  <c r="D984" i="2"/>
  <c r="D968" i="2"/>
  <c r="D952" i="2"/>
  <c r="D936" i="2"/>
  <c r="D920" i="2"/>
  <c r="D904" i="2"/>
  <c r="D888" i="2"/>
  <c r="D872" i="2"/>
  <c r="D856" i="2"/>
  <c r="D840" i="2"/>
  <c r="D824" i="2"/>
  <c r="D808" i="2"/>
  <c r="D792" i="2"/>
  <c r="D776" i="2"/>
  <c r="D760" i="2"/>
  <c r="D744" i="2"/>
  <c r="D728" i="2"/>
  <c r="D712" i="2"/>
  <c r="D696" i="2"/>
  <c r="D680" i="2"/>
  <c r="D664" i="2"/>
  <c r="D648" i="2"/>
  <c r="D632" i="2"/>
  <c r="D616" i="2"/>
  <c r="D600" i="2"/>
  <c r="D584" i="2"/>
  <c r="D568" i="2"/>
  <c r="D552" i="2"/>
  <c r="D536" i="2"/>
  <c r="D520" i="2"/>
  <c r="D504" i="2"/>
  <c r="D488" i="2"/>
  <c r="D472" i="2"/>
  <c r="D456" i="2"/>
  <c r="D440" i="2"/>
  <c r="D424" i="2"/>
  <c r="D408" i="2"/>
  <c r="D392" i="2"/>
  <c r="D376" i="2"/>
  <c r="D360" i="2"/>
  <c r="D344" i="2"/>
  <c r="D328" i="2"/>
  <c r="D312" i="2"/>
  <c r="D296" i="2"/>
  <c r="D280" i="2"/>
  <c r="D264" i="2"/>
  <c r="D248" i="2"/>
  <c r="D232" i="2"/>
  <c r="D216" i="2"/>
  <c r="D200" i="2"/>
  <c r="D184" i="2"/>
  <c r="D168" i="2"/>
  <c r="D152" i="2"/>
  <c r="D136" i="2"/>
  <c r="D120" i="2"/>
  <c r="D104" i="2"/>
  <c r="D88" i="2"/>
  <c r="D72" i="2"/>
  <c r="D56" i="2"/>
  <c r="D40" i="2"/>
  <c r="D24" i="2"/>
  <c r="D8" i="2"/>
  <c r="D995" i="2"/>
  <c r="D979" i="2"/>
  <c r="D963" i="2"/>
  <c r="D947" i="2"/>
  <c r="D931" i="2"/>
  <c r="D915" i="2"/>
  <c r="D899" i="2"/>
  <c r="D883" i="2"/>
  <c r="D867" i="2"/>
  <c r="D851" i="2"/>
  <c r="D835" i="2"/>
  <c r="D819" i="2"/>
  <c r="D803" i="2"/>
  <c r="D787" i="2"/>
  <c r="D771" i="2"/>
  <c r="D755" i="2"/>
  <c r="D739" i="2"/>
  <c r="D723" i="2"/>
  <c r="D707" i="2"/>
  <c r="D691" i="2"/>
  <c r="D675" i="2"/>
  <c r="D659" i="2"/>
  <c r="D643" i="2"/>
  <c r="D627" i="2"/>
  <c r="D611" i="2"/>
  <c r="D595" i="2"/>
  <c r="D579" i="2"/>
  <c r="D563" i="2"/>
  <c r="D547" i="2"/>
  <c r="D531" i="2"/>
  <c r="D515" i="2"/>
  <c r="D499" i="2"/>
  <c r="D483" i="2"/>
  <c r="D467" i="2"/>
  <c r="D451" i="2"/>
  <c r="D435" i="2"/>
  <c r="D419" i="2"/>
  <c r="D403" i="2"/>
  <c r="D387" i="2"/>
  <c r="D371" i="2"/>
  <c r="D355" i="2"/>
  <c r="D339" i="2"/>
  <c r="D323" i="2"/>
  <c r="D307" i="2"/>
  <c r="D291" i="2"/>
  <c r="D275" i="2"/>
  <c r="D259" i="2"/>
  <c r="D243" i="2"/>
  <c r="D227" i="2"/>
  <c r="D211" i="2"/>
  <c r="D195" i="2"/>
  <c r="D179" i="2"/>
  <c r="D163" i="2"/>
  <c r="D147" i="2"/>
  <c r="D131" i="2"/>
  <c r="D115" i="2"/>
  <c r="D99" i="2"/>
  <c r="D83" i="2"/>
  <c r="D67" i="2"/>
  <c r="D51" i="2"/>
  <c r="D35" i="2"/>
  <c r="D19" i="2"/>
  <c r="D3" i="2"/>
  <c r="D991" i="2"/>
  <c r="D975" i="2"/>
  <c r="D959" i="2"/>
  <c r="D943" i="2"/>
  <c r="D927" i="2"/>
  <c r="D911" i="2"/>
  <c r="D895" i="2"/>
  <c r="D879" i="2"/>
  <c r="D863" i="2"/>
  <c r="D847" i="2"/>
  <c r="D831" i="2"/>
  <c r="D815" i="2"/>
  <c r="D799" i="2"/>
  <c r="D783" i="2"/>
  <c r="D767" i="2"/>
  <c r="D751" i="2"/>
  <c r="D735" i="2"/>
  <c r="D719" i="2"/>
  <c r="D703" i="2"/>
  <c r="D687" i="2"/>
  <c r="D671" i="2"/>
  <c r="D655" i="2"/>
  <c r="D639" i="2"/>
  <c r="D623" i="2"/>
  <c r="D607" i="2"/>
  <c r="D591" i="2"/>
  <c r="D575" i="2"/>
  <c r="D559" i="2"/>
  <c r="D543" i="2"/>
  <c r="D527" i="2"/>
  <c r="D511" i="2"/>
  <c r="D495" i="2"/>
  <c r="D479" i="2"/>
  <c r="D463" i="2"/>
  <c r="D447" i="2"/>
  <c r="D431" i="2"/>
  <c r="D415" i="2"/>
  <c r="D399" i="2"/>
  <c r="D383" i="2"/>
  <c r="D367" i="2"/>
  <c r="D351" i="2"/>
  <c r="D335" i="2"/>
  <c r="D319" i="2"/>
  <c r="D303" i="2"/>
  <c r="D287" i="2"/>
  <c r="D271" i="2"/>
  <c r="D255" i="2"/>
  <c r="D239" i="2"/>
  <c r="D223" i="2"/>
  <c r="D207" i="2"/>
  <c r="D191" i="2"/>
  <c r="D175" i="2"/>
  <c r="D159" i="2"/>
  <c r="D143" i="2"/>
  <c r="D127" i="2"/>
  <c r="D111" i="2"/>
  <c r="D95" i="2"/>
  <c r="D79" i="2"/>
  <c r="D63" i="2"/>
  <c r="D47" i="2"/>
  <c r="D31" i="2"/>
  <c r="C963" i="2"/>
  <c r="C832" i="2"/>
  <c r="C684" i="2"/>
  <c r="C526" i="2"/>
  <c r="C366" i="2"/>
  <c r="C173" i="2"/>
  <c r="C948" i="2"/>
  <c r="C815" i="2"/>
  <c r="C665" i="2"/>
  <c r="C508" i="2"/>
  <c r="C345" i="2"/>
  <c r="C150" i="2"/>
  <c r="C947" i="2"/>
  <c r="C814" i="2"/>
  <c r="C664" i="2"/>
  <c r="C506" i="2"/>
  <c r="C343" i="2"/>
  <c r="C149" i="2"/>
  <c r="C932" i="2"/>
  <c r="C797" i="2"/>
  <c r="C645" i="2"/>
  <c r="C488" i="2"/>
  <c r="C320" i="2"/>
  <c r="C126" i="2"/>
  <c r="C931" i="2"/>
  <c r="C796" i="2"/>
  <c r="C644" i="2"/>
  <c r="C487" i="2"/>
  <c r="C319" i="2"/>
  <c r="C123" i="2"/>
  <c r="C916" i="2"/>
  <c r="C779" i="2"/>
  <c r="C626" i="2"/>
  <c r="C468" i="2"/>
  <c r="C296" i="2"/>
  <c r="C101" i="2"/>
  <c r="C915" i="2"/>
  <c r="C778" i="2"/>
  <c r="C624" i="2"/>
  <c r="C467" i="2"/>
  <c r="C295" i="2"/>
  <c r="C100" i="2"/>
  <c r="C900" i="2"/>
  <c r="C761" i="2"/>
  <c r="C606" i="2"/>
  <c r="C448" i="2"/>
  <c r="C272" i="2"/>
  <c r="C77" i="2"/>
  <c r="C899" i="2"/>
  <c r="C760" i="2"/>
  <c r="C605" i="2"/>
  <c r="C447" i="2"/>
  <c r="C270" i="2"/>
  <c r="C75" i="2"/>
  <c r="C884" i="2"/>
  <c r="C743" i="2"/>
  <c r="C586" i="2"/>
  <c r="C429" i="2"/>
  <c r="C247" i="2"/>
  <c r="C53" i="2"/>
  <c r="C883" i="2"/>
  <c r="C741" i="2"/>
  <c r="C585" i="2"/>
  <c r="C428" i="2"/>
  <c r="C246" i="2"/>
  <c r="C50" i="2"/>
  <c r="C996" i="2"/>
  <c r="C867" i="2"/>
  <c r="C724" i="2"/>
  <c r="C567" i="2"/>
  <c r="C409" i="2"/>
  <c r="C223" i="2"/>
  <c r="C25" i="2"/>
  <c r="C995" i="2"/>
  <c r="C866" i="2"/>
  <c r="C723" i="2"/>
  <c r="C565" i="2"/>
  <c r="C408" i="2"/>
  <c r="C222" i="2"/>
  <c r="C23" i="2"/>
  <c r="C980" i="2"/>
  <c r="C850" i="2"/>
  <c r="C704" i="2"/>
  <c r="C547" i="2"/>
  <c r="C388" i="2"/>
  <c r="C199" i="2"/>
  <c r="C979" i="2"/>
  <c r="C849" i="2"/>
  <c r="C703" i="2"/>
  <c r="C546" i="2"/>
  <c r="C387" i="2"/>
  <c r="C197" i="2"/>
  <c r="C964" i="2"/>
  <c r="C833" i="2"/>
  <c r="C685" i="2"/>
  <c r="C527" i="2"/>
  <c r="C367" i="2"/>
  <c r="C174" i="2"/>
  <c r="C994" i="2"/>
  <c r="C978" i="2"/>
  <c r="C962" i="2"/>
  <c r="C946" i="2"/>
  <c r="C930" i="2"/>
  <c r="C914" i="2"/>
  <c r="C898" i="2"/>
  <c r="C882" i="2"/>
  <c r="C865" i="2"/>
  <c r="C848" i="2"/>
  <c r="C831" i="2"/>
  <c r="C813" i="2"/>
  <c r="C795" i="2"/>
  <c r="C777" i="2"/>
  <c r="C759" i="2"/>
  <c r="C740" i="2"/>
  <c r="C722" i="2"/>
  <c r="C702" i="2"/>
  <c r="C682" i="2"/>
  <c r="C663" i="2"/>
  <c r="C643" i="2"/>
  <c r="C623" i="2"/>
  <c r="C604" i="2"/>
  <c r="C584" i="2"/>
  <c r="C564" i="2"/>
  <c r="C544" i="2"/>
  <c r="C525" i="2"/>
  <c r="C505" i="2"/>
  <c r="C485" i="2"/>
  <c r="C466" i="2"/>
  <c r="C446" i="2"/>
  <c r="C426" i="2"/>
  <c r="C407" i="2"/>
  <c r="C386" i="2"/>
  <c r="C365" i="2"/>
  <c r="C342" i="2"/>
  <c r="C318" i="2"/>
  <c r="C294" i="2"/>
  <c r="C269" i="2"/>
  <c r="C245" i="2"/>
  <c r="C221" i="2"/>
  <c r="C196" i="2"/>
  <c r="C171" i="2"/>
  <c r="C148" i="2"/>
  <c r="C122" i="2"/>
  <c r="C98" i="2"/>
  <c r="C74" i="2"/>
  <c r="C49" i="2"/>
  <c r="C22" i="2"/>
  <c r="C993" i="2"/>
  <c r="C977" i="2"/>
  <c r="C961" i="2"/>
  <c r="C945" i="2"/>
  <c r="C929" i="2"/>
  <c r="C913" i="2"/>
  <c r="C897" i="2"/>
  <c r="C881" i="2"/>
  <c r="C864" i="2"/>
  <c r="C847" i="2"/>
  <c r="C830" i="2"/>
  <c r="C812" i="2"/>
  <c r="C794" i="2"/>
  <c r="C776" i="2"/>
  <c r="C757" i="2"/>
  <c r="C739" i="2"/>
  <c r="C720" i="2"/>
  <c r="C701" i="2"/>
  <c r="C681" i="2"/>
  <c r="C661" i="2"/>
  <c r="C642" i="2"/>
  <c r="C622" i="2"/>
  <c r="C602" i="2"/>
  <c r="C583" i="2"/>
  <c r="C563" i="2"/>
  <c r="C543" i="2"/>
  <c r="C524" i="2"/>
  <c r="C504" i="2"/>
  <c r="C484" i="2"/>
  <c r="C464" i="2"/>
  <c r="C445" i="2"/>
  <c r="C425" i="2"/>
  <c r="C405" i="2"/>
  <c r="C384" i="2"/>
  <c r="C364" i="2"/>
  <c r="C340" i="2"/>
  <c r="C315" i="2"/>
  <c r="C293" i="2"/>
  <c r="C266" i="2"/>
  <c r="C242" i="2"/>
  <c r="C219" i="2"/>
  <c r="C193" i="2"/>
  <c r="C169" i="2"/>
  <c r="C146" i="2"/>
  <c r="C120" i="2"/>
  <c r="C96" i="2"/>
  <c r="C73" i="2"/>
  <c r="C47" i="2"/>
  <c r="C21" i="2"/>
  <c r="C992" i="2"/>
  <c r="C976" i="2"/>
  <c r="C960" i="2"/>
  <c r="C944" i="2"/>
  <c r="C928" i="2"/>
  <c r="C912" i="2"/>
  <c r="C896" i="2"/>
  <c r="C880" i="2"/>
  <c r="C863" i="2"/>
  <c r="C846" i="2"/>
  <c r="C829" i="2"/>
  <c r="C811" i="2"/>
  <c r="C793" i="2"/>
  <c r="C775" i="2"/>
  <c r="C756" i="2"/>
  <c r="C738" i="2"/>
  <c r="C719" i="2"/>
  <c r="C700" i="2"/>
  <c r="C680" i="2"/>
  <c r="C660" i="2"/>
  <c r="C640" i="2"/>
  <c r="C621" i="2"/>
  <c r="C601" i="2"/>
  <c r="C581" i="2"/>
  <c r="C562" i="2"/>
  <c r="C542" i="2"/>
  <c r="C522" i="2"/>
  <c r="C503" i="2"/>
  <c r="C483" i="2"/>
  <c r="C463" i="2"/>
  <c r="C444" i="2"/>
  <c r="C424" i="2"/>
  <c r="C404" i="2"/>
  <c r="C383" i="2"/>
  <c r="C362" i="2"/>
  <c r="C338" i="2"/>
  <c r="C314" i="2"/>
  <c r="C290" i="2"/>
  <c r="C265" i="2"/>
  <c r="C241" i="2"/>
  <c r="C217" i="2"/>
  <c r="C192" i="2"/>
  <c r="C168" i="2"/>
  <c r="C144" i="2"/>
  <c r="C119" i="2"/>
  <c r="C95" i="2"/>
  <c r="C71" i="2"/>
  <c r="C45" i="2"/>
  <c r="C20" i="2"/>
  <c r="C991" i="2"/>
  <c r="C975" i="2"/>
  <c r="C959" i="2"/>
  <c r="C943" i="2"/>
  <c r="C927" i="2"/>
  <c r="C911" i="2"/>
  <c r="C895" i="2"/>
  <c r="C879" i="2"/>
  <c r="C862" i="2"/>
  <c r="C845" i="2"/>
  <c r="C828" i="2"/>
  <c r="C810" i="2"/>
  <c r="C792" i="2"/>
  <c r="C773" i="2"/>
  <c r="C755" i="2"/>
  <c r="C736" i="2"/>
  <c r="C718" i="2"/>
  <c r="C698" i="2"/>
  <c r="C679" i="2"/>
  <c r="C659" i="2"/>
  <c r="C639" i="2"/>
  <c r="C620" i="2"/>
  <c r="C600" i="2"/>
  <c r="C580" i="2"/>
  <c r="C560" i="2"/>
  <c r="C541" i="2"/>
  <c r="C521" i="2"/>
  <c r="C501" i="2"/>
  <c r="C482" i="2"/>
  <c r="C462" i="2"/>
  <c r="C442" i="2"/>
  <c r="C423" i="2"/>
  <c r="C403" i="2"/>
  <c r="C382" i="2"/>
  <c r="C360" i="2"/>
  <c r="C337" i="2"/>
  <c r="C313" i="2"/>
  <c r="C288" i="2"/>
  <c r="C264" i="2"/>
  <c r="C240" i="2"/>
  <c r="C215" i="2"/>
  <c r="C191" i="2"/>
  <c r="C167" i="2"/>
  <c r="C142" i="2"/>
  <c r="C118" i="2"/>
  <c r="C94" i="2"/>
  <c r="C69" i="2"/>
  <c r="C43" i="2"/>
  <c r="C18" i="2"/>
  <c r="C990" i="2"/>
  <c r="C974" i="2"/>
  <c r="C958" i="2"/>
  <c r="C942" i="2"/>
  <c r="C926" i="2"/>
  <c r="C910" i="2"/>
  <c r="C894" i="2"/>
  <c r="C878" i="2"/>
  <c r="C861" i="2"/>
  <c r="C844" i="2"/>
  <c r="C827" i="2"/>
  <c r="C809" i="2"/>
  <c r="C791" i="2"/>
  <c r="C772" i="2"/>
  <c r="C754" i="2"/>
  <c r="C735" i="2"/>
  <c r="C717" i="2"/>
  <c r="C697" i="2"/>
  <c r="C677" i="2"/>
  <c r="C658" i="2"/>
  <c r="C638" i="2"/>
  <c r="C618" i="2"/>
  <c r="C599" i="2"/>
  <c r="C579" i="2"/>
  <c r="C559" i="2"/>
  <c r="C540" i="2"/>
  <c r="C520" i="2"/>
  <c r="C500" i="2"/>
  <c r="C480" i="2"/>
  <c r="C461" i="2"/>
  <c r="C441" i="2"/>
  <c r="C421" i="2"/>
  <c r="C402" i="2"/>
  <c r="C381" i="2"/>
  <c r="C359" i="2"/>
  <c r="C336" i="2"/>
  <c r="C312" i="2"/>
  <c r="C287" i="2"/>
  <c r="C263" i="2"/>
  <c r="C239" i="2"/>
  <c r="C214" i="2"/>
  <c r="C190" i="2"/>
  <c r="C166" i="2"/>
  <c r="C141" i="2"/>
  <c r="C117" i="2"/>
  <c r="C93" i="2"/>
  <c r="C68" i="2"/>
  <c r="C41" i="2"/>
  <c r="C16" i="2"/>
  <c r="C989" i="2"/>
  <c r="C973" i="2"/>
  <c r="C957" i="2"/>
  <c r="C941" i="2"/>
  <c r="C925" i="2"/>
  <c r="C909" i="2"/>
  <c r="C893" i="2"/>
  <c r="C877" i="2"/>
  <c r="C860" i="2"/>
  <c r="C843" i="2"/>
  <c r="C826" i="2"/>
  <c r="C808" i="2"/>
  <c r="C789" i="2"/>
  <c r="C771" i="2"/>
  <c r="C752" i="2"/>
  <c r="C734" i="2"/>
  <c r="C716" i="2"/>
  <c r="C696" i="2"/>
  <c r="C676" i="2"/>
  <c r="C656" i="2"/>
  <c r="C637" i="2"/>
  <c r="C617" i="2"/>
  <c r="C597" i="2"/>
  <c r="C578" i="2"/>
  <c r="C558" i="2"/>
  <c r="C538" i="2"/>
  <c r="C519" i="2"/>
  <c r="C499" i="2"/>
  <c r="C479" i="2"/>
  <c r="C460" i="2"/>
  <c r="C440" i="2"/>
  <c r="C420" i="2"/>
  <c r="C400" i="2"/>
  <c r="C380" i="2"/>
  <c r="C357" i="2"/>
  <c r="C334" i="2"/>
  <c r="C311" i="2"/>
  <c r="C285" i="2"/>
  <c r="C261" i="2"/>
  <c r="C238" i="2"/>
  <c r="C212" i="2"/>
  <c r="C187" i="2"/>
  <c r="C165" i="2"/>
  <c r="C138" i="2"/>
  <c r="C114" i="2"/>
  <c r="C91" i="2"/>
  <c r="C65" i="2"/>
  <c r="C40" i="2"/>
  <c r="C14" i="2"/>
  <c r="C988" i="2"/>
  <c r="C972" i="2"/>
  <c r="C956" i="2"/>
  <c r="C940" i="2"/>
  <c r="C924" i="2"/>
  <c r="C908" i="2"/>
  <c r="C892" i="2"/>
  <c r="C876" i="2"/>
  <c r="C859" i="2"/>
  <c r="C842" i="2"/>
  <c r="C825" i="2"/>
  <c r="C807" i="2"/>
  <c r="C788" i="2"/>
  <c r="C770" i="2"/>
  <c r="C751" i="2"/>
  <c r="C733" i="2"/>
  <c r="C714" i="2"/>
  <c r="C695" i="2"/>
  <c r="C675" i="2"/>
  <c r="C655" i="2"/>
  <c r="C636" i="2"/>
  <c r="C616" i="2"/>
  <c r="C596" i="2"/>
  <c r="C576" i="2"/>
  <c r="C557" i="2"/>
  <c r="C537" i="2"/>
  <c r="C517" i="2"/>
  <c r="C498" i="2"/>
  <c r="C478" i="2"/>
  <c r="C458" i="2"/>
  <c r="C439" i="2"/>
  <c r="C419" i="2"/>
  <c r="C399" i="2"/>
  <c r="C378" i="2"/>
  <c r="C356" i="2"/>
  <c r="C333" i="2"/>
  <c r="C309" i="2"/>
  <c r="C283" i="2"/>
  <c r="C260" i="2"/>
  <c r="C235" i="2"/>
  <c r="C210" i="2"/>
  <c r="C186" i="2"/>
  <c r="C162" i="2"/>
  <c r="C137" i="2"/>
  <c r="C113" i="2"/>
  <c r="C89" i="2"/>
  <c r="C64" i="2"/>
  <c r="C39" i="2"/>
  <c r="C13" i="2"/>
  <c r="C955" i="2"/>
  <c r="C841" i="2"/>
  <c r="C750" i="2"/>
  <c r="C732" i="2"/>
  <c r="C713" i="2"/>
  <c r="C693" i="2"/>
  <c r="C674" i="2"/>
  <c r="C634" i="2"/>
  <c r="C615" i="2"/>
  <c r="C595" i="2"/>
  <c r="C575" i="2"/>
  <c r="C556" i="2"/>
  <c r="C536" i="2"/>
  <c r="C516" i="2"/>
  <c r="C496" i="2"/>
  <c r="C477" i="2"/>
  <c r="C457" i="2"/>
  <c r="C437" i="2"/>
  <c r="C418" i="2"/>
  <c r="C398" i="2"/>
  <c r="C376" i="2"/>
  <c r="C354" i="2"/>
  <c r="C331" i="2"/>
  <c r="C306" i="2"/>
  <c r="C282" i="2"/>
  <c r="C258" i="2"/>
  <c r="C233" i="2"/>
  <c r="C209" i="2"/>
  <c r="C185" i="2"/>
  <c r="C160" i="2"/>
  <c r="C136" i="2"/>
  <c r="C112" i="2"/>
  <c r="C87" i="2"/>
  <c r="C63" i="2"/>
  <c r="C38" i="2"/>
  <c r="C10" i="2"/>
  <c r="C987" i="2"/>
  <c r="C971" i="2"/>
  <c r="C939" i="2"/>
  <c r="C923" i="2"/>
  <c r="C907" i="2"/>
  <c r="C891" i="2"/>
  <c r="C875" i="2"/>
  <c r="C858" i="2"/>
  <c r="C824" i="2"/>
  <c r="C805" i="2"/>
  <c r="C787" i="2"/>
  <c r="C768" i="2"/>
  <c r="C654" i="2"/>
  <c r="C2" i="2"/>
  <c r="C986" i="2"/>
  <c r="C970" i="2"/>
  <c r="C954" i="2"/>
  <c r="C938" i="2"/>
  <c r="C922" i="2"/>
  <c r="C906" i="2"/>
  <c r="C890" i="2"/>
  <c r="C874" i="2"/>
  <c r="C857" i="2"/>
  <c r="C840" i="2"/>
  <c r="C823" i="2"/>
  <c r="C804" i="2"/>
  <c r="C786" i="2"/>
  <c r="C767" i="2"/>
  <c r="C749" i="2"/>
  <c r="C731" i="2"/>
  <c r="C712" i="2"/>
  <c r="C692" i="2"/>
  <c r="C672" i="2"/>
  <c r="C653" i="2"/>
  <c r="C633" i="2"/>
  <c r="C613" i="2"/>
  <c r="C594" i="2"/>
  <c r="C574" i="2"/>
  <c r="C554" i="2"/>
  <c r="C535" i="2"/>
  <c r="C515" i="2"/>
  <c r="C495" i="2"/>
  <c r="C476" i="2"/>
  <c r="C456" i="2"/>
  <c r="C436" i="2"/>
  <c r="C416" i="2"/>
  <c r="C397" i="2"/>
  <c r="C375" i="2"/>
  <c r="C353" i="2"/>
  <c r="C330" i="2"/>
  <c r="C305" i="2"/>
  <c r="C281" i="2"/>
  <c r="C257" i="2"/>
  <c r="C232" i="2"/>
  <c r="C208" i="2"/>
  <c r="C184" i="2"/>
  <c r="C159" i="2"/>
  <c r="C135" i="2"/>
  <c r="C111" i="2"/>
  <c r="C86" i="2"/>
  <c r="C62" i="2"/>
  <c r="C37" i="2"/>
  <c r="C8" i="2"/>
  <c r="C1001" i="2"/>
  <c r="C985" i="2"/>
  <c r="C969" i="2"/>
  <c r="C953" i="2"/>
  <c r="C937" i="2"/>
  <c r="C921" i="2"/>
  <c r="C905" i="2"/>
  <c r="C889" i="2"/>
  <c r="C873" i="2"/>
  <c r="C856" i="2"/>
  <c r="C839" i="2"/>
  <c r="C821" i="2"/>
  <c r="C803" i="2"/>
  <c r="C784" i="2"/>
  <c r="C766" i="2"/>
  <c r="C748" i="2"/>
  <c r="C730" i="2"/>
  <c r="C711" i="2"/>
  <c r="C691" i="2"/>
  <c r="C671" i="2"/>
  <c r="C652" i="2"/>
  <c r="C632" i="2"/>
  <c r="C612" i="2"/>
  <c r="C592" i="2"/>
  <c r="C573" i="2"/>
  <c r="C553" i="2"/>
  <c r="C533" i="2"/>
  <c r="C514" i="2"/>
  <c r="C494" i="2"/>
  <c r="C474" i="2"/>
  <c r="C455" i="2"/>
  <c r="C435" i="2"/>
  <c r="C415" i="2"/>
  <c r="C396" i="2"/>
  <c r="C373" i="2"/>
  <c r="C351" i="2"/>
  <c r="C329" i="2"/>
  <c r="C303" i="2"/>
  <c r="C279" i="2"/>
  <c r="C256" i="2"/>
  <c r="C230" i="2"/>
  <c r="C206" i="2"/>
  <c r="C183" i="2"/>
  <c r="C157" i="2"/>
  <c r="C133" i="2"/>
  <c r="C110" i="2"/>
  <c r="C84" i="2"/>
  <c r="C59" i="2"/>
  <c r="C34" i="2"/>
  <c r="C7" i="2"/>
  <c r="C1000" i="2"/>
  <c r="C984" i="2"/>
  <c r="C968" i="2"/>
  <c r="C952" i="2"/>
  <c r="C936" i="2"/>
  <c r="C920" i="2"/>
  <c r="C904" i="2"/>
  <c r="C888" i="2"/>
  <c r="C872" i="2"/>
  <c r="C855" i="2"/>
  <c r="C837" i="2"/>
  <c r="C820" i="2"/>
  <c r="C802" i="2"/>
  <c r="C783" i="2"/>
  <c r="C765" i="2"/>
  <c r="C747" i="2"/>
  <c r="C729" i="2"/>
  <c r="C709" i="2"/>
  <c r="C690" i="2"/>
  <c r="C670" i="2"/>
  <c r="C650" i="2"/>
  <c r="C631" i="2"/>
  <c r="C611" i="2"/>
  <c r="C591" i="2"/>
  <c r="C572" i="2"/>
  <c r="C552" i="2"/>
  <c r="C532" i="2"/>
  <c r="C512" i="2"/>
  <c r="C493" i="2"/>
  <c r="C473" i="2"/>
  <c r="C453" i="2"/>
  <c r="C434" i="2"/>
  <c r="C414" i="2"/>
  <c r="C394" i="2"/>
  <c r="C372" i="2"/>
  <c r="C350" i="2"/>
  <c r="C327" i="2"/>
  <c r="C302" i="2"/>
  <c r="C278" i="2"/>
  <c r="C254" i="2"/>
  <c r="C229" i="2"/>
  <c r="C205" i="2"/>
  <c r="C181" i="2"/>
  <c r="C155" i="2"/>
  <c r="C132" i="2"/>
  <c r="C107" i="2"/>
  <c r="C82" i="2"/>
  <c r="C58" i="2"/>
  <c r="C32" i="2"/>
  <c r="C5" i="2"/>
  <c r="C999" i="2"/>
  <c r="C983" i="2"/>
  <c r="C967" i="2"/>
  <c r="C951" i="2"/>
  <c r="C935" i="2"/>
  <c r="C919" i="2"/>
  <c r="C903" i="2"/>
  <c r="C887" i="2"/>
  <c r="C871" i="2"/>
  <c r="C853" i="2"/>
  <c r="C836" i="2"/>
  <c r="C819" i="2"/>
  <c r="C800" i="2"/>
  <c r="C782" i="2"/>
  <c r="C764" i="2"/>
  <c r="C746" i="2"/>
  <c r="C728" i="2"/>
  <c r="C708" i="2"/>
  <c r="C688" i="2"/>
  <c r="C669" i="2"/>
  <c r="C649" i="2"/>
  <c r="C629" i="2"/>
  <c r="C610" i="2"/>
  <c r="C590" i="2"/>
  <c r="C570" i="2"/>
  <c r="C551" i="2"/>
  <c r="C531" i="2"/>
  <c r="C511" i="2"/>
  <c r="C492" i="2"/>
  <c r="C472" i="2"/>
  <c r="C452" i="2"/>
  <c r="C432" i="2"/>
  <c r="C413" i="2"/>
  <c r="C392" i="2"/>
  <c r="C371" i="2"/>
  <c r="C349" i="2"/>
  <c r="C325" i="2"/>
  <c r="C301" i="2"/>
  <c r="C277" i="2"/>
  <c r="C251" i="2"/>
  <c r="C228" i="2"/>
  <c r="C203" i="2"/>
  <c r="C178" i="2"/>
  <c r="C154" i="2"/>
  <c r="C130" i="2"/>
  <c r="C105" i="2"/>
  <c r="C81" i="2"/>
  <c r="C57" i="2"/>
  <c r="C31" i="2"/>
  <c r="C4" i="2"/>
  <c r="C902" i="2"/>
  <c r="C781" i="2"/>
  <c r="C687" i="2"/>
  <c r="C668" i="2"/>
  <c r="C648" i="2"/>
  <c r="C628" i="2"/>
  <c r="C589" i="2"/>
  <c r="C569" i="2"/>
  <c r="C549" i="2"/>
  <c r="C530" i="2"/>
  <c r="C510" i="2"/>
  <c r="C490" i="2"/>
  <c r="C471" i="2"/>
  <c r="C451" i="2"/>
  <c r="C431" i="2"/>
  <c r="C412" i="2"/>
  <c r="C391" i="2"/>
  <c r="C370" i="2"/>
  <c r="C348" i="2"/>
  <c r="C324" i="2"/>
  <c r="C299" i="2"/>
  <c r="C276" i="2"/>
  <c r="C250" i="2"/>
  <c r="C226" i="2"/>
  <c r="C202" i="2"/>
  <c r="C177" i="2"/>
  <c r="C153" i="2"/>
  <c r="C129" i="2"/>
  <c r="C104" i="2"/>
  <c r="C80" i="2"/>
  <c r="C56" i="2"/>
  <c r="C12" i="2"/>
  <c r="C28" i="2"/>
  <c r="C44" i="2"/>
  <c r="C60" i="2"/>
  <c r="C76" i="2"/>
  <c r="C92" i="2"/>
  <c r="C108" i="2"/>
  <c r="C124" i="2"/>
  <c r="C140" i="2"/>
  <c r="C156" i="2"/>
  <c r="C172" i="2"/>
  <c r="C188" i="2"/>
  <c r="C204" i="2"/>
  <c r="C220" i="2"/>
  <c r="C236" i="2"/>
  <c r="C252" i="2"/>
  <c r="C268" i="2"/>
  <c r="C284" i="2"/>
  <c r="C300" i="2"/>
  <c r="C316" i="2"/>
  <c r="C332" i="2"/>
  <c r="C3" i="2"/>
  <c r="C19" i="2"/>
  <c r="C35" i="2"/>
  <c r="C51" i="2"/>
  <c r="C67" i="2"/>
  <c r="C83" i="2"/>
  <c r="C99" i="2"/>
  <c r="C115" i="2"/>
  <c r="C131" i="2"/>
  <c r="C147" i="2"/>
  <c r="C163" i="2"/>
  <c r="C179" i="2"/>
  <c r="C195" i="2"/>
  <c r="C211" i="2"/>
  <c r="C227" i="2"/>
  <c r="C243" i="2"/>
  <c r="C259" i="2"/>
  <c r="C275" i="2"/>
  <c r="C291" i="2"/>
  <c r="C307" i="2"/>
  <c r="C323" i="2"/>
  <c r="C339" i="2"/>
  <c r="C355" i="2"/>
  <c r="C6" i="2"/>
  <c r="C24" i="2"/>
  <c r="C42" i="2"/>
  <c r="C61" i="2"/>
  <c r="C79" i="2"/>
  <c r="C97" i="2"/>
  <c r="C116" i="2"/>
  <c r="C134" i="2"/>
  <c r="C152" i="2"/>
  <c r="C170" i="2"/>
  <c r="C189" i="2"/>
  <c r="C207" i="2"/>
  <c r="C225" i="2"/>
  <c r="C244" i="2"/>
  <c r="C262" i="2"/>
  <c r="C280" i="2"/>
  <c r="C298" i="2"/>
  <c r="C317" i="2"/>
  <c r="C335" i="2"/>
  <c r="C352" i="2"/>
  <c r="C369" i="2"/>
  <c r="C385" i="2"/>
  <c r="C401" i="2"/>
  <c r="C417" i="2"/>
  <c r="C433" i="2"/>
  <c r="C449" i="2"/>
  <c r="C465" i="2"/>
  <c r="C481" i="2"/>
  <c r="C497" i="2"/>
  <c r="C513" i="2"/>
  <c r="C529" i="2"/>
  <c r="C545" i="2"/>
  <c r="C561" i="2"/>
  <c r="C577" i="2"/>
  <c r="C593" i="2"/>
  <c r="C609" i="2"/>
  <c r="C625" i="2"/>
  <c r="C641" i="2"/>
  <c r="C657" i="2"/>
  <c r="C673" i="2"/>
  <c r="C689" i="2"/>
  <c r="C705" i="2"/>
  <c r="C721" i="2"/>
  <c r="C737" i="2"/>
  <c r="C753" i="2"/>
  <c r="C769" i="2"/>
  <c r="C785" i="2"/>
  <c r="C801" i="2"/>
  <c r="C817" i="2"/>
  <c r="C9" i="2"/>
  <c r="C27" i="2"/>
  <c r="C46" i="2"/>
  <c r="C11" i="2"/>
  <c r="C30" i="2"/>
  <c r="C48" i="2"/>
  <c r="C66" i="2"/>
  <c r="C85" i="2"/>
  <c r="C103" i="2"/>
  <c r="C121" i="2"/>
  <c r="C139" i="2"/>
  <c r="C158" i="2"/>
  <c r="C176" i="2"/>
  <c r="C194" i="2"/>
  <c r="C213" i="2"/>
  <c r="C231" i="2"/>
  <c r="C249" i="2"/>
  <c r="C267" i="2"/>
  <c r="C286" i="2"/>
  <c r="C304" i="2"/>
  <c r="C322" i="2"/>
  <c r="C341" i="2"/>
  <c r="C358" i="2"/>
  <c r="C374" i="2"/>
  <c r="C390" i="2"/>
  <c r="C406" i="2"/>
  <c r="C422" i="2"/>
  <c r="C438" i="2"/>
  <c r="C454" i="2"/>
  <c r="C470" i="2"/>
  <c r="C486" i="2"/>
  <c r="C502" i="2"/>
  <c r="C518" i="2"/>
  <c r="C534" i="2"/>
  <c r="C550" i="2"/>
  <c r="C566" i="2"/>
  <c r="C582" i="2"/>
  <c r="C598" i="2"/>
  <c r="C614" i="2"/>
  <c r="C630" i="2"/>
  <c r="C646" i="2"/>
  <c r="C662" i="2"/>
  <c r="C678" i="2"/>
  <c r="C694" i="2"/>
  <c r="C710" i="2"/>
  <c r="C726" i="2"/>
  <c r="C742" i="2"/>
  <c r="C758" i="2"/>
  <c r="C774" i="2"/>
  <c r="C790" i="2"/>
  <c r="C806" i="2"/>
  <c r="C822" i="2"/>
  <c r="C838" i="2"/>
  <c r="C854" i="2"/>
  <c r="C870" i="2"/>
  <c r="C15" i="2"/>
  <c r="C33" i="2"/>
  <c r="C52" i="2"/>
  <c r="C70" i="2"/>
  <c r="C88" i="2"/>
  <c r="C106" i="2"/>
  <c r="C125" i="2"/>
  <c r="C143" i="2"/>
  <c r="C161" i="2"/>
  <c r="C180" i="2"/>
  <c r="C198" i="2"/>
  <c r="C216" i="2"/>
  <c r="C234" i="2"/>
  <c r="C253" i="2"/>
  <c r="C271" i="2"/>
  <c r="C289" i="2"/>
  <c r="C308" i="2"/>
  <c r="C326" i="2"/>
  <c r="C344" i="2"/>
  <c r="C361" i="2"/>
  <c r="C377" i="2"/>
  <c r="C393" i="2"/>
  <c r="C17" i="2"/>
  <c r="C36" i="2"/>
  <c r="C54" i="2"/>
  <c r="C72" i="2"/>
  <c r="C90" i="2"/>
  <c r="C109" i="2"/>
  <c r="C127" i="2"/>
  <c r="C145" i="2"/>
  <c r="C164" i="2"/>
  <c r="C182" i="2"/>
  <c r="C200" i="2"/>
  <c r="C218" i="2"/>
  <c r="C237" i="2"/>
  <c r="C255" i="2"/>
  <c r="C273" i="2"/>
  <c r="C292" i="2"/>
  <c r="C310" i="2"/>
  <c r="C328" i="2"/>
  <c r="C346" i="2"/>
  <c r="C363" i="2"/>
  <c r="C379" i="2"/>
  <c r="C395" i="2"/>
  <c r="C411" i="2"/>
  <c r="C427" i="2"/>
  <c r="C443" i="2"/>
  <c r="C459" i="2"/>
  <c r="C475" i="2"/>
  <c r="C491" i="2"/>
  <c r="C507" i="2"/>
  <c r="C523" i="2"/>
  <c r="C539" i="2"/>
  <c r="C555" i="2"/>
  <c r="C571" i="2"/>
  <c r="C587" i="2"/>
  <c r="C603" i="2"/>
  <c r="C619" i="2"/>
  <c r="C635" i="2"/>
  <c r="C651" i="2"/>
  <c r="C667" i="2"/>
  <c r="C683" i="2"/>
  <c r="C699" i="2"/>
  <c r="C715" i="2"/>
  <c r="C998" i="2"/>
  <c r="C982" i="2"/>
  <c r="C966" i="2"/>
  <c r="C950" i="2"/>
  <c r="C934" i="2"/>
  <c r="C918" i="2"/>
  <c r="C886" i="2"/>
  <c r="C869" i="2"/>
  <c r="C852" i="2"/>
  <c r="C835" i="2"/>
  <c r="C818" i="2"/>
  <c r="C799" i="2"/>
  <c r="C763" i="2"/>
  <c r="C745" i="2"/>
  <c r="C727" i="2"/>
  <c r="C707" i="2"/>
  <c r="C608" i="2"/>
  <c r="C997" i="2"/>
  <c r="C981" i="2"/>
  <c r="C965" i="2"/>
  <c r="C949" i="2"/>
  <c r="C933" i="2"/>
  <c r="C917" i="2"/>
  <c r="C901" i="2"/>
  <c r="C885" i="2"/>
  <c r="C868" i="2"/>
  <c r="C851" i="2"/>
  <c r="C834" i="2"/>
  <c r="C816" i="2"/>
  <c r="C798" i="2"/>
  <c r="C780" i="2"/>
  <c r="C762" i="2"/>
  <c r="C744" i="2"/>
  <c r="C725" i="2"/>
  <c r="C706" i="2"/>
  <c r="C686" i="2"/>
  <c r="C666" i="2"/>
  <c r="C647" i="2"/>
  <c r="C627" i="2"/>
  <c r="C607" i="2"/>
  <c r="C588" i="2"/>
  <c r="C568" i="2"/>
  <c r="C548" i="2"/>
  <c r="C528" i="2"/>
  <c r="C509" i="2"/>
  <c r="C489" i="2"/>
  <c r="C469" i="2"/>
  <c r="C450" i="2"/>
  <c r="C430" i="2"/>
  <c r="C410" i="2"/>
  <c r="C389" i="2"/>
  <c r="C368" i="2"/>
  <c r="C347" i="2"/>
  <c r="C321" i="2"/>
  <c r="C297" i="2"/>
  <c r="C274" i="2"/>
  <c r="C248" i="2"/>
  <c r="C224" i="2"/>
  <c r="C201" i="2"/>
  <c r="C175" i="2"/>
  <c r="C151" i="2"/>
  <c r="C128" i="2"/>
  <c r="C102" i="2"/>
  <c r="C78" i="2"/>
  <c r="C55" i="2"/>
  <c r="C26" i="2"/>
  <c r="C1002" i="2"/>
  <c r="Q129" i="2" l="1"/>
  <c r="Q346" i="2"/>
  <c r="Q330" i="2"/>
  <c r="Q485" i="2"/>
  <c r="Q648" i="2"/>
  <c r="Q452" i="2"/>
  <c r="Q153" i="2"/>
  <c r="Q475" i="2"/>
  <c r="Q374" i="2"/>
  <c r="Q76" i="2"/>
  <c r="R76" i="2" s="1"/>
  <c r="Q300" i="2"/>
  <c r="Q817" i="2"/>
  <c r="R817" i="2" s="1"/>
  <c r="Q353" i="2"/>
  <c r="R353" i="2" s="1"/>
  <c r="Q115" i="2"/>
  <c r="R115" i="2" s="1"/>
  <c r="Q6" i="2"/>
  <c r="R6" i="2" s="1"/>
  <c r="Q816" i="2"/>
  <c r="R816" i="2" s="1"/>
  <c r="Q625" i="2"/>
  <c r="R625" i="2" s="1"/>
  <c r="Q753" i="2"/>
  <c r="R753" i="2" s="1"/>
  <c r="Q140" i="2"/>
  <c r="Q853" i="2"/>
  <c r="Q658" i="2"/>
  <c r="Q497" i="2"/>
  <c r="Q361" i="2"/>
  <c r="Q494" i="2"/>
  <c r="Q218" i="2"/>
  <c r="Q33" i="2"/>
  <c r="R33" i="2" s="1"/>
  <c r="Q299" i="2"/>
  <c r="R299" i="2" s="1"/>
  <c r="Q533" i="2"/>
  <c r="R533" i="2" s="1"/>
  <c r="Q536" i="2"/>
  <c r="R536" i="2" s="1"/>
  <c r="Q441" i="2"/>
  <c r="R441" i="2" s="1"/>
  <c r="Q598" i="2"/>
  <c r="R598" i="2" s="1"/>
  <c r="Q198" i="2"/>
  <c r="R198" i="2" s="1"/>
  <c r="Q693" i="2"/>
  <c r="R693" i="2" s="1"/>
  <c r="Q307" i="2"/>
  <c r="R307" i="2" s="1"/>
  <c r="Q336" i="2"/>
  <c r="Q245" i="2"/>
  <c r="Q714" i="2"/>
  <c r="Q677" i="2"/>
  <c r="Q933" i="2"/>
  <c r="Q410" i="2"/>
  <c r="Q725" i="2"/>
  <c r="Q997" i="2"/>
  <c r="R997" i="2" s="1"/>
  <c r="Q982" i="2"/>
  <c r="R982" i="2" s="1"/>
  <c r="Q326" i="2"/>
  <c r="R326" i="2" s="1"/>
  <c r="Q103" i="2"/>
  <c r="R103" i="2" s="1"/>
  <c r="Q259" i="2"/>
  <c r="R259" i="2" s="1"/>
  <c r="Q3" i="2"/>
  <c r="R3" i="2" s="1"/>
  <c r="Q572" i="2"/>
  <c r="R572" i="2" s="1"/>
  <c r="Q872" i="2"/>
  <c r="R872" i="2" s="1"/>
  <c r="Q839" i="2"/>
  <c r="R839" i="2" s="1"/>
  <c r="Q495" i="2"/>
  <c r="Q516" i="2"/>
  <c r="Q64" i="2"/>
  <c r="Q751" i="2"/>
  <c r="Q420" i="2"/>
  <c r="R420" i="2" s="1"/>
  <c r="Q734" i="2"/>
  <c r="R734" i="2" s="1"/>
  <c r="Q990" i="2"/>
  <c r="R990" i="2" s="1"/>
  <c r="Q661" i="2"/>
  <c r="R661" i="2" s="1"/>
  <c r="Q979" i="2"/>
  <c r="Q320" i="2"/>
  <c r="R320" i="2" s="1"/>
  <c r="Q948" i="2"/>
  <c r="R948" i="2" s="1"/>
  <c r="Q227" i="2"/>
  <c r="R227" i="2" s="1"/>
  <c r="Q349" i="2"/>
  <c r="R349" i="2" s="1"/>
  <c r="Q302" i="2"/>
  <c r="R302" i="2" s="1"/>
  <c r="Q134" i="2"/>
  <c r="R134" i="2" s="1"/>
  <c r="Q322" i="2"/>
  <c r="R322" i="2" s="1"/>
  <c r="Q90" i="2"/>
  <c r="Q568" i="2"/>
  <c r="Q868" i="2"/>
  <c r="Q835" i="2"/>
  <c r="Q180" i="2"/>
  <c r="R180" i="2" s="1"/>
  <c r="Q774" i="2"/>
  <c r="Q249" i="2"/>
  <c r="R249" i="2" s="1"/>
  <c r="Q317" i="2"/>
  <c r="R317" i="2" s="1"/>
  <c r="Q24" i="2"/>
  <c r="R24" i="2" s="1"/>
  <c r="Q131" i="2"/>
  <c r="R131" i="2" s="1"/>
  <c r="Q104" i="2"/>
  <c r="R104" i="2" s="1"/>
  <c r="Q471" i="2"/>
  <c r="R471" i="2" s="1"/>
  <c r="Q729" i="2"/>
  <c r="R729" i="2" s="1"/>
  <c r="Q691" i="2"/>
  <c r="R691" i="2" s="1"/>
  <c r="Q653" i="2"/>
  <c r="R653" i="2" s="1"/>
  <c r="Q892" i="2"/>
  <c r="R892" i="2" s="1"/>
  <c r="Q238" i="2"/>
  <c r="Q877" i="2"/>
  <c r="Q559" i="2"/>
  <c r="Q812" i="2"/>
  <c r="Q122" i="2"/>
  <c r="R122" i="2" s="1"/>
  <c r="Q685" i="2"/>
  <c r="R685" i="2" s="1"/>
  <c r="Q916" i="2"/>
  <c r="R916" i="2" s="1"/>
  <c r="Q616" i="2"/>
  <c r="R616" i="2" s="1"/>
  <c r="Q970" i="2"/>
  <c r="R970" i="2" s="1"/>
  <c r="Q398" i="2"/>
  <c r="R398" i="2" s="1"/>
  <c r="Q726" i="2"/>
  <c r="R726" i="2" s="1"/>
  <c r="Q38" i="2"/>
  <c r="R38" i="2" s="1"/>
  <c r="Q29" i="2"/>
  <c r="R29" i="2" s="1"/>
  <c r="Q16" i="2"/>
  <c r="R16" i="2" s="1"/>
  <c r="Q382" i="2"/>
  <c r="R382" i="2" s="1"/>
  <c r="Q698" i="2"/>
  <c r="R698" i="2" s="1"/>
  <c r="Q975" i="2"/>
  <c r="Q362" i="2"/>
  <c r="Q643" i="2"/>
  <c r="Q409" i="2"/>
  <c r="Q646" i="2"/>
  <c r="Q200" i="2"/>
  <c r="Q332" i="2"/>
  <c r="R332" i="2" s="1"/>
  <c r="Q233" i="2"/>
  <c r="R233" i="2" s="1"/>
  <c r="Q813" i="2"/>
  <c r="Q70" i="2"/>
  <c r="R70" i="2" s="1"/>
  <c r="Q139" i="2"/>
  <c r="R139" i="2" s="1"/>
  <c r="Q291" i="2"/>
  <c r="R291" i="2" s="1"/>
  <c r="Q35" i="2"/>
  <c r="R35" i="2" s="1"/>
  <c r="Q228" i="2"/>
  <c r="R228" i="2" s="1"/>
  <c r="Q133" i="2"/>
  <c r="R133" i="2" s="1"/>
  <c r="Q803" i="2"/>
  <c r="R803" i="2" s="1"/>
  <c r="Q456" i="2"/>
  <c r="Q988" i="2"/>
  <c r="Q359" i="2"/>
  <c r="Q337" i="2"/>
  <c r="Q586" i="2"/>
  <c r="Q624" i="2"/>
  <c r="Q78" i="2"/>
  <c r="Q459" i="2"/>
  <c r="R459" i="2" s="1"/>
  <c r="Q182" i="2"/>
  <c r="R182" i="2" s="1"/>
  <c r="Q417" i="2"/>
  <c r="R417" i="2" s="1"/>
  <c r="Q649" i="2"/>
  <c r="R649" i="2" s="1"/>
  <c r="Q278" i="2"/>
  <c r="R278" i="2" s="1"/>
  <c r="Q904" i="2"/>
  <c r="R904" i="2" s="1"/>
  <c r="Q230" i="2"/>
  <c r="R230" i="2" s="1"/>
  <c r="Q535" i="2"/>
  <c r="R535" i="2" s="1"/>
  <c r="Q840" i="2"/>
  <c r="R840" i="2" s="1"/>
  <c r="Q556" i="2"/>
  <c r="Q113" i="2"/>
  <c r="Q460" i="2"/>
  <c r="Q68" i="2"/>
  <c r="Q754" i="2"/>
  <c r="Q423" i="2"/>
  <c r="Q736" i="2"/>
  <c r="Q20" i="2"/>
  <c r="R20" i="2" s="1"/>
  <c r="Q719" i="2"/>
  <c r="R719" i="2" s="1"/>
  <c r="Q701" i="2"/>
  <c r="R701" i="2" s="1"/>
  <c r="Q977" i="2"/>
  <c r="R977" i="2" s="1"/>
  <c r="Q962" i="2"/>
  <c r="R962" i="2" s="1"/>
  <c r="Q44" i="2"/>
  <c r="R44" i="2" s="1"/>
  <c r="Q807" i="2"/>
  <c r="R807" i="2" s="1"/>
  <c r="Q772" i="2"/>
  <c r="R772" i="2" s="1"/>
  <c r="Q804" i="2"/>
  <c r="R804" i="2" s="1"/>
  <c r="Q945" i="2"/>
  <c r="Q85" i="2"/>
  <c r="Q789" i="2"/>
  <c r="Q369" i="2"/>
  <c r="Q680" i="2"/>
  <c r="Q612" i="2"/>
  <c r="R612" i="2" s="1"/>
  <c r="Q72" i="2"/>
  <c r="Q54" i="2"/>
  <c r="R54" i="2" s="1"/>
  <c r="Q758" i="2"/>
  <c r="R758" i="2" s="1"/>
  <c r="Q298" i="2"/>
  <c r="R298" i="2" s="1"/>
  <c r="Q893" i="2"/>
  <c r="R893" i="2" s="1"/>
  <c r="Q148" i="2"/>
  <c r="R148" i="2" s="1"/>
  <c r="Q408" i="2"/>
  <c r="R408" i="2" s="1"/>
  <c r="Q814" i="2"/>
  <c r="R814" i="2" s="1"/>
  <c r="Q280" i="2"/>
  <c r="R280" i="2" s="1"/>
  <c r="Q617" i="2"/>
  <c r="R617" i="2" s="1"/>
  <c r="Q909" i="2"/>
  <c r="Q599" i="2"/>
  <c r="Q847" i="2"/>
  <c r="Q565" i="2"/>
  <c r="Q502" i="2"/>
  <c r="Q204" i="2"/>
  <c r="R204" i="2" s="1"/>
  <c r="Q711" i="2"/>
  <c r="R711" i="2" s="1"/>
  <c r="Q846" i="2"/>
  <c r="R846" i="2" s="1"/>
  <c r="Q524" i="2"/>
  <c r="R524" i="2" s="1"/>
  <c r="Q297" i="2"/>
  <c r="R297" i="2" s="1"/>
  <c r="Q819" i="2"/>
  <c r="R819" i="2" s="1"/>
  <c r="Q333" i="2"/>
  <c r="R333" i="2" s="1"/>
  <c r="Q706" i="2"/>
  <c r="R706" i="2" s="1"/>
  <c r="Q966" i="2"/>
  <c r="R966" i="2" s="1"/>
  <c r="Q465" i="2"/>
  <c r="R465" i="2" s="1"/>
  <c r="Q251" i="2"/>
  <c r="R251" i="2" s="1"/>
  <c r="Q855" i="2"/>
  <c r="Q514" i="2"/>
  <c r="Q111" i="2"/>
  <c r="Q476" i="2"/>
  <c r="Q135" i="2"/>
  <c r="Q449" i="2"/>
  <c r="R449" i="2" s="1"/>
  <c r="Q55" i="2"/>
  <c r="R55" i="2" s="1"/>
  <c r="Q430" i="2"/>
  <c r="R430" i="2" s="1"/>
  <c r="Q744" i="2"/>
  <c r="R744" i="2" s="1"/>
  <c r="Q608" i="2"/>
  <c r="R608" i="2" s="1"/>
  <c r="Q998" i="2"/>
  <c r="R998" i="2" s="1"/>
  <c r="Q308" i="2"/>
  <c r="R308" i="2" s="1"/>
  <c r="Q15" i="2"/>
  <c r="R15" i="2" s="1"/>
  <c r="Q630" i="2"/>
  <c r="R630" i="2" s="1"/>
  <c r="Q689" i="2"/>
  <c r="R689" i="2" s="1"/>
  <c r="Q152" i="2"/>
  <c r="R152" i="2" s="1"/>
  <c r="Q301" i="2"/>
  <c r="Q629" i="2"/>
  <c r="Q919" i="2"/>
  <c r="Q254" i="2"/>
  <c r="Q553" i="2"/>
  <c r="Q856" i="2"/>
  <c r="R856" i="2" s="1"/>
  <c r="Q515" i="2"/>
  <c r="Q823" i="2"/>
  <c r="R823" i="2" s="1"/>
  <c r="Q824" i="2"/>
  <c r="R824" i="2" s="1"/>
  <c r="Q458" i="2"/>
  <c r="R458" i="2" s="1"/>
  <c r="Q770" i="2"/>
  <c r="R770" i="2" s="1"/>
  <c r="Q440" i="2"/>
  <c r="R440" i="2" s="1"/>
  <c r="Q752" i="2"/>
  <c r="R752" i="2" s="1"/>
  <c r="Q41" i="2"/>
  <c r="R41" i="2" s="1"/>
  <c r="Q421" i="2"/>
  <c r="R421" i="2" s="1"/>
  <c r="Q18" i="2"/>
  <c r="R18" i="2" s="1"/>
  <c r="Q403" i="2"/>
  <c r="Q383" i="2"/>
  <c r="R383" i="2" s="1"/>
  <c r="Q700" i="2"/>
  <c r="Q976" i="2"/>
  <c r="Q364" i="2"/>
  <c r="Q681" i="2"/>
  <c r="R681" i="2" s="1"/>
  <c r="Q342" i="2"/>
  <c r="R342" i="2" s="1"/>
  <c r="Q946" i="2"/>
  <c r="R946" i="2" s="1"/>
  <c r="Q199" i="2"/>
  <c r="R199" i="2" s="1"/>
  <c r="Q567" i="2"/>
  <c r="R567" i="2" s="1"/>
  <c r="Q75" i="2"/>
  <c r="R75" i="2" s="1"/>
  <c r="Q778" i="2"/>
  <c r="R778" i="2" s="1"/>
  <c r="Q488" i="2"/>
  <c r="R488" i="2" s="1"/>
  <c r="Q173" i="2"/>
  <c r="R173" i="2" s="1"/>
  <c r="Q960" i="2"/>
  <c r="R960" i="2" s="1"/>
  <c r="Q450" i="2"/>
  <c r="R450" i="2" s="1"/>
  <c r="Q289" i="2"/>
  <c r="Q365" i="2"/>
  <c r="Q903" i="2"/>
  <c r="Q614" i="2"/>
  <c r="Q935" i="2"/>
  <c r="Q184" i="2"/>
  <c r="R184" i="2" s="1"/>
  <c r="Q780" i="2"/>
  <c r="R780" i="2" s="1"/>
  <c r="Q164" i="2"/>
  <c r="R164" i="2" s="1"/>
  <c r="Q116" i="2"/>
  <c r="R116" i="2" s="1"/>
  <c r="Q554" i="2"/>
  <c r="R554" i="2" s="1"/>
  <c r="Q498" i="2"/>
  <c r="R498" i="2" s="1"/>
  <c r="Q45" i="2"/>
  <c r="R45" i="2" s="1"/>
  <c r="Q405" i="2"/>
  <c r="R405" i="2" s="1"/>
  <c r="Q797" i="2"/>
  <c r="R797" i="2" s="1"/>
  <c r="Q128" i="2"/>
  <c r="R128" i="2" s="1"/>
  <c r="Q489" i="2"/>
  <c r="R489" i="2" s="1"/>
  <c r="Q683" i="2"/>
  <c r="Q427" i="2"/>
  <c r="R427" i="2" s="1"/>
  <c r="Q253" i="2"/>
  <c r="Q30" i="2"/>
  <c r="Q641" i="2"/>
  <c r="Q385" i="2"/>
  <c r="R385" i="2" s="1"/>
  <c r="Q28" i="2"/>
  <c r="R28" i="2" s="1"/>
  <c r="Q891" i="2"/>
  <c r="R891" i="2" s="1"/>
  <c r="Q480" i="2"/>
  <c r="R480" i="2" s="1"/>
  <c r="Q94" i="2"/>
  <c r="R94" i="2" s="1"/>
  <c r="Q444" i="2"/>
  <c r="R444" i="2" s="1"/>
  <c r="Q425" i="2"/>
  <c r="R425" i="2" s="1"/>
  <c r="Q704" i="2"/>
  <c r="R704" i="2" s="1"/>
  <c r="Q610" i="2"/>
  <c r="R610" i="2" s="1"/>
  <c r="Q160" i="2"/>
  <c r="R160" i="2" s="1"/>
  <c r="Q870" i="2"/>
  <c r="R870" i="2" s="1"/>
  <c r="Q673" i="2"/>
  <c r="Q573" i="2"/>
  <c r="R573" i="2" s="1"/>
  <c r="Q209" i="2"/>
  <c r="Q43" i="2"/>
  <c r="Q682" i="2"/>
  <c r="Q102" i="2"/>
  <c r="R102" i="2" s="1"/>
  <c r="Q271" i="2"/>
  <c r="R271" i="2" s="1"/>
  <c r="Q631" i="2"/>
  <c r="R631" i="2" s="1"/>
  <c r="Q208" i="2"/>
  <c r="R208" i="2" s="1"/>
  <c r="Q738" i="2"/>
  <c r="R738" i="2" s="1"/>
  <c r="Q386" i="2"/>
  <c r="R386" i="2" s="1"/>
  <c r="Q509" i="2"/>
  <c r="R509" i="2" s="1"/>
  <c r="Q667" i="2"/>
  <c r="R667" i="2" s="1"/>
  <c r="Q234" i="2"/>
  <c r="R234" i="2" s="1"/>
  <c r="Q566" i="2"/>
  <c r="R566" i="2" s="1"/>
  <c r="Q11" i="2"/>
  <c r="R11" i="2" s="1"/>
  <c r="Q179" i="2"/>
  <c r="Q268" i="2"/>
  <c r="Q4" i="2"/>
  <c r="Q392" i="2"/>
  <c r="Q983" i="2"/>
  <c r="Q350" i="2"/>
  <c r="R350" i="2" s="1"/>
  <c r="Q670" i="2"/>
  <c r="R670" i="2" s="1"/>
  <c r="Q952" i="2"/>
  <c r="R952" i="2" s="1"/>
  <c r="Q303" i="2"/>
  <c r="R303" i="2" s="1"/>
  <c r="Q921" i="2"/>
  <c r="R921" i="2" s="1"/>
  <c r="Q257" i="2"/>
  <c r="R257" i="2" s="1"/>
  <c r="Q890" i="2"/>
  <c r="R890" i="2" s="1"/>
  <c r="Q907" i="2"/>
  <c r="R907" i="2" s="1"/>
  <c r="Q282" i="2"/>
  <c r="R282" i="2" s="1"/>
  <c r="Q615" i="2"/>
  <c r="R615" i="2" s="1"/>
  <c r="Q186" i="2"/>
  <c r="R186" i="2" s="1"/>
  <c r="Q537" i="2"/>
  <c r="Q842" i="2"/>
  <c r="R842" i="2" s="1"/>
  <c r="Q519" i="2"/>
  <c r="Q500" i="2"/>
  <c r="Q482" i="2"/>
  <c r="Q792" i="2"/>
  <c r="R792" i="2" s="1"/>
  <c r="Q95" i="2"/>
  <c r="R95" i="2" s="1"/>
  <c r="Q463" i="2"/>
  <c r="R463" i="2" s="1"/>
  <c r="Q775" i="2"/>
  <c r="R775" i="2" s="1"/>
  <c r="Q73" i="2"/>
  <c r="R73" i="2" s="1"/>
  <c r="Q757" i="2"/>
  <c r="R757" i="2" s="1"/>
  <c r="Q49" i="2"/>
  <c r="R49" i="2" s="1"/>
  <c r="Q426" i="2"/>
  <c r="R426" i="2" s="1"/>
  <c r="Q740" i="2"/>
  <c r="R740" i="2" s="1"/>
  <c r="Q174" i="2"/>
  <c r="R174" i="2" s="1"/>
  <c r="Q850" i="2"/>
  <c r="R850" i="2" s="1"/>
  <c r="Q50" i="2"/>
  <c r="Q468" i="2"/>
  <c r="R468" i="2" s="1"/>
  <c r="Q149" i="2"/>
  <c r="Q832" i="2"/>
  <c r="Q402" i="2"/>
  <c r="R402" i="2" s="1"/>
  <c r="Q318" i="2"/>
  <c r="R318" i="2" s="1"/>
  <c r="Q325" i="2"/>
  <c r="R325" i="2" s="1"/>
  <c r="Q992" i="2"/>
  <c r="R992" i="2" s="1"/>
  <c r="Q443" i="2"/>
  <c r="R443" i="2" s="1"/>
  <c r="Q854" i="2"/>
  <c r="R854" i="2" s="1"/>
  <c r="Q657" i="2"/>
  <c r="R657" i="2" s="1"/>
  <c r="Q781" i="2"/>
  <c r="R781" i="2" s="1"/>
  <c r="Q951" i="2"/>
  <c r="R951" i="2" s="1"/>
  <c r="Q889" i="2"/>
  <c r="R889" i="2" s="1"/>
  <c r="Q547" i="2"/>
  <c r="R547" i="2" s="1"/>
  <c r="Q411" i="2"/>
  <c r="R411" i="2" s="1"/>
  <c r="Q304" i="2"/>
  <c r="Q395" i="2"/>
  <c r="R395" i="2" s="1"/>
  <c r="Q806" i="2"/>
  <c r="Q252" i="2"/>
  <c r="Q31" i="2"/>
  <c r="R31" i="2" s="1"/>
  <c r="Q937" i="2"/>
  <c r="R937" i="2" s="1"/>
  <c r="Q281" i="2"/>
  <c r="R281" i="2" s="1"/>
  <c r="Q187" i="2"/>
  <c r="Q538" i="2"/>
  <c r="R538" i="2" s="1"/>
  <c r="Q501" i="2"/>
  <c r="R501" i="2" s="1"/>
  <c r="Q74" i="2"/>
  <c r="R74" i="2" s="1"/>
  <c r="Q277" i="2"/>
  <c r="R277" i="2" s="1"/>
  <c r="Q930" i="2"/>
  <c r="R930" i="2" s="1"/>
  <c r="Q358" i="2"/>
  <c r="R358" i="2" s="1"/>
  <c r="Q348" i="2"/>
  <c r="R348" i="2" s="1"/>
  <c r="Q858" i="2"/>
  <c r="R858" i="2" s="1"/>
  <c r="Q645" i="2"/>
  <c r="Q699" i="2"/>
  <c r="R699" i="2" s="1"/>
  <c r="Q401" i="2"/>
  <c r="Q370" i="2"/>
  <c r="Q93" i="2"/>
  <c r="R93" i="2" s="1"/>
  <c r="Q21" i="2"/>
  <c r="R21" i="2" s="1"/>
  <c r="Q151" i="2"/>
  <c r="R151" i="2" s="1"/>
  <c r="Q763" i="2"/>
  <c r="R763" i="2" s="1"/>
  <c r="Q127" i="2"/>
  <c r="R127" i="2" s="1"/>
  <c r="Q822" i="2"/>
  <c r="R822" i="2" s="1"/>
  <c r="Q201" i="2"/>
  <c r="R201" i="2" s="1"/>
  <c r="Q818" i="2"/>
  <c r="R818" i="2" s="1"/>
  <c r="Q635" i="2"/>
  <c r="R635" i="2" s="1"/>
  <c r="Q379" i="2"/>
  <c r="R379" i="2" s="1"/>
  <c r="Q394" i="2"/>
  <c r="R394" i="2" s="1"/>
  <c r="Q671" i="2"/>
  <c r="R671" i="2" s="1"/>
  <c r="Q576" i="2"/>
  <c r="Q540" i="2"/>
  <c r="R540" i="2" s="1"/>
  <c r="Q828" i="2"/>
  <c r="Q779" i="2"/>
  <c r="Q390" i="2"/>
  <c r="Q229" i="2"/>
  <c r="R229" i="2" s="1"/>
  <c r="Q439" i="2"/>
  <c r="R439" i="2" s="1"/>
  <c r="Q938" i="2"/>
  <c r="R938" i="2" s="1"/>
  <c r="Q504" i="2"/>
  <c r="R504" i="2" s="1"/>
  <c r="Q705" i="2"/>
  <c r="Q220" i="2"/>
  <c r="R220" i="2" s="1"/>
  <c r="Q414" i="2"/>
  <c r="R414" i="2" s="1"/>
  <c r="Q260" i="2"/>
  <c r="R260" i="2" s="1"/>
  <c r="Q588" i="2"/>
  <c r="R588" i="2" s="1"/>
  <c r="Q161" i="2"/>
  <c r="R161" i="2" s="1"/>
  <c r="Q58" i="2"/>
  <c r="R58" i="2" s="1"/>
  <c r="Q954" i="2"/>
  <c r="Q239" i="2"/>
  <c r="Q26" i="2"/>
  <c r="Q170" i="2"/>
  <c r="Q183" i="2"/>
  <c r="Q40" i="2"/>
  <c r="Q340" i="2"/>
  <c r="Q363" i="2"/>
  <c r="R363" i="2" s="1"/>
  <c r="Q585" i="2"/>
  <c r="R585" i="2" s="1"/>
  <c r="Q885" i="2"/>
  <c r="R885" i="2" s="1"/>
  <c r="Q782" i="2"/>
  <c r="R782" i="2" s="1"/>
  <c r="Q396" i="2"/>
  <c r="R396" i="2" s="1"/>
  <c r="Q283" i="2"/>
  <c r="R283" i="2" s="1"/>
  <c r="Q597" i="2"/>
  <c r="R597" i="2" s="1"/>
  <c r="Q560" i="2"/>
  <c r="R560" i="2" s="1"/>
  <c r="Q505" i="2"/>
  <c r="R505" i="2" s="1"/>
  <c r="Q741" i="2"/>
  <c r="Q130" i="2"/>
  <c r="Q217" i="2"/>
  <c r="Q805" i="2"/>
  <c r="Q884" i="2"/>
  <c r="Q224" i="2"/>
  <c r="R224" i="2" s="1"/>
  <c r="Q518" i="2"/>
  <c r="Q373" i="2"/>
  <c r="R373" i="2" s="1"/>
  <c r="Q596" i="2"/>
  <c r="R596" i="2" s="1"/>
  <c r="Q861" i="2"/>
  <c r="R861" i="2" s="1"/>
  <c r="Q664" i="2"/>
  <c r="R664" i="2" s="1"/>
  <c r="Q603" i="2"/>
  <c r="R603" i="2" s="1"/>
  <c r="Q231" i="2"/>
  <c r="R231" i="2" s="1"/>
  <c r="Q105" i="2"/>
  <c r="R105" i="2" s="1"/>
  <c r="Q747" i="2"/>
  <c r="R747" i="2" s="1"/>
  <c r="Q261" i="2"/>
  <c r="R261" i="2" s="1"/>
  <c r="Q878" i="2"/>
  <c r="Q192" i="2"/>
  <c r="R192" i="2" s="1"/>
  <c r="Q830" i="2"/>
  <c r="Q607" i="2"/>
  <c r="Q587" i="2"/>
  <c r="Q143" i="2"/>
  <c r="Q213" i="2"/>
  <c r="R213" i="2" s="1"/>
  <c r="Q188" i="2"/>
  <c r="R188" i="2" s="1"/>
  <c r="Q492" i="2"/>
  <c r="R492" i="2" s="1"/>
  <c r="Q453" i="2"/>
  <c r="R453" i="2" s="1"/>
  <c r="Q730" i="2"/>
  <c r="R730" i="2" s="1"/>
  <c r="Q732" i="2"/>
  <c r="R732" i="2" s="1"/>
  <c r="Q924" i="2"/>
  <c r="R924" i="2" s="1"/>
  <c r="Q894" i="2"/>
  <c r="R894" i="2" s="1"/>
  <c r="Q580" i="2"/>
  <c r="R580" i="2" s="1"/>
  <c r="Q863" i="2"/>
  <c r="R863" i="2" s="1"/>
  <c r="Q543" i="2"/>
  <c r="Q171" i="2"/>
  <c r="Q606" i="2"/>
  <c r="Q917" i="2"/>
  <c r="Q310" i="2"/>
  <c r="Q125" i="2"/>
  <c r="R125" i="2" s="1"/>
  <c r="Q194" i="2"/>
  <c r="R194" i="2" s="1"/>
  <c r="Q172" i="2"/>
  <c r="R172" i="2" s="1"/>
  <c r="Q154" i="2"/>
  <c r="R154" i="2" s="1"/>
  <c r="Q107" i="2"/>
  <c r="R107" i="2" s="1"/>
  <c r="Q59" i="2"/>
  <c r="R59" i="2" s="1"/>
  <c r="Q748" i="2"/>
  <c r="R748" i="2" s="1"/>
  <c r="Q986" i="2"/>
  <c r="R986" i="2" s="1"/>
  <c r="Q940" i="2"/>
  <c r="R940" i="2" s="1"/>
  <c r="Q311" i="2"/>
  <c r="R311" i="2" s="1"/>
  <c r="Q637" i="2"/>
  <c r="R637" i="2" s="1"/>
  <c r="Q287" i="2"/>
  <c r="Q600" i="2"/>
  <c r="R600" i="2" s="1"/>
  <c r="Q241" i="2"/>
  <c r="Q581" i="2"/>
  <c r="Q880" i="2"/>
  <c r="Q563" i="2"/>
  <c r="R563" i="2" s="1"/>
  <c r="Q196" i="2"/>
  <c r="R196" i="2" s="1"/>
  <c r="Q487" i="2"/>
  <c r="R487" i="2" s="1"/>
  <c r="Q491" i="2"/>
  <c r="R491" i="2" s="1"/>
  <c r="Q81" i="2"/>
  <c r="R81" i="2" s="1"/>
  <c r="Q1000" i="2"/>
  <c r="R1000" i="2" s="1"/>
  <c r="Q852" i="2"/>
  <c r="R852" i="2" s="1"/>
  <c r="Q561" i="2"/>
  <c r="R561" i="2" s="1"/>
  <c r="Q7" i="2"/>
  <c r="R7" i="2" s="1"/>
  <c r="Q908" i="2"/>
  <c r="R908" i="2" s="1"/>
  <c r="Q579" i="2"/>
  <c r="R579" i="2" s="1"/>
  <c r="Q862" i="2"/>
  <c r="Q169" i="2"/>
  <c r="Q448" i="2"/>
  <c r="Q274" i="2"/>
  <c r="Q869" i="2"/>
  <c r="Q36" i="2"/>
  <c r="R36" i="2" s="1"/>
  <c r="Q486" i="2"/>
  <c r="R486" i="2" s="1"/>
  <c r="Q545" i="2"/>
  <c r="R545" i="2" s="1"/>
  <c r="Q99" i="2"/>
  <c r="R99" i="2" s="1"/>
  <c r="Q510" i="2"/>
  <c r="R510" i="2" s="1"/>
  <c r="Q82" i="2"/>
  <c r="R82" i="2" s="1"/>
  <c r="Q34" i="2"/>
  <c r="R34" i="2" s="1"/>
  <c r="Q415" i="2"/>
  <c r="R415" i="2" s="1"/>
  <c r="Q375" i="2"/>
  <c r="R375" i="2" s="1"/>
  <c r="Q636" i="2"/>
  <c r="R636" i="2" s="1"/>
  <c r="Q285" i="2"/>
  <c r="R285" i="2" s="1"/>
  <c r="Q263" i="2"/>
  <c r="Q240" i="2"/>
  <c r="R240" i="2" s="1"/>
  <c r="Q562" i="2"/>
  <c r="Q525" i="2"/>
  <c r="Q964" i="2"/>
  <c r="R964" i="2" s="1"/>
  <c r="Q883" i="2"/>
  <c r="Q627" i="2"/>
  <c r="Q886" i="2"/>
  <c r="Q571" i="2"/>
  <c r="R571" i="2" s="1"/>
  <c r="Q292" i="2"/>
  <c r="R292" i="2" s="1"/>
  <c r="Q106" i="2"/>
  <c r="R106" i="2" s="1"/>
  <c r="Q710" i="2"/>
  <c r="R710" i="2" s="1"/>
  <c r="Q176" i="2"/>
  <c r="R176" i="2" s="1"/>
  <c r="Q769" i="2"/>
  <c r="R769" i="2" s="1"/>
  <c r="Q549" i="2"/>
  <c r="R549" i="2" s="1"/>
  <c r="Q493" i="2"/>
  <c r="R493" i="2" s="1"/>
  <c r="Q37" i="2"/>
  <c r="Q841" i="2"/>
  <c r="R841" i="2" s="1"/>
  <c r="Q956" i="2"/>
  <c r="Q866" i="2"/>
  <c r="Q92" i="2"/>
  <c r="Q717" i="2"/>
  <c r="R717" i="2" s="1"/>
  <c r="Q9" i="2"/>
  <c r="R9" i="2" s="1"/>
  <c r="Q248" i="2"/>
  <c r="R248" i="2" s="1"/>
  <c r="Q490" i="2"/>
  <c r="R490" i="2" s="1"/>
  <c r="Q434" i="2"/>
  <c r="R434" i="2" s="1"/>
  <c r="Q987" i="2"/>
  <c r="R987" i="2" s="1"/>
  <c r="Q542" i="2"/>
  <c r="R542" i="2" s="1"/>
  <c r="Q901" i="2"/>
  <c r="R901" i="2" s="1"/>
  <c r="Q328" i="2"/>
  <c r="R328" i="2" s="1"/>
  <c r="Q742" i="2"/>
  <c r="R742" i="2" s="1"/>
  <c r="Q801" i="2"/>
  <c r="R801" i="2" s="1"/>
  <c r="Q355" i="2"/>
  <c r="Q800" i="2"/>
  <c r="R800" i="2" s="1"/>
  <c r="Q765" i="2"/>
  <c r="Q1001" i="2"/>
  <c r="Q692" i="2"/>
  <c r="R692" i="2" s="1"/>
  <c r="Q10" i="2"/>
  <c r="R10" i="2" s="1"/>
  <c r="Q309" i="2"/>
  <c r="R309" i="2" s="1"/>
  <c r="Q879" i="2"/>
  <c r="R879" i="2" s="1"/>
  <c r="Q193" i="2"/>
  <c r="R193" i="2" s="1"/>
  <c r="Q831" i="2"/>
  <c r="R831" i="2" s="1"/>
  <c r="Q347" i="2"/>
  <c r="R347" i="2" s="1"/>
  <c r="Q949" i="2"/>
  <c r="R949" i="2" s="1"/>
  <c r="Q934" i="2"/>
  <c r="R934" i="2" s="1"/>
  <c r="Q377" i="2"/>
  <c r="R377" i="2" s="1"/>
  <c r="Q88" i="2"/>
  <c r="R88" i="2" s="1"/>
  <c r="Q694" i="2"/>
  <c r="R694" i="2" s="1"/>
  <c r="Q158" i="2"/>
  <c r="Q225" i="2"/>
  <c r="R225" i="2" s="1"/>
  <c r="Q51" i="2"/>
  <c r="Q226" i="2"/>
  <c r="Q203" i="2"/>
  <c r="Q551" i="2"/>
  <c r="R551" i="2" s="1"/>
  <c r="Q512" i="2"/>
  <c r="R512" i="2" s="1"/>
  <c r="Q820" i="2"/>
  <c r="R820" i="2" s="1"/>
  <c r="Q110" i="2"/>
  <c r="R110" i="2" s="1"/>
  <c r="Q474" i="2"/>
  <c r="R474" i="2" s="1"/>
  <c r="Q784" i="2"/>
  <c r="R784" i="2" s="1"/>
  <c r="Q436" i="2"/>
  <c r="R436" i="2" s="1"/>
  <c r="Q749" i="2"/>
  <c r="R749" i="2" s="1"/>
  <c r="Q87" i="2"/>
  <c r="R87" i="2" s="1"/>
  <c r="Q457" i="2"/>
  <c r="R457" i="2" s="1"/>
  <c r="Q955" i="2"/>
  <c r="R955" i="2" s="1"/>
  <c r="Q695" i="2"/>
  <c r="Q972" i="2"/>
  <c r="R972" i="2" s="1"/>
  <c r="Q357" i="2"/>
  <c r="Q676" i="2"/>
  <c r="Q957" i="2"/>
  <c r="Q942" i="2"/>
  <c r="Q313" i="2"/>
  <c r="R313" i="2" s="1"/>
  <c r="Q639" i="2"/>
  <c r="R639" i="2" s="1"/>
  <c r="Q927" i="2"/>
  <c r="R927" i="2" s="1"/>
  <c r="Q290" i="2"/>
  <c r="R290" i="2" s="1"/>
  <c r="Q621" i="2"/>
  <c r="R621" i="2" s="1"/>
  <c r="Q912" i="2"/>
  <c r="R912" i="2" s="1"/>
  <c r="Q266" i="2"/>
  <c r="R266" i="2" s="1"/>
  <c r="Q602" i="2"/>
  <c r="R602" i="2" s="1"/>
  <c r="Q897" i="2"/>
  <c r="R897" i="2" s="1"/>
  <c r="Q584" i="2"/>
  <c r="R584" i="2" s="1"/>
  <c r="Q882" i="2"/>
  <c r="Q429" i="2"/>
  <c r="R429" i="2" s="1"/>
  <c r="Q100" i="2"/>
  <c r="Q796" i="2"/>
  <c r="Q508" i="2"/>
  <c r="R508" i="2" s="1"/>
  <c r="Q273" i="2"/>
  <c r="R273" i="2" s="1"/>
  <c r="Q155" i="2"/>
  <c r="R155" i="2" s="1"/>
  <c r="Q995" i="2"/>
  <c r="R995" i="2" s="1"/>
  <c r="Q368" i="2"/>
  <c r="R368" i="2" s="1"/>
  <c r="Q686" i="2"/>
  <c r="R686" i="2" s="1"/>
  <c r="Q965" i="2"/>
  <c r="R965" i="2" s="1"/>
  <c r="Q950" i="2"/>
  <c r="R950" i="2" s="1"/>
  <c r="Q523" i="2"/>
  <c r="R523" i="2" s="1"/>
  <c r="Q255" i="2"/>
  <c r="R255" i="2" s="1"/>
  <c r="Q678" i="2"/>
  <c r="R678" i="2" s="1"/>
  <c r="Q422" i="2"/>
  <c r="R422" i="2" s="1"/>
  <c r="Q737" i="2"/>
  <c r="Q481" i="2"/>
  <c r="R481" i="2" s="1"/>
  <c r="Q207" i="2"/>
  <c r="R207" i="2" s="1"/>
  <c r="Q124" i="2"/>
  <c r="R124" i="2" s="1"/>
  <c r="Q250" i="2"/>
  <c r="R250" i="2" s="1"/>
  <c r="Q589" i="2"/>
  <c r="R589" i="2" s="1"/>
  <c r="Q570" i="2"/>
  <c r="R570" i="2" s="1"/>
  <c r="Q871" i="2"/>
  <c r="R871" i="2" s="1"/>
  <c r="Q181" i="2"/>
  <c r="R181" i="2" s="1"/>
  <c r="Q532" i="2"/>
  <c r="R532" i="2" s="1"/>
  <c r="Q837" i="2"/>
  <c r="R837" i="2" s="1"/>
  <c r="Q86" i="2"/>
  <c r="R86" i="2" s="1"/>
  <c r="Q767" i="2"/>
  <c r="R767" i="2" s="1"/>
  <c r="Q768" i="2"/>
  <c r="R768" i="2" s="1"/>
  <c r="Q112" i="2"/>
  <c r="R112" i="2" s="1"/>
  <c r="Q477" i="2"/>
  <c r="R477" i="2" s="1"/>
  <c r="Q13" i="2"/>
  <c r="Q399" i="2"/>
  <c r="R399" i="2" s="1"/>
  <c r="Q380" i="2"/>
  <c r="Q696" i="2"/>
  <c r="R696" i="2" s="1"/>
  <c r="Q973" i="2"/>
  <c r="R973" i="2" s="1"/>
  <c r="Q958" i="2"/>
  <c r="R958" i="2" s="1"/>
  <c r="Q659" i="2"/>
  <c r="R659" i="2" s="1"/>
  <c r="Q943" i="2"/>
  <c r="R943" i="2" s="1"/>
  <c r="Q314" i="2"/>
  <c r="R314" i="2" s="1"/>
  <c r="Q640" i="2"/>
  <c r="R640" i="2" s="1"/>
  <c r="Q928" i="2"/>
  <c r="R928" i="2" s="1"/>
  <c r="Q293" i="2"/>
  <c r="R293" i="2" s="1"/>
  <c r="Q622" i="2"/>
  <c r="R622" i="2" s="1"/>
  <c r="Q913" i="2"/>
  <c r="R913" i="2" s="1"/>
  <c r="Q269" i="2"/>
  <c r="R269" i="2" s="1"/>
  <c r="Q604" i="2"/>
  <c r="R604" i="2" s="1"/>
  <c r="Q898" i="2"/>
  <c r="Q703" i="2"/>
  <c r="R703" i="2" s="1"/>
  <c r="Q25" i="2"/>
  <c r="Q295" i="2"/>
  <c r="Q931" i="2"/>
  <c r="R931" i="2" s="1"/>
  <c r="Q665" i="2"/>
  <c r="Q666" i="2"/>
  <c r="R666" i="2" s="1"/>
  <c r="Q539" i="2"/>
  <c r="R539" i="2" s="1"/>
  <c r="Q569" i="2"/>
  <c r="R569" i="2" s="1"/>
  <c r="Q1002" i="2"/>
  <c r="R1002" i="2" s="1"/>
  <c r="Q389" i="2"/>
  <c r="R389" i="2" s="1"/>
  <c r="Q981" i="2"/>
  <c r="R981" i="2" s="1"/>
  <c r="Q507" i="2"/>
  <c r="R507" i="2" s="1"/>
  <c r="Q237" i="2"/>
  <c r="R237" i="2" s="1"/>
  <c r="Q344" i="2"/>
  <c r="R344" i="2" s="1"/>
  <c r="Q52" i="2"/>
  <c r="R52" i="2" s="1"/>
  <c r="Q662" i="2"/>
  <c r="Q406" i="2"/>
  <c r="R406" i="2" s="1"/>
  <c r="Q121" i="2"/>
  <c r="Q721" i="2"/>
  <c r="Q189" i="2"/>
  <c r="R189" i="2" s="1"/>
  <c r="Q275" i="2"/>
  <c r="Q19" i="2"/>
  <c r="Q108" i="2"/>
  <c r="R108" i="2" s="1"/>
  <c r="Q276" i="2"/>
  <c r="R276" i="2" s="1"/>
  <c r="Q628" i="2"/>
  <c r="R628" i="2" s="1"/>
  <c r="Q590" i="2"/>
  <c r="R590" i="2" s="1"/>
  <c r="Q887" i="2"/>
  <c r="R887" i="2" s="1"/>
  <c r="Q205" i="2"/>
  <c r="R205" i="2" s="1"/>
  <c r="Q552" i="2"/>
  <c r="R552" i="2" s="1"/>
  <c r="Q157" i="2"/>
  <c r="R157" i="2" s="1"/>
  <c r="Q821" i="2"/>
  <c r="R821" i="2" s="1"/>
  <c r="Q786" i="2"/>
  <c r="Q787" i="2"/>
  <c r="R787" i="2" s="1"/>
  <c r="Q136" i="2"/>
  <c r="Q496" i="2"/>
  <c r="R496" i="2" s="1"/>
  <c r="Q39" i="2"/>
  <c r="R39" i="2" s="1"/>
  <c r="Q419" i="2"/>
  <c r="R419" i="2" s="1"/>
  <c r="Q733" i="2"/>
  <c r="Q14" i="2"/>
  <c r="R14" i="2" s="1"/>
  <c r="Q400" i="2"/>
  <c r="R400" i="2" s="1"/>
  <c r="Q716" i="2"/>
  <c r="R716" i="2" s="1"/>
  <c r="Q989" i="2"/>
  <c r="R989" i="2" s="1"/>
  <c r="Q381" i="2"/>
  <c r="R381" i="2" s="1"/>
  <c r="Q697" i="2"/>
  <c r="R697" i="2" s="1"/>
  <c r="Q974" i="2"/>
  <c r="R974" i="2" s="1"/>
  <c r="Q360" i="2"/>
  <c r="R360" i="2" s="1"/>
  <c r="Q679" i="2"/>
  <c r="R679" i="2" s="1"/>
  <c r="Q959" i="2"/>
  <c r="Q338" i="2"/>
  <c r="R338" i="2" s="1"/>
  <c r="Q660" i="2"/>
  <c r="R660" i="2" s="1"/>
  <c r="Q944" i="2"/>
  <c r="Q315" i="2"/>
  <c r="R315" i="2" s="1"/>
  <c r="Q642" i="2"/>
  <c r="R642" i="2" s="1"/>
  <c r="Q929" i="2"/>
  <c r="R929" i="2" s="1"/>
  <c r="Q294" i="2"/>
  <c r="R294" i="2" s="1"/>
  <c r="Q623" i="2"/>
  <c r="R623" i="2" s="1"/>
  <c r="Q914" i="2"/>
  <c r="R914" i="2" s="1"/>
  <c r="Q849" i="2"/>
  <c r="R849" i="2" s="1"/>
  <c r="Q743" i="2"/>
  <c r="R743" i="2" s="1"/>
  <c r="Q467" i="2"/>
  <c r="R467" i="2" s="1"/>
  <c r="Q126" i="2"/>
  <c r="R126" i="2" s="1"/>
  <c r="Q433" i="2"/>
  <c r="R433" i="2" s="1"/>
  <c r="Q324" i="2"/>
  <c r="R324" i="2" s="1"/>
  <c r="Q591" i="2"/>
  <c r="Q718" i="2"/>
  <c r="R718" i="2" s="1"/>
  <c r="Q961" i="2"/>
  <c r="Q663" i="2"/>
  <c r="Q668" i="2"/>
  <c r="R668" i="2" s="1"/>
  <c r="Q206" i="2"/>
  <c r="R206" i="2" s="1"/>
  <c r="Q159" i="2"/>
  <c r="R159" i="2" s="1"/>
  <c r="Q185" i="2"/>
  <c r="R185" i="2" s="1"/>
  <c r="Q316" i="2"/>
  <c r="R316" i="2" s="1"/>
  <c r="Q873" i="2"/>
  <c r="R873" i="2" s="1"/>
  <c r="Q478" i="2"/>
  <c r="R478" i="2" s="1"/>
  <c r="Q788" i="2"/>
  <c r="R788" i="2" s="1"/>
  <c r="Q91" i="2"/>
  <c r="R91" i="2" s="1"/>
  <c r="Q771" i="2"/>
  <c r="R771" i="2" s="1"/>
  <c r="Q404" i="2"/>
  <c r="R404" i="2" s="1"/>
  <c r="Q384" i="2"/>
  <c r="R384" i="2" s="1"/>
  <c r="Q388" i="2"/>
  <c r="Q724" i="2"/>
  <c r="R724" i="2" s="1"/>
  <c r="Q270" i="2"/>
  <c r="Q915" i="2"/>
  <c r="Q366" i="2"/>
  <c r="R366" i="2" s="1"/>
  <c r="Q65" i="2"/>
  <c r="R65" i="2" s="1"/>
  <c r="Q707" i="2"/>
  <c r="R707" i="2" s="1"/>
  <c r="Q66" i="2"/>
  <c r="R66" i="2" s="1"/>
  <c r="Q60" i="2"/>
  <c r="R60" i="2" s="1"/>
  <c r="Q687" i="2"/>
  <c r="R687" i="2" s="1"/>
  <c r="Q611" i="2"/>
  <c r="R611" i="2" s="1"/>
  <c r="Q341" i="2"/>
  <c r="R341" i="2" s="1"/>
  <c r="Q48" i="2"/>
  <c r="R48" i="2" s="1"/>
  <c r="Q211" i="2"/>
  <c r="R211" i="2" s="1"/>
  <c r="Q669" i="2"/>
  <c r="R669" i="2" s="1"/>
  <c r="Q920" i="2"/>
  <c r="R920" i="2" s="1"/>
  <c r="Q592" i="2"/>
  <c r="Q875" i="2"/>
  <c r="R875" i="2" s="1"/>
  <c r="Q575" i="2"/>
  <c r="R575" i="2" s="1"/>
  <c r="Q114" i="2"/>
  <c r="Q461" i="2"/>
  <c r="R461" i="2" s="1"/>
  <c r="Q442" i="2"/>
  <c r="R442" i="2" s="1"/>
  <c r="Q993" i="2"/>
  <c r="R993" i="2" s="1"/>
  <c r="Q702" i="2"/>
  <c r="R702" i="2" s="1"/>
  <c r="Q101" i="2"/>
  <c r="R101" i="2" s="1"/>
  <c r="Q526" i="2"/>
  <c r="R526" i="2" s="1"/>
  <c r="Q888" i="2"/>
  <c r="R888" i="2" s="1"/>
  <c r="Q89" i="2"/>
  <c r="R89" i="2" s="1"/>
  <c r="Q762" i="2"/>
  <c r="R762" i="2" s="1"/>
  <c r="Q715" i="2"/>
  <c r="R715" i="2" s="1"/>
  <c r="Q469" i="2"/>
  <c r="R469" i="2" s="1"/>
  <c r="Q727" i="2"/>
  <c r="R727" i="2" s="1"/>
  <c r="Q256" i="2"/>
  <c r="Q857" i="2"/>
  <c r="R857" i="2" s="1"/>
  <c r="Q137" i="2"/>
  <c r="Q479" i="2"/>
  <c r="R479" i="2" s="1"/>
  <c r="Q69" i="2"/>
  <c r="R69" i="2" s="1"/>
  <c r="Q424" i="2"/>
  <c r="R424" i="2" s="1"/>
  <c r="Q720" i="2"/>
  <c r="R720" i="2" s="1"/>
  <c r="Q978" i="2"/>
  <c r="R978" i="2" s="1"/>
  <c r="Q867" i="2"/>
  <c r="R867" i="2" s="1"/>
  <c r="Q447" i="2"/>
  <c r="R447" i="2" s="1"/>
  <c r="Q798" i="2"/>
  <c r="R798" i="2" s="1"/>
  <c r="Q745" i="2"/>
  <c r="R745" i="2" s="1"/>
  <c r="Q145" i="2"/>
  <c r="R145" i="2" s="1"/>
  <c r="Q838" i="2"/>
  <c r="R838" i="2" s="1"/>
  <c r="Q582" i="2"/>
  <c r="R582" i="2" s="1"/>
  <c r="Q97" i="2"/>
  <c r="R97" i="2" s="1"/>
  <c r="Q195" i="2"/>
  <c r="Q284" i="2"/>
  <c r="R284" i="2" s="1"/>
  <c r="Q391" i="2"/>
  <c r="Q902" i="2"/>
  <c r="R902" i="2" s="1"/>
  <c r="Q371" i="2"/>
  <c r="R371" i="2" s="1"/>
  <c r="Q688" i="2"/>
  <c r="R688" i="2" s="1"/>
  <c r="Q967" i="2"/>
  <c r="R967" i="2" s="1"/>
  <c r="Q327" i="2"/>
  <c r="R327" i="2" s="1"/>
  <c r="Q650" i="2"/>
  <c r="R650" i="2" s="1"/>
  <c r="Q936" i="2"/>
  <c r="R936" i="2" s="1"/>
  <c r="Q279" i="2"/>
  <c r="R279" i="2" s="1"/>
  <c r="Q905" i="2"/>
  <c r="R905" i="2" s="1"/>
  <c r="Q232" i="2"/>
  <c r="R232" i="2" s="1"/>
  <c r="Q574" i="2"/>
  <c r="R574" i="2" s="1"/>
  <c r="Q874" i="2"/>
  <c r="R874" i="2" s="1"/>
  <c r="Q258" i="2"/>
  <c r="R258" i="2" s="1"/>
  <c r="Q595" i="2"/>
  <c r="Q162" i="2"/>
  <c r="R162" i="2" s="1"/>
  <c r="Q517" i="2"/>
  <c r="R517" i="2" s="1"/>
  <c r="Q825" i="2"/>
  <c r="R825" i="2" s="1"/>
  <c r="Q138" i="2"/>
  <c r="R138" i="2" s="1"/>
  <c r="Q808" i="2"/>
  <c r="R808" i="2" s="1"/>
  <c r="Q117" i="2"/>
  <c r="R117" i="2" s="1"/>
  <c r="Q791" i="2"/>
  <c r="R791" i="2" s="1"/>
  <c r="Q462" i="2"/>
  <c r="R462" i="2" s="1"/>
  <c r="Q773" i="2"/>
  <c r="R773" i="2" s="1"/>
  <c r="Q71" i="2"/>
  <c r="R71" i="2" s="1"/>
  <c r="Q756" i="2"/>
  <c r="R756" i="2" s="1"/>
  <c r="Q47" i="2"/>
  <c r="R47" i="2" s="1"/>
  <c r="Q739" i="2"/>
  <c r="R739" i="2" s="1"/>
  <c r="Q22" i="2"/>
  <c r="R22" i="2" s="1"/>
  <c r="Q407" i="2"/>
  <c r="R407" i="2" s="1"/>
  <c r="Q722" i="2"/>
  <c r="Q994" i="2"/>
  <c r="R994" i="2" s="1"/>
  <c r="Q996" i="2"/>
  <c r="R996" i="2" s="1"/>
  <c r="Q605" i="2"/>
  <c r="R605" i="2" s="1"/>
  <c r="Q296" i="2"/>
  <c r="R296" i="2" s="1"/>
  <c r="Q932" i="2"/>
  <c r="R932" i="2" s="1"/>
  <c r="Q684" i="2"/>
  <c r="R684" i="2" s="1"/>
  <c r="Q79" i="2"/>
  <c r="R79" i="2" s="1"/>
  <c r="Q12" i="2"/>
  <c r="R12" i="2" s="1"/>
  <c r="Q826" i="2"/>
  <c r="R826" i="2" s="1"/>
  <c r="Q118" i="2"/>
  <c r="R118" i="2" s="1"/>
  <c r="Q412" i="2"/>
  <c r="R412" i="2" s="1"/>
  <c r="Q708" i="2"/>
  <c r="R708" i="2" s="1"/>
  <c r="Q175" i="2"/>
  <c r="R175" i="2" s="1"/>
  <c r="Q528" i="2"/>
  <c r="R528" i="2" s="1"/>
  <c r="Q834" i="2"/>
  <c r="R834" i="2" s="1"/>
  <c r="Q799" i="2"/>
  <c r="R799" i="2" s="1"/>
  <c r="Q651" i="2"/>
  <c r="R651" i="2" s="1"/>
  <c r="Q109" i="2"/>
  <c r="R109" i="2" s="1"/>
  <c r="Q216" i="2"/>
  <c r="R216" i="2" s="1"/>
  <c r="Q550" i="2"/>
  <c r="R550" i="2" s="1"/>
  <c r="Q286" i="2"/>
  <c r="R286" i="2" s="1"/>
  <c r="Q46" i="2"/>
  <c r="R46" i="2" s="1"/>
  <c r="Q609" i="2"/>
  <c r="R609" i="2" s="1"/>
  <c r="Q352" i="2"/>
  <c r="R352" i="2" s="1"/>
  <c r="Q61" i="2"/>
  <c r="R61" i="2" s="1"/>
  <c r="Q163" i="2"/>
  <c r="R163" i="2" s="1"/>
  <c r="Q56" i="2"/>
  <c r="R56" i="2" s="1"/>
  <c r="Q431" i="2"/>
  <c r="R431" i="2" s="1"/>
  <c r="Q413" i="2"/>
  <c r="R413" i="2" s="1"/>
  <c r="Q728" i="2"/>
  <c r="R728" i="2" s="1"/>
  <c r="Q999" i="2"/>
  <c r="R999" i="2" s="1"/>
  <c r="Q372" i="2"/>
  <c r="R372" i="2" s="1"/>
  <c r="Q690" i="2"/>
  <c r="R690" i="2" s="1"/>
  <c r="Q968" i="2"/>
  <c r="R968" i="2" s="1"/>
  <c r="Q329" i="2"/>
  <c r="R329" i="2" s="1"/>
  <c r="Q652" i="2"/>
  <c r="R652" i="2" s="1"/>
  <c r="Q613" i="2"/>
  <c r="R613" i="2" s="1"/>
  <c r="Q906" i="2"/>
  <c r="R906" i="2" s="1"/>
  <c r="Q923" i="2"/>
  <c r="R923" i="2" s="1"/>
  <c r="Q306" i="2"/>
  <c r="R306" i="2" s="1"/>
  <c r="Q634" i="2"/>
  <c r="R634" i="2" s="1"/>
  <c r="Q210" i="2"/>
  <c r="R210" i="2" s="1"/>
  <c r="Q557" i="2"/>
  <c r="R557" i="2" s="1"/>
  <c r="Q859" i="2"/>
  <c r="R859" i="2" s="1"/>
  <c r="Q843" i="2"/>
  <c r="R843" i="2" s="1"/>
  <c r="Q166" i="2"/>
  <c r="R166" i="2" s="1"/>
  <c r="Q827" i="2"/>
  <c r="R827" i="2" s="1"/>
  <c r="Q142" i="2"/>
  <c r="R142" i="2" s="1"/>
  <c r="Q810" i="2"/>
  <c r="R810" i="2" s="1"/>
  <c r="Q119" i="2"/>
  <c r="R119" i="2" s="1"/>
  <c r="Q483" i="2"/>
  <c r="R483" i="2" s="1"/>
  <c r="Q793" i="2"/>
  <c r="R793" i="2" s="1"/>
  <c r="Q96" i="2"/>
  <c r="R96" i="2" s="1"/>
  <c r="Q464" i="2"/>
  <c r="R464" i="2" s="1"/>
  <c r="Q446" i="2"/>
  <c r="R446" i="2" s="1"/>
  <c r="Q759" i="2"/>
  <c r="R759" i="2" s="1"/>
  <c r="Q367" i="2"/>
  <c r="R367" i="2" s="1"/>
  <c r="Q980" i="2"/>
  <c r="R980" i="2" s="1"/>
  <c r="Q246" i="2"/>
  <c r="R246" i="2" s="1"/>
  <c r="Q899" i="2"/>
  <c r="R899" i="2" s="1"/>
  <c r="Q626" i="2"/>
  <c r="R626" i="2" s="1"/>
  <c r="Q343" i="2"/>
  <c r="R343" i="2" s="1"/>
  <c r="Q963" i="2"/>
  <c r="R963" i="2" s="1"/>
  <c r="Q632" i="2"/>
  <c r="Q594" i="2"/>
  <c r="R594" i="2" s="1"/>
  <c r="Q165" i="2"/>
  <c r="R165" i="2" s="1"/>
  <c r="Q141" i="2"/>
  <c r="R141" i="2" s="1"/>
  <c r="Q809" i="2"/>
  <c r="R809" i="2" s="1"/>
  <c r="Q445" i="2"/>
  <c r="R445" i="2" s="1"/>
  <c r="Q760" i="2"/>
  <c r="R760" i="2" s="1"/>
  <c r="Q548" i="2"/>
  <c r="R548" i="2" s="1"/>
  <c r="Q851" i="2"/>
  <c r="R851" i="2" s="1"/>
  <c r="Q790" i="2"/>
  <c r="R790" i="2" s="1"/>
  <c r="Q534" i="2"/>
  <c r="R534" i="2" s="1"/>
  <c r="Q267" i="2"/>
  <c r="R267" i="2" s="1"/>
  <c r="Q27" i="2"/>
  <c r="R27" i="2" s="1"/>
  <c r="Q593" i="2"/>
  <c r="R593" i="2" s="1"/>
  <c r="Q335" i="2"/>
  <c r="R335" i="2" s="1"/>
  <c r="Q42" i="2"/>
  <c r="R42" i="2" s="1"/>
  <c r="Q147" i="2"/>
  <c r="R147" i="2" s="1"/>
  <c r="Q236" i="2"/>
  <c r="R236" i="2" s="1"/>
  <c r="Q80" i="2"/>
  <c r="R80" i="2" s="1"/>
  <c r="Q451" i="2"/>
  <c r="R451" i="2" s="1"/>
  <c r="Q57" i="2"/>
  <c r="R57" i="2" s="1"/>
  <c r="Q432" i="2"/>
  <c r="R432" i="2" s="1"/>
  <c r="Q746" i="2"/>
  <c r="R746" i="2" s="1"/>
  <c r="Q5" i="2"/>
  <c r="R5" i="2" s="1"/>
  <c r="Q709" i="2"/>
  <c r="R709" i="2" s="1"/>
  <c r="Q984" i="2"/>
  <c r="R984" i="2" s="1"/>
  <c r="Q351" i="2"/>
  <c r="R351" i="2" s="1"/>
  <c r="Q953" i="2"/>
  <c r="R953" i="2" s="1"/>
  <c r="Q305" i="2"/>
  <c r="R305" i="2" s="1"/>
  <c r="Q633" i="2"/>
  <c r="R633" i="2" s="1"/>
  <c r="Q922" i="2"/>
  <c r="R922" i="2" s="1"/>
  <c r="Q939" i="2"/>
  <c r="R939" i="2" s="1"/>
  <c r="Q331" i="2"/>
  <c r="R331" i="2" s="1"/>
  <c r="Q674" i="2"/>
  <c r="R674" i="2" s="1"/>
  <c r="Q235" i="2"/>
  <c r="R235" i="2" s="1"/>
  <c r="Q876" i="2"/>
  <c r="R876" i="2" s="1"/>
  <c r="Q212" i="2"/>
  <c r="R212" i="2" s="1"/>
  <c r="Q558" i="2"/>
  <c r="R558" i="2" s="1"/>
  <c r="Q860" i="2"/>
  <c r="R860" i="2" s="1"/>
  <c r="Q190" i="2"/>
  <c r="R190" i="2" s="1"/>
  <c r="Q844" i="2"/>
  <c r="R844" i="2" s="1"/>
  <c r="Q167" i="2"/>
  <c r="R167" i="2" s="1"/>
  <c r="Q521" i="2"/>
  <c r="R521" i="2" s="1"/>
  <c r="Q144" i="2"/>
  <c r="R144" i="2" s="1"/>
  <c r="Q503" i="2"/>
  <c r="R503" i="2" s="1"/>
  <c r="Q811" i="2"/>
  <c r="R811" i="2" s="1"/>
  <c r="Q120" i="2"/>
  <c r="R120" i="2" s="1"/>
  <c r="Q484" i="2"/>
  <c r="R484" i="2" s="1"/>
  <c r="Q794" i="2"/>
  <c r="R794" i="2" s="1"/>
  <c r="Q98" i="2"/>
  <c r="R98" i="2" s="1"/>
  <c r="Q466" i="2"/>
  <c r="R466" i="2" s="1"/>
  <c r="Q777" i="2"/>
  <c r="R777" i="2" s="1"/>
  <c r="Q527" i="2"/>
  <c r="R527" i="2" s="1"/>
  <c r="Q23" i="2"/>
  <c r="R23" i="2" s="1"/>
  <c r="Q428" i="2"/>
  <c r="R428" i="2" s="1"/>
  <c r="Q77" i="2"/>
  <c r="R77" i="2" s="1"/>
  <c r="Q506" i="2"/>
  <c r="R506" i="2" s="1"/>
  <c r="Q619" i="2"/>
  <c r="R619" i="2" s="1"/>
  <c r="Q577" i="2"/>
  <c r="R577" i="2" s="1"/>
  <c r="Q764" i="2"/>
  <c r="R764" i="2" s="1"/>
  <c r="Q32" i="2"/>
  <c r="R32" i="2" s="1"/>
  <c r="Q969" i="2"/>
  <c r="R969" i="2" s="1"/>
  <c r="Q971" i="2"/>
  <c r="R971" i="2" s="1"/>
  <c r="Q354" i="2"/>
  <c r="R354" i="2" s="1"/>
  <c r="Q578" i="2"/>
  <c r="R578" i="2" s="1"/>
  <c r="Q214" i="2"/>
  <c r="R214" i="2" s="1"/>
  <c r="Q191" i="2"/>
  <c r="R191" i="2" s="1"/>
  <c r="Q541" i="2"/>
  <c r="R541" i="2" s="1"/>
  <c r="Q845" i="2"/>
  <c r="R845" i="2" s="1"/>
  <c r="Q168" i="2"/>
  <c r="R168" i="2" s="1"/>
  <c r="Q522" i="2"/>
  <c r="R522" i="2" s="1"/>
  <c r="Q829" i="2"/>
  <c r="R829" i="2" s="1"/>
  <c r="Q146" i="2"/>
  <c r="R146" i="2" s="1"/>
  <c r="Q795" i="2"/>
  <c r="R795" i="2" s="1"/>
  <c r="Q222" i="2"/>
  <c r="R222" i="2" s="1"/>
  <c r="Q272" i="2"/>
  <c r="R272" i="2" s="1"/>
  <c r="Q472" i="2"/>
  <c r="R472" i="2" s="1"/>
  <c r="Q985" i="2"/>
  <c r="R985" i="2" s="1"/>
  <c r="Q672" i="2"/>
  <c r="R672" i="2" s="1"/>
  <c r="Q376" i="2"/>
  <c r="R376" i="2" s="1"/>
  <c r="Q713" i="2"/>
  <c r="R713" i="2" s="1"/>
  <c r="Q215" i="2"/>
  <c r="R215" i="2" s="1"/>
  <c r="Q833" i="2"/>
  <c r="R833" i="2" s="1"/>
  <c r="Q123" i="2"/>
  <c r="R123" i="2" s="1"/>
  <c r="Q262" i="2"/>
  <c r="R262" i="2" s="1"/>
  <c r="Q530" i="2"/>
  <c r="R530" i="2" s="1"/>
  <c r="Q783" i="2"/>
  <c r="R783" i="2" s="1"/>
  <c r="Q435" i="2"/>
  <c r="R435" i="2" s="1"/>
  <c r="Q750" i="2"/>
  <c r="R750" i="2" s="1"/>
  <c r="Q655" i="2"/>
  <c r="R655" i="2" s="1"/>
  <c r="Q895" i="2"/>
  <c r="R895" i="2" s="1"/>
  <c r="Q864" i="2"/>
  <c r="R864" i="2" s="1"/>
  <c r="Q848" i="2"/>
  <c r="R848" i="2" s="1"/>
  <c r="Q53" i="2"/>
  <c r="R53" i="2" s="1"/>
  <c r="Q150" i="2"/>
  <c r="R150" i="2" s="1"/>
  <c r="Q17" i="2"/>
  <c r="R17" i="2" s="1"/>
  <c r="Q470" i="2"/>
  <c r="R470" i="2" s="1"/>
  <c r="Q785" i="2"/>
  <c r="R785" i="2" s="1"/>
  <c r="Q529" i="2"/>
  <c r="R529" i="2" s="1"/>
  <c r="Q339" i="2"/>
  <c r="R339" i="2" s="1"/>
  <c r="Q83" i="2"/>
  <c r="R83" i="2" s="1"/>
  <c r="Q177" i="2"/>
  <c r="R177" i="2" s="1"/>
  <c r="Q511" i="2"/>
  <c r="R511" i="2" s="1"/>
  <c r="Q473" i="2"/>
  <c r="R473" i="2" s="1"/>
  <c r="Q397" i="2"/>
  <c r="R397" i="2" s="1"/>
  <c r="Q712" i="2"/>
  <c r="R712" i="2" s="1"/>
  <c r="Q418" i="2"/>
  <c r="R418" i="2" s="1"/>
  <c r="Q925" i="2"/>
  <c r="R925" i="2" s="1"/>
  <c r="Q618" i="2"/>
  <c r="R618" i="2" s="1"/>
  <c r="Q910" i="2"/>
  <c r="R910" i="2" s="1"/>
  <c r="Q219" i="2"/>
  <c r="R219" i="2" s="1"/>
  <c r="Q544" i="2"/>
  <c r="R544" i="2" s="1"/>
  <c r="Q197" i="2"/>
  <c r="R197" i="2" s="1"/>
  <c r="Q723" i="2"/>
  <c r="R723" i="2" s="1"/>
  <c r="Q761" i="2"/>
  <c r="R761" i="2" s="1"/>
  <c r="Q321" i="2"/>
  <c r="R321" i="2" s="1"/>
  <c r="Q647" i="2"/>
  <c r="R647" i="2" s="1"/>
  <c r="Q918" i="2"/>
  <c r="R918" i="2" s="1"/>
  <c r="Q555" i="2"/>
  <c r="R555" i="2" s="1"/>
  <c r="Q393" i="2"/>
  <c r="R393" i="2" s="1"/>
  <c r="Q454" i="2"/>
  <c r="R454" i="2" s="1"/>
  <c r="Q513" i="2"/>
  <c r="R513" i="2" s="1"/>
  <c r="Q244" i="2"/>
  <c r="R244" i="2" s="1"/>
  <c r="Q323" i="2"/>
  <c r="R323" i="2" s="1"/>
  <c r="Q67" i="2"/>
  <c r="R67" i="2" s="1"/>
  <c r="Q156" i="2"/>
  <c r="R156" i="2" s="1"/>
  <c r="Q202" i="2"/>
  <c r="R202" i="2" s="1"/>
  <c r="Q178" i="2"/>
  <c r="R178" i="2" s="1"/>
  <c r="Q531" i="2"/>
  <c r="R531" i="2" s="1"/>
  <c r="Q836" i="2"/>
  <c r="R836" i="2" s="1"/>
  <c r="Q132" i="2"/>
  <c r="R132" i="2" s="1"/>
  <c r="Q802" i="2"/>
  <c r="R802" i="2" s="1"/>
  <c r="Q84" i="2"/>
  <c r="R84" i="2" s="1"/>
  <c r="Q455" i="2"/>
  <c r="R455" i="2" s="1"/>
  <c r="Q766" i="2"/>
  <c r="R766" i="2" s="1"/>
  <c r="Q416" i="2"/>
  <c r="R416" i="2" s="1"/>
  <c r="Q731" i="2"/>
  <c r="R731" i="2" s="1"/>
  <c r="Q63" i="2"/>
  <c r="R63" i="2" s="1"/>
  <c r="Q437" i="2"/>
  <c r="R437" i="2" s="1"/>
  <c r="Q356" i="2"/>
  <c r="R356" i="2" s="1"/>
  <c r="Q675" i="2"/>
  <c r="R675" i="2" s="1"/>
  <c r="Q334" i="2"/>
  <c r="R334" i="2" s="1"/>
  <c r="Q656" i="2"/>
  <c r="R656" i="2" s="1"/>
  <c r="Q941" i="2"/>
  <c r="R941" i="2" s="1"/>
  <c r="Q312" i="2"/>
  <c r="R312" i="2" s="1"/>
  <c r="Q638" i="2"/>
  <c r="R638" i="2" s="1"/>
  <c r="Q926" i="2"/>
  <c r="R926" i="2" s="1"/>
  <c r="Q288" i="2"/>
  <c r="R288" i="2" s="1"/>
  <c r="Q620" i="2"/>
  <c r="R620" i="2" s="1"/>
  <c r="Q911" i="2"/>
  <c r="R911" i="2" s="1"/>
  <c r="Q265" i="2"/>
  <c r="R265" i="2" s="1"/>
  <c r="Q601" i="2"/>
  <c r="R601" i="2" s="1"/>
  <c r="Q896" i="2"/>
  <c r="R896" i="2" s="1"/>
  <c r="Q242" i="2"/>
  <c r="R242" i="2" s="1"/>
  <c r="Q583" i="2"/>
  <c r="R583" i="2" s="1"/>
  <c r="Q881" i="2"/>
  <c r="R881" i="2" s="1"/>
  <c r="Q221" i="2"/>
  <c r="R221" i="2" s="1"/>
  <c r="Q564" i="2"/>
  <c r="R564" i="2" s="1"/>
  <c r="Q865" i="2"/>
  <c r="R865" i="2" s="1"/>
  <c r="Q387" i="2"/>
  <c r="R387" i="2" s="1"/>
  <c r="Q247" i="2"/>
  <c r="R247" i="2" s="1"/>
  <c r="Q900" i="2"/>
  <c r="R900" i="2" s="1"/>
  <c r="Q644" i="2"/>
  <c r="R644" i="2" s="1"/>
  <c r="Q345" i="2"/>
  <c r="R345" i="2" s="1"/>
  <c r="Q438" i="2"/>
  <c r="R438" i="2" s="1"/>
  <c r="Q62" i="2"/>
  <c r="R62" i="2" s="1"/>
  <c r="Q654" i="2"/>
  <c r="R654" i="2" s="1"/>
  <c r="Q378" i="2"/>
  <c r="R378" i="2" s="1"/>
  <c r="Q546" i="2"/>
  <c r="R546" i="2" s="1"/>
  <c r="Q947" i="2"/>
  <c r="R947" i="2" s="1"/>
  <c r="Q815" i="2"/>
  <c r="R815" i="2" s="1"/>
  <c r="Q499" i="2"/>
  <c r="R499" i="2" s="1"/>
  <c r="Q520" i="2"/>
  <c r="R520" i="2" s="1"/>
  <c r="Q776" i="2"/>
  <c r="R776" i="2" s="1"/>
  <c r="Q755" i="2"/>
  <c r="R755" i="2" s="1"/>
  <c r="Q8" i="2"/>
  <c r="R8" i="2" s="1"/>
  <c r="Q264" i="2"/>
  <c r="R264" i="2" s="1"/>
  <c r="Q243" i="2"/>
  <c r="R243" i="2" s="1"/>
  <c r="Q735" i="2"/>
  <c r="R735" i="2" s="1"/>
  <c r="Q991" i="2"/>
  <c r="R991" i="2" s="1"/>
  <c r="Q319" i="2"/>
  <c r="R319" i="2" s="1"/>
  <c r="Q223" i="2"/>
  <c r="R223" i="2" s="1"/>
  <c r="R275" i="2"/>
  <c r="R19" i="2"/>
  <c r="R495" i="2"/>
  <c r="R751" i="2"/>
  <c r="R40" i="2"/>
  <c r="R515" i="2"/>
  <c r="R51" i="2"/>
  <c r="R111" i="2"/>
  <c r="R239" i="2"/>
  <c r="R543" i="2"/>
  <c r="R591" i="2"/>
  <c r="R915" i="2"/>
  <c r="R287" i="2"/>
  <c r="R200" i="2"/>
  <c r="R72" i="2"/>
  <c r="R680" i="2"/>
  <c r="R883" i="2"/>
  <c r="R643" i="2"/>
  <c r="R568" i="2"/>
  <c r="R835" i="2"/>
  <c r="R869" i="2"/>
  <c r="R765" i="2"/>
  <c r="R241" i="2"/>
  <c r="R806" i="2"/>
  <c r="R452" i="2"/>
  <c r="R607" i="2"/>
  <c r="R143" i="2"/>
  <c r="R310" i="2"/>
  <c r="R581" i="2"/>
  <c r="R153" i="2"/>
  <c r="R868" i="2"/>
  <c r="R518" i="2"/>
  <c r="R238" i="2"/>
  <c r="R917" i="2"/>
  <c r="R252" i="2"/>
  <c r="R90" i="2"/>
  <c r="R576" i="2"/>
  <c r="R346" i="2"/>
  <c r="R355" i="2"/>
  <c r="R187" i="2"/>
  <c r="R774" i="2"/>
  <c r="R330" i="2"/>
  <c r="R559" i="2"/>
  <c r="R502" i="2"/>
  <c r="R587" i="2"/>
  <c r="R130" i="2"/>
  <c r="R1001" i="2"/>
  <c r="R909" i="2"/>
  <c r="R129" i="2"/>
  <c r="R274" i="2"/>
  <c r="R263" i="2"/>
  <c r="R886" i="2"/>
  <c r="R880" i="2"/>
  <c r="R253" i="2"/>
  <c r="R30" i="2"/>
  <c r="R641" i="2"/>
  <c r="R195" i="2"/>
  <c r="R391" i="2"/>
  <c r="R595" i="2"/>
  <c r="R877" i="2"/>
  <c r="R954" i="2"/>
  <c r="R627" i="2"/>
  <c r="R683" i="2"/>
  <c r="R304" i="2"/>
  <c r="R369" i="2"/>
  <c r="R179" i="2"/>
  <c r="R268" i="2"/>
  <c r="R4" i="2"/>
  <c r="R392" i="2"/>
  <c r="R983" i="2"/>
  <c r="R632" i="2"/>
  <c r="R537" i="2"/>
  <c r="R519" i="2"/>
  <c r="R500" i="2"/>
  <c r="R37" i="2"/>
  <c r="R140" i="2"/>
  <c r="R226" i="2"/>
  <c r="R203" i="2"/>
  <c r="R853" i="2"/>
  <c r="R695" i="2"/>
  <c r="R357" i="2"/>
  <c r="R676" i="2"/>
  <c r="R957" i="2"/>
  <c r="R942" i="2"/>
  <c r="R245" i="2"/>
  <c r="R882" i="2"/>
  <c r="R100" i="2"/>
  <c r="R796" i="2"/>
  <c r="R336" i="2"/>
  <c r="R158" i="2"/>
  <c r="R361" i="2"/>
  <c r="R494" i="2"/>
  <c r="R456" i="2"/>
  <c r="R13" i="2"/>
  <c r="R714" i="2"/>
  <c r="R988" i="2"/>
  <c r="R380" i="2"/>
  <c r="R359" i="2"/>
  <c r="R677" i="2"/>
  <c r="R337" i="2"/>
  <c r="R898" i="2"/>
  <c r="R25" i="2"/>
  <c r="R586" i="2"/>
  <c r="R295" i="2"/>
  <c r="R665" i="2"/>
  <c r="R737" i="2"/>
  <c r="R497" i="2"/>
  <c r="R662" i="2"/>
  <c r="R721" i="2"/>
  <c r="R855" i="2"/>
  <c r="R476" i="2"/>
  <c r="R786" i="2"/>
  <c r="R136" i="2"/>
  <c r="R959" i="2"/>
  <c r="R944" i="2"/>
  <c r="R725" i="2"/>
  <c r="R646" i="2"/>
  <c r="R390" i="2"/>
  <c r="R92" i="2"/>
  <c r="R648" i="2"/>
  <c r="R903" i="2"/>
  <c r="R183" i="2"/>
  <c r="R135" i="2"/>
  <c r="R805" i="2"/>
  <c r="R516" i="2"/>
  <c r="R64" i="2"/>
  <c r="R975" i="2"/>
  <c r="R362" i="2"/>
  <c r="R409" i="2"/>
  <c r="R884" i="2"/>
  <c r="R624" i="2"/>
  <c r="R705" i="2"/>
  <c r="R733" i="2"/>
  <c r="R933" i="2"/>
  <c r="R866" i="2"/>
  <c r="R85" i="2"/>
  <c r="R301" i="2"/>
  <c r="R629" i="2"/>
  <c r="R919" i="2"/>
  <c r="R254" i="2"/>
  <c r="R553" i="2"/>
  <c r="R700" i="2"/>
  <c r="R364" i="2"/>
  <c r="R663" i="2"/>
  <c r="R340" i="2"/>
  <c r="R121" i="2"/>
  <c r="R410" i="2"/>
  <c r="R374" i="2"/>
  <c r="R78" i="2"/>
  <c r="R673" i="2"/>
  <c r="R209" i="2"/>
  <c r="R556" i="2"/>
  <c r="R113" i="2"/>
  <c r="R460" i="2"/>
  <c r="R68" i="2"/>
  <c r="R754" i="2"/>
  <c r="R43" i="2"/>
  <c r="R736" i="2"/>
  <c r="R365" i="2"/>
  <c r="R682" i="2"/>
  <c r="R388" i="2"/>
  <c r="R270" i="2"/>
  <c r="R645" i="2"/>
  <c r="R514" i="2"/>
  <c r="R961" i="2"/>
  <c r="R945" i="2"/>
  <c r="R170" i="2"/>
  <c r="R976" i="2"/>
  <c r="R956" i="2"/>
  <c r="R475" i="2"/>
  <c r="R289" i="2"/>
  <c r="R614" i="2"/>
  <c r="R401" i="2"/>
  <c r="R300" i="2"/>
  <c r="R370" i="2"/>
  <c r="R256" i="2"/>
  <c r="R592" i="2"/>
  <c r="R137" i="2"/>
  <c r="R114" i="2"/>
  <c r="R789" i="2"/>
  <c r="R658" i="2"/>
  <c r="R26" i="2"/>
  <c r="R423" i="2"/>
  <c r="R935" i="2"/>
  <c r="R218" i="2"/>
  <c r="R722" i="2"/>
  <c r="R482" i="2"/>
  <c r="R149" i="2"/>
  <c r="R50" i="2"/>
  <c r="R779" i="2"/>
  <c r="R832" i="2"/>
  <c r="R485" i="2"/>
  <c r="R878" i="2"/>
  <c r="R862" i="2"/>
  <c r="R169" i="2"/>
  <c r="R830" i="2"/>
  <c r="R813" i="2"/>
  <c r="R448" i="2"/>
  <c r="R828" i="2"/>
  <c r="R599" i="2"/>
  <c r="R217" i="2"/>
  <c r="R562" i="2"/>
  <c r="R847" i="2"/>
  <c r="R171" i="2"/>
  <c r="R525" i="2"/>
  <c r="R565" i="2"/>
  <c r="R606" i="2"/>
  <c r="R741" i="2"/>
  <c r="R812" i="2"/>
  <c r="Q2" i="2"/>
  <c r="R2" i="2" s="1"/>
  <c r="R403" i="2"/>
  <c r="R979" i="2"/>
</calcChain>
</file>

<file path=xl/sharedStrings.xml><?xml version="1.0" encoding="utf-8"?>
<sst xmlns="http://schemas.openxmlformats.org/spreadsheetml/2006/main" count="97" uniqueCount="59">
  <si>
    <t>Food $ Grocerries</t>
  </si>
  <si>
    <t>Transport</t>
  </si>
  <si>
    <t>Car</t>
  </si>
  <si>
    <t>Housing</t>
  </si>
  <si>
    <t>Utilities</t>
  </si>
  <si>
    <t>Schooling fees</t>
  </si>
  <si>
    <t>Childcare</t>
  </si>
  <si>
    <t>Health Insurance</t>
  </si>
  <si>
    <t>Overall household spending</t>
  </si>
  <si>
    <t>Leisure/Travel</t>
  </si>
  <si>
    <t>to</t>
  </si>
  <si>
    <t>Technology/Subscriptions</t>
  </si>
  <si>
    <t>Income</t>
  </si>
  <si>
    <t>Tax</t>
  </si>
  <si>
    <t>https://codera.co.za/tax-paid-by-income-group-in-south-africa/#:~:text=The%20latest%20tax%20statistics%20for,the%20total%20personal%20tax%20liability.</t>
  </si>
  <si>
    <t>https://www.salaryexpert.com/salary/job/it-specialist/south-africa</t>
  </si>
  <si>
    <t>https://www.southafrica.net/gl/en/trade/press/south-africa-the-adventure-capital-of-the-world</t>
  </si>
  <si>
    <t>https://www.wits.ac.za/internationalstudents/financial-information/average-living-costs/</t>
  </si>
  <si>
    <t>https://copound.com/cost-of-living-south-africa-c201</t>
  </si>
  <si>
    <t>https://www.livingcost.net/south-africa?</t>
  </si>
  <si>
    <t>https://www.statssa.gov.za/?p=17981&amp;</t>
  </si>
  <si>
    <t>https://travelpander.com/how-much-is-medical-aid-in-south-africa/?</t>
  </si>
  <si>
    <t>https://modernclassroom.co.za/how-much-are-school-fees-in-south-africa-a-parents-guide/?</t>
  </si>
  <si>
    <t>https://theafricanvestor.com/blogs/news/average-house-price-south-africa?</t>
  </si>
  <si>
    <t>https://www.cars.co.za/motoring-news/understanding-total-cost-of-ownership-for-cars-in-south-africa/299920/?</t>
  </si>
  <si>
    <t>https://www.numbeo.com/cost-of-living/region_prices_by_city?itemId=224&amp;region=018&amp;</t>
  </si>
  <si>
    <t>Food and Grocerries</t>
  </si>
  <si>
    <t>Overall Househol Spending</t>
  </si>
  <si>
    <t>Annual</t>
  </si>
  <si>
    <t>Lifetime</t>
  </si>
  <si>
    <t>Investment</t>
  </si>
  <si>
    <t xml:space="preserve">Investment </t>
  </si>
  <si>
    <t>Money In Bank</t>
  </si>
  <si>
    <t>Total Money Left</t>
  </si>
  <si>
    <t>Rent</t>
  </si>
  <si>
    <t>https://businesstech.co.za/news/property/772049/the-average-rent-in-south-africas-provinces/</t>
  </si>
  <si>
    <t>Scenario</t>
  </si>
  <si>
    <t>Variable</t>
  </si>
  <si>
    <t>Low Amount</t>
  </si>
  <si>
    <t>High Amount</t>
  </si>
  <si>
    <t>Length</t>
  </si>
  <si>
    <t>Source</t>
  </si>
  <si>
    <t>Assumptions</t>
  </si>
  <si>
    <t xml:space="preserve">Welcome to my Monte Carlo Simulation model. </t>
  </si>
  <si>
    <t>In this spreadsheet you will find 4 sheets.</t>
  </si>
  <si>
    <t>Assumptions sheet: Includes various assumptions made for the model.</t>
  </si>
  <si>
    <t>Monte Carlo Sim sheet: Includes the actual simulation.</t>
  </si>
  <si>
    <t>Histogram sheet: Includes various diagrams from the data.</t>
  </si>
  <si>
    <t>Why did the spreadsheet break up with the calculator?</t>
  </si>
  <si>
    <t>Because it found someone with more functions.</t>
  </si>
  <si>
    <t>Annual expenses will be multiplied by the amount of years it will be used for in the simulation. E.g: Tax will be multiplied by 44 as the average age for a male to live to in South Africa is 65, since I am 21, 65-21=44.</t>
  </si>
  <si>
    <t>Lifetime expenses will be multiplied by a random number with in reason. E.g: Car will be multiplied by numbers between 3 and 5 to estimate the amount of cars I will own.</t>
  </si>
  <si>
    <t>Please Note:</t>
  </si>
  <si>
    <t>Personal Reflection</t>
  </si>
  <si>
    <t>Technical Reflection</t>
  </si>
  <si>
    <t xml:space="preserve">This assignment really helped me develop my skills in excel. From watching videos on excel shortcuts to playing around and figuring things out, my excel skills have being taken to a new level. I think this assignment also helped me with my problem solving skills, by breaking down some complex financial questions I had. I have being paying more attention to detail and trying to order and manage data more effectively. I feel more confident with my skills in excel and now feel like I can actually say that I know how to make use of excel. </t>
  </si>
  <si>
    <t>This assignment has made me learn more about finances and how important it actually is to save and invest. I also learnt that kids are very expensive and I rather just own pets in future. This assignment was actually a bit fun, especially seeing the numbers of how much I may be earning in the future. Additionally, I took note of how small expenses do add up and visualizing it was very eye opening. I also reflected on my own financial habits and I am trying to be more money concious, why do I spend so much on one cup of coffee? I don't view this simulation as a tool to help me see future expenses and outcomes, I see it more as a mirror as to how my life could be. Although this simulation does not include a yacht, it does include the information to tell me how many cups of coffee I'd need to skip to afford one. I think the most important thing I learnt is how financial planning is not only about numbers, it's about being able to align my goals and values with money. Finance goes hand in hand with mindfulness, and humor to soften the blow of reality.</t>
  </si>
  <si>
    <t>Aadit Singh</t>
  </si>
  <si>
    <t>Reflection sheet: Includes my technical and personal reflections for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</si>
</sst>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R-1C09]* #,##0.00_-;\-[$R-1C09]* #,##0.00_-;_-[$R-1C09]* &quot;-&quot;??_-;_-@_-"/>
    <numFmt numFmtId="165" formatCode="_-[$R-1C09]* #,##0_-;\-[$R-1C09]* #,##0_-;_-[$R-1C09]* &quot;-&quot;??_-;_-@_-"/>
  </numFmts>
  <fonts count="13">
    <font>
      <sz val="11"/>
      <color theme="1"/>
      <name val="Aptos Narrow"/>
      <family val="2"/>
      <scheme val="minor"/>
    </font>
    <font>
      <sz val="11"/>
      <color theme="1"/>
      <name val="Aptos Narrow"/>
      <family val="2"/>
      <scheme val="minor"/>
    </font>
    <font>
      <u/>
      <sz val="11"/>
      <color theme="10"/>
      <name val="Aptos Narrow"/>
      <family val="2"/>
      <scheme val="minor"/>
    </font>
    <font>
      <b/>
      <sz val="13"/>
      <color theme="3"/>
      <name val="Aptos Narrow"/>
      <family val="2"/>
      <scheme val="minor"/>
    </font>
    <font>
      <b/>
      <sz val="14"/>
      <color theme="3"/>
      <name val="Segoe UI"/>
      <family val="2"/>
    </font>
    <font>
      <sz val="12"/>
      <color theme="1"/>
      <name val="Segoe UI"/>
      <family val="2"/>
    </font>
    <font>
      <u/>
      <sz val="12"/>
      <color theme="10"/>
      <name val="Segoe UI"/>
      <family val="2"/>
    </font>
    <font>
      <b/>
      <sz val="12"/>
      <color theme="1"/>
      <name val="Segoe UI"/>
      <family val="2"/>
    </font>
    <font>
      <sz val="16"/>
      <color theme="1"/>
      <name val="Segoe UI"/>
      <family val="2"/>
    </font>
    <font>
      <sz val="14"/>
      <color theme="1"/>
      <name val="Segoe UI"/>
      <family val="2"/>
    </font>
    <font>
      <sz val="20"/>
      <color theme="1"/>
      <name val="Segoe UI"/>
      <family val="2"/>
    </font>
    <font>
      <sz val="12"/>
      <color theme="1"/>
      <name val="Segeo ui"/>
    </font>
    <font>
      <sz val="12"/>
      <color theme="0"/>
      <name val="Segeo ui"/>
    </font>
  </fonts>
  <fills count="1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3300"/>
        <bgColor indexed="64"/>
      </patternFill>
    </fill>
    <fill>
      <patternFill patternType="solid">
        <fgColor theme="3" tint="0.749992370372631"/>
        <bgColor indexed="64"/>
      </patternFill>
    </fill>
    <fill>
      <patternFill patternType="solid">
        <fgColor theme="3" tint="9.9978637043366805E-2"/>
        <bgColor indexed="64"/>
      </patternFill>
    </fill>
  </fills>
  <borders count="9">
    <border>
      <left/>
      <right/>
      <top/>
      <bottom/>
      <diagonal/>
    </border>
    <border>
      <left/>
      <right/>
      <top/>
      <bottom style="thick">
        <color theme="4"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indexed="64"/>
      </left>
      <right style="thin">
        <color indexed="64"/>
      </right>
      <top/>
      <bottom style="thin">
        <color theme="2" tint="-0.499984740745262"/>
      </bottom>
      <diagonal/>
    </border>
    <border>
      <left style="thin">
        <color auto="1"/>
      </left>
      <right style="thin">
        <color auto="1"/>
      </right>
      <top/>
      <bottom/>
      <diagonal/>
    </border>
    <border>
      <left/>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right/>
      <top style="thin">
        <color theme="2" tint="-0.499984740745262"/>
      </top>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cellStyleXfs>
  <cellXfs count="55">
    <xf numFmtId="0" fontId="0" fillId="0" borderId="0" xfId="0"/>
    <xf numFmtId="0" fontId="5" fillId="0" borderId="0" xfId="0" applyFont="1"/>
    <xf numFmtId="0" fontId="4" fillId="2" borderId="4" xfId="3" applyFont="1" applyFill="1" applyBorder="1"/>
    <xf numFmtId="165" fontId="5" fillId="2" borderId="5" xfId="0" applyNumberFormat="1" applyFont="1" applyFill="1" applyBorder="1"/>
    <xf numFmtId="0" fontId="5" fillId="2" borderId="5" xfId="0" applyFont="1" applyFill="1" applyBorder="1"/>
    <xf numFmtId="0" fontId="4" fillId="3" borderId="4" xfId="3" applyFont="1" applyFill="1" applyBorder="1"/>
    <xf numFmtId="165" fontId="5" fillId="3" borderId="5" xfId="0" applyNumberFormat="1" applyFont="1" applyFill="1" applyBorder="1"/>
    <xf numFmtId="0" fontId="5" fillId="3" borderId="5" xfId="0" applyFont="1" applyFill="1" applyBorder="1"/>
    <xf numFmtId="0" fontId="4" fillId="4" borderId="4" xfId="3" applyFont="1" applyFill="1" applyBorder="1" applyAlignment="1">
      <alignment horizontal="center"/>
    </xf>
    <xf numFmtId="165" fontId="5" fillId="4" borderId="5" xfId="0" applyNumberFormat="1" applyFont="1" applyFill="1" applyBorder="1"/>
    <xf numFmtId="0" fontId="5" fillId="4" borderId="5" xfId="0" applyFont="1" applyFill="1" applyBorder="1"/>
    <xf numFmtId="0" fontId="4" fillId="5" borderId="4" xfId="3" applyFont="1" applyFill="1" applyBorder="1" applyAlignment="1">
      <alignment horizontal="center"/>
    </xf>
    <xf numFmtId="165" fontId="5" fillId="5" borderId="5" xfId="0" applyNumberFormat="1" applyFont="1" applyFill="1" applyBorder="1"/>
    <xf numFmtId="0" fontId="5" fillId="5" borderId="5" xfId="0" applyFont="1" applyFill="1" applyBorder="1"/>
    <xf numFmtId="0" fontId="4" fillId="6" borderId="4" xfId="3" applyFont="1" applyFill="1" applyBorder="1"/>
    <xf numFmtId="165" fontId="5" fillId="6" borderId="5" xfId="0" applyNumberFormat="1" applyFont="1" applyFill="1" applyBorder="1"/>
    <xf numFmtId="0" fontId="5" fillId="6" borderId="5" xfId="0" applyFont="1" applyFill="1" applyBorder="1"/>
    <xf numFmtId="0" fontId="4" fillId="4" borderId="4" xfId="3" applyFont="1" applyFill="1" applyBorder="1"/>
    <xf numFmtId="0" fontId="4" fillId="5" borderId="4" xfId="3" applyFont="1" applyFill="1" applyBorder="1"/>
    <xf numFmtId="0" fontId="4" fillId="7" borderId="4" xfId="3" applyFont="1" applyFill="1" applyBorder="1"/>
    <xf numFmtId="0" fontId="5" fillId="7" borderId="5" xfId="0" applyFont="1" applyFill="1" applyBorder="1"/>
    <xf numFmtId="0" fontId="5" fillId="0" borderId="2" xfId="0" applyFont="1" applyBorder="1"/>
    <xf numFmtId="0" fontId="5" fillId="0" borderId="2" xfId="0" applyFont="1" applyBorder="1" applyAlignment="1">
      <alignment horizontal="center" vertical="center"/>
    </xf>
    <xf numFmtId="0" fontId="5" fillId="0" borderId="2" xfId="0" applyFont="1" applyBorder="1" applyAlignment="1">
      <alignment horizontal="center"/>
    </xf>
    <xf numFmtId="0" fontId="7" fillId="0" borderId="2" xfId="0" applyFont="1" applyBorder="1" applyAlignment="1">
      <alignment horizontal="center" vertical="center"/>
    </xf>
    <xf numFmtId="0" fontId="5" fillId="8" borderId="2" xfId="0" applyFont="1" applyFill="1" applyBorder="1"/>
    <xf numFmtId="165" fontId="5" fillId="9" borderId="2" xfId="0" applyNumberFormat="1" applyFont="1" applyFill="1" applyBorder="1"/>
    <xf numFmtId="165" fontId="5" fillId="9" borderId="2" xfId="1" applyNumberFormat="1" applyFont="1" applyFill="1" applyBorder="1" applyAlignment="1"/>
    <xf numFmtId="164" fontId="5" fillId="9" borderId="2" xfId="0" applyNumberFormat="1" applyFont="1" applyFill="1" applyBorder="1"/>
    <xf numFmtId="165" fontId="5" fillId="10" borderId="2" xfId="0" applyNumberFormat="1" applyFont="1" applyFill="1" applyBorder="1"/>
    <xf numFmtId="164" fontId="5" fillId="10" borderId="2" xfId="0" applyNumberFormat="1" applyFont="1" applyFill="1" applyBorder="1"/>
    <xf numFmtId="0" fontId="5" fillId="10" borderId="2" xfId="0" applyFont="1" applyFill="1" applyBorder="1"/>
    <xf numFmtId="165" fontId="5" fillId="6" borderId="2" xfId="0" applyNumberFormat="1" applyFont="1" applyFill="1" applyBorder="1"/>
    <xf numFmtId="0" fontId="5" fillId="6" borderId="2" xfId="0" applyFont="1" applyFill="1" applyBorder="1"/>
    <xf numFmtId="0" fontId="5" fillId="5" borderId="2" xfId="0" applyFont="1" applyFill="1" applyBorder="1"/>
    <xf numFmtId="0" fontId="6" fillId="5" borderId="2" xfId="2" applyFont="1" applyFill="1" applyBorder="1" applyAlignment="1"/>
    <xf numFmtId="0" fontId="9" fillId="0" borderId="0" xfId="0" applyFont="1"/>
    <xf numFmtId="0" fontId="5" fillId="4" borderId="0" xfId="0" applyFont="1" applyFill="1"/>
    <xf numFmtId="0" fontId="5" fillId="6" borderId="0" xfId="0" applyFont="1" applyFill="1"/>
    <xf numFmtId="0" fontId="5" fillId="11" borderId="0" xfId="0" applyFont="1" applyFill="1"/>
    <xf numFmtId="0" fontId="5" fillId="2" borderId="0" xfId="0" applyFont="1" applyFill="1"/>
    <xf numFmtId="0" fontId="9" fillId="12" borderId="7" xfId="0" applyFont="1" applyFill="1" applyBorder="1"/>
    <xf numFmtId="0" fontId="9" fillId="12" borderId="3" xfId="0" applyFont="1" applyFill="1" applyBorder="1"/>
    <xf numFmtId="0" fontId="11" fillId="0" borderId="0" xfId="0" applyFont="1"/>
    <xf numFmtId="0" fontId="11" fillId="0" borderId="0" xfId="0" applyFont="1" applyAlignment="1">
      <alignment vertical="center" wrapText="1"/>
    </xf>
    <xf numFmtId="0" fontId="10" fillId="0" borderId="0" xfId="0" applyFont="1" applyAlignment="1">
      <alignment horizontal="center" vertical="center" wrapText="1"/>
    </xf>
    <xf numFmtId="0" fontId="5" fillId="4" borderId="0" xfId="0" applyFont="1" applyFill="1" applyAlignment="1">
      <alignment horizontal="center"/>
    </xf>
    <xf numFmtId="0" fontId="9" fillId="13" borderId="0" xfId="0" applyFont="1" applyFill="1" applyAlignment="1">
      <alignment horizontal="center"/>
    </xf>
    <xf numFmtId="0" fontId="8" fillId="0" borderId="0" xfId="0" applyFont="1" applyAlignment="1">
      <alignment horizontal="center" vertical="center"/>
    </xf>
    <xf numFmtId="0" fontId="8" fillId="0" borderId="6" xfId="0" applyFont="1" applyBorder="1" applyAlignment="1">
      <alignment horizontal="center" vertical="center"/>
    </xf>
    <xf numFmtId="0" fontId="11" fillId="14" borderId="0" xfId="0" applyFont="1" applyFill="1" applyAlignment="1">
      <alignment horizontal="center" vertical="center" wrapText="1"/>
    </xf>
    <xf numFmtId="0" fontId="11" fillId="14" borderId="2" xfId="0" applyFont="1" applyFill="1" applyBorder="1" applyAlignment="1">
      <alignment horizontal="center" vertical="center"/>
    </xf>
    <xf numFmtId="0" fontId="12" fillId="15" borderId="8" xfId="0" applyFont="1" applyFill="1" applyBorder="1" applyAlignment="1">
      <alignment horizontal="center" vertical="center" wrapText="1"/>
    </xf>
    <xf numFmtId="0" fontId="12" fillId="15" borderId="0" xfId="0" applyFont="1" applyFill="1" applyAlignment="1">
      <alignment horizontal="center" vertical="center" wrapText="1"/>
    </xf>
    <xf numFmtId="0" fontId="12" fillId="15" borderId="2" xfId="0" applyFont="1" applyFill="1" applyBorder="1" applyAlignment="1">
      <alignment horizontal="center" vertical="center"/>
    </xf>
  </cellXfs>
  <cellStyles count="4">
    <cellStyle name="Heading 2" xfId="3" builtinId="17"/>
    <cellStyle name="Hyperlink" xfId="2" builtinId="8"/>
    <cellStyle name="Normal" xfId="0" builtinId="0"/>
    <cellStyle name="Percent" xfId="1" builtinId="5"/>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Total Money Left At The End Of My Life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Total Money Left At The End Of My Life</a:t>
          </a:r>
        </a:p>
      </cx:txPr>
    </cx:title>
    <cx:plotArea>
      <cx:plotAreaRegion>
        <cx:series layoutId="clusteredColumn" uniqueId="{EAD8DE2C-94BE-4D13-A77C-CB65B4426573}">
          <cx:tx>
            <cx:txData>
              <cx:f>_xlchart.v1.2</cx:f>
              <cx:v>Total Money Left</cx:v>
            </cx:txData>
          </cx:tx>
          <cx:spPr>
            <a:solidFill>
              <a:schemeClr val="accent5">
                <a:lumMod val="60000"/>
                <a:lumOff val="40000"/>
              </a:schemeClr>
            </a:solidFill>
          </cx:spPr>
          <cx:dataLabels pos="outEnd">
            <cx:visibility seriesName="0" categoryName="0" value="1"/>
          </cx:dataLabels>
          <cx:dataId val="0"/>
          <cx:layoutPr>
            <cx:binning intervalClosed="r"/>
          </cx:layoutPr>
        </cx:series>
      </cx:plotAreaRegion>
      <cx:axis id="0">
        <cx:catScaling gapWidth="0"/>
        <cx:title>
          <cx:tx>
            <cx:txData>
              <cx:v>Money (Rands)</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Money (Rands)</a:t>
              </a:r>
            </a:p>
          </cx:txPr>
        </cx:title>
        <cx:tickLabels/>
      </cx:axis>
      <cx:axis id="1">
        <cx:valScaling/>
        <cx:majorGridlines>
          <cx:spPr>
            <a:ln>
              <a:solidFill>
                <a:schemeClr val="accent1">
                  <a:lumMod val="60000"/>
                  <a:lumOff val="40000"/>
                </a:schemeClr>
              </a:solidFill>
            </a:ln>
          </cx:spPr>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Money Spent On Cars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Money Spent On Cars</a:t>
          </a:r>
        </a:p>
      </cx:txPr>
    </cx:title>
    <cx:plotArea>
      <cx:plotAreaRegion>
        <cx:series layoutId="clusteredColumn" uniqueId="{4BFCB22F-DE10-40E1-ACBC-B137C1B27088}">
          <cx:tx>
            <cx:txData>
              <cx:f>_xlchart.v1.4</cx:f>
              <cx:v>Car</cx:v>
            </cx:txData>
          </cx:tx>
          <cx:spPr>
            <a:solidFill>
              <a:schemeClr val="accent6">
                <a:lumMod val="60000"/>
                <a:lumOff val="40000"/>
              </a:schemeClr>
            </a:solidFill>
          </cx:spPr>
          <cx:dataLabels pos="outEnd">
            <cx:visibility seriesName="0" categoryName="0" value="1"/>
          </cx:dataLabels>
          <cx:dataId val="0"/>
          <cx:layoutPr>
            <cx:binning intervalClosed="r"/>
          </cx:layoutPr>
        </cx:series>
      </cx:plotAreaRegion>
      <cx:axis id="0">
        <cx:catScaling gapWidth="0"/>
        <cx:title>
          <cx:tx>
            <cx:txData>
              <cx:v>Money (Rands)</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Money (Rands)</a:t>
              </a:r>
            </a:p>
          </cx:txPr>
        </cx:title>
        <cx:tickLabels/>
      </cx:axis>
      <cx:axis id="1">
        <cx:valScaling/>
        <cx:majorGridlines>
          <cx:spPr>
            <a:ln>
              <a:solidFill>
                <a:schemeClr val="accent5">
                  <a:lumMod val="75000"/>
                </a:schemeClr>
              </a:solidFill>
            </a:ln>
          </cx:spPr>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Price Of Houses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Price Of Houses</a:t>
          </a:r>
        </a:p>
      </cx:txPr>
    </cx:title>
    <cx:plotArea>
      <cx:plotAreaRegion>
        <cx:series layoutId="clusteredColumn" uniqueId="{C1BAA88D-AEB1-444F-8D8D-235FE222B479}">
          <cx:tx>
            <cx:txData>
              <cx:f>_xlchart.v1.0</cx:f>
              <cx:v>Housing</cx:v>
            </cx:txData>
          </cx:tx>
          <cx:dataLabels pos="outEnd">
            <cx:visibility seriesName="0" categoryName="0" value="1"/>
          </cx:dataLabels>
          <cx:dataId val="0"/>
          <cx:layoutPr>
            <cx:binning intervalClosed="r"/>
          </cx:layoutPr>
        </cx:series>
      </cx:plotAreaRegion>
      <cx:axis id="0">
        <cx:catScaling gapWidth="0"/>
        <cx:title>
          <cx:tx>
            <cx:txData>
              <cx:v>Money (Rands)</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Money (Rands)</a:t>
              </a:r>
            </a:p>
          </cx:txPr>
        </cx:title>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Income Chart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Income Chart</a:t>
          </a:r>
        </a:p>
      </cx:txPr>
    </cx:title>
    <cx:plotArea>
      <cx:plotAreaRegion>
        <cx:series layoutId="clusteredColumn" uniqueId="{32787E12-C755-4E6A-8E50-FAF34C779CED}">
          <cx:tx>
            <cx:txData>
              <cx:f>_xlchart.v1.6</cx:f>
              <cx:v>Income</cx:v>
            </cx:txData>
          </cx:tx>
          <cx:spPr>
            <a:solidFill>
              <a:schemeClr val="accent1">
                <a:lumMod val="40000"/>
                <a:lumOff val="60000"/>
              </a:schemeClr>
            </a:solidFill>
          </cx:spPr>
          <cx:dataLabels pos="outEnd">
            <cx:visibility seriesName="0" categoryName="0" value="1"/>
          </cx:dataLabels>
          <cx:dataId val="0"/>
          <cx:layoutPr>
            <cx:binning intervalClosed="r"/>
          </cx:layoutPr>
        </cx:series>
      </cx:plotAreaRegion>
      <cx:axis id="0">
        <cx:catScaling gapWidth="0"/>
        <cx:title>
          <cx:tx>
            <cx:txData>
              <cx:v>Mopney (Rands)</cx:v>
            </cx:txData>
          </cx:tx>
          <cx:txPr>
            <a:bodyPr spcFirstLastPara="1" vertOverflow="ellipsis" horzOverflow="overflow" wrap="square" lIns="0" tIns="0" rIns="0" bIns="0" anchor="ctr" anchorCtr="1"/>
            <a:lstStyle/>
            <a:p>
              <a:pPr algn="ctr" rtl="0">
                <a:defRPr/>
              </a:pPr>
              <a:r>
                <a:rPr lang="en-GB" sz="900" b="0" i="0" u="none" strike="noStrike" baseline="0">
                  <a:solidFill>
                    <a:sysClr val="windowText" lastClr="000000">
                      <a:lumMod val="65000"/>
                      <a:lumOff val="35000"/>
                    </a:sysClr>
                  </a:solidFill>
                  <a:latin typeface="Aptos Narrow" panose="02110004020202020204"/>
                </a:rPr>
                <a:t>Mopney (Rands)</a:t>
              </a:r>
            </a:p>
          </cx:txPr>
        </cx:title>
        <cx:tickLabels/>
      </cx:axis>
      <cx:axis id="1">
        <cx:valScaling/>
        <cx:majorGridlines>
          <cx:spPr>
            <a:ln>
              <a:solidFill>
                <a:schemeClr val="accent3">
                  <a:lumMod val="50000"/>
                </a:schemeClr>
              </a:solidFill>
            </a:ln>
          </cx:spPr>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504826</xdr:colOff>
      <xdr:row>0</xdr:row>
      <xdr:rowOff>47015</xdr:rowOff>
    </xdr:from>
    <xdr:to>
      <xdr:col>10</xdr:col>
      <xdr:colOff>314326</xdr:colOff>
      <xdr:row>1</xdr:row>
      <xdr:rowOff>208940</xdr:rowOff>
    </xdr:to>
    <xdr:pic>
      <xdr:nvPicPr>
        <xdr:cNvPr id="3" name="Picture 2">
          <a:extLst>
            <a:ext uri="{FF2B5EF4-FFF2-40B4-BE49-F238E27FC236}">
              <a16:creationId xmlns:a16="http://schemas.microsoft.com/office/drawing/2014/main" id="{8A86CE90-415A-A573-DF3F-1F633C2D60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076" y="47015"/>
          <a:ext cx="419100" cy="419100"/>
        </a:xfrm>
        <a:prstGeom prst="rect">
          <a:avLst/>
        </a:prstGeom>
      </xdr:spPr>
    </xdr:pic>
    <xdr:clientData/>
  </xdr:twoCellAnchor>
  <xdr:twoCellAnchor editAs="oneCell">
    <xdr:from>
      <xdr:col>2</xdr:col>
      <xdr:colOff>381000</xdr:colOff>
      <xdr:row>2</xdr:row>
      <xdr:rowOff>9525</xdr:rowOff>
    </xdr:from>
    <xdr:to>
      <xdr:col>5</xdr:col>
      <xdr:colOff>189890</xdr:colOff>
      <xdr:row>9</xdr:row>
      <xdr:rowOff>37490</xdr:rowOff>
    </xdr:to>
    <xdr:pic>
      <xdr:nvPicPr>
        <xdr:cNvPr id="5" name="Picture 4">
          <a:extLst>
            <a:ext uri="{FF2B5EF4-FFF2-40B4-BE49-F238E27FC236}">
              <a16:creationId xmlns:a16="http://schemas.microsoft.com/office/drawing/2014/main" id="{A638E950-19FE-F56E-5209-B4CCB3D9DA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96075" y="485775"/>
          <a:ext cx="1637690" cy="1637690"/>
        </a:xfrm>
        <a:prstGeom prst="rect">
          <a:avLst/>
        </a:prstGeom>
      </xdr:spPr>
    </xdr:pic>
    <xdr:clientData/>
  </xdr:twoCellAnchor>
  <xdr:twoCellAnchor editAs="oneCell">
    <xdr:from>
      <xdr:col>11</xdr:col>
      <xdr:colOff>276225</xdr:colOff>
      <xdr:row>2</xdr:row>
      <xdr:rowOff>123824</xdr:rowOff>
    </xdr:from>
    <xdr:to>
      <xdr:col>13</xdr:col>
      <xdr:colOff>342290</xdr:colOff>
      <xdr:row>8</xdr:row>
      <xdr:rowOff>18439</xdr:rowOff>
    </xdr:to>
    <xdr:pic>
      <xdr:nvPicPr>
        <xdr:cNvPr id="7" name="Picture 6">
          <a:extLst>
            <a:ext uri="{FF2B5EF4-FFF2-40B4-BE49-F238E27FC236}">
              <a16:creationId xmlns:a16="http://schemas.microsoft.com/office/drawing/2014/main" id="{58E8A278-3365-BDD4-9004-35ABBDAD6E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49600" y="600074"/>
          <a:ext cx="1285265" cy="1285265"/>
        </a:xfrm>
        <a:prstGeom prst="rect">
          <a:avLst/>
        </a:prstGeom>
      </xdr:spPr>
    </xdr:pic>
    <xdr:clientData/>
  </xdr:twoCellAnchor>
  <xdr:twoCellAnchor editAs="oneCell">
    <xdr:from>
      <xdr:col>7</xdr:col>
      <xdr:colOff>38100</xdr:colOff>
      <xdr:row>16</xdr:row>
      <xdr:rowOff>161925</xdr:rowOff>
    </xdr:from>
    <xdr:to>
      <xdr:col>9</xdr:col>
      <xdr:colOff>516071</xdr:colOff>
      <xdr:row>24</xdr:row>
      <xdr:rowOff>30296</xdr:rowOff>
    </xdr:to>
    <xdr:pic>
      <xdr:nvPicPr>
        <xdr:cNvPr id="9" name="Picture 8">
          <a:extLst>
            <a:ext uri="{FF2B5EF4-FFF2-40B4-BE49-F238E27FC236}">
              <a16:creationId xmlns:a16="http://schemas.microsoft.com/office/drawing/2014/main" id="{65D8962F-CE92-BDD5-8E65-1813029337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01150" y="3781425"/>
          <a:ext cx="1697171" cy="1697171"/>
        </a:xfrm>
        <a:prstGeom prst="rect">
          <a:avLst/>
        </a:prstGeom>
      </xdr:spPr>
    </xdr:pic>
    <xdr:clientData/>
  </xdr:twoCellAnchor>
  <xdr:twoCellAnchor editAs="oneCell">
    <xdr:from>
      <xdr:col>2</xdr:col>
      <xdr:colOff>457200</xdr:colOff>
      <xdr:row>16</xdr:row>
      <xdr:rowOff>132740</xdr:rowOff>
    </xdr:from>
    <xdr:to>
      <xdr:col>5</xdr:col>
      <xdr:colOff>285750</xdr:colOff>
      <xdr:row>23</xdr:row>
      <xdr:rowOff>180365</xdr:rowOff>
    </xdr:to>
    <xdr:pic>
      <xdr:nvPicPr>
        <xdr:cNvPr id="11" name="Picture 10">
          <a:extLst>
            <a:ext uri="{FF2B5EF4-FFF2-40B4-BE49-F238E27FC236}">
              <a16:creationId xmlns:a16="http://schemas.microsoft.com/office/drawing/2014/main" id="{8CB3084B-D36E-5349-2200-EC5589FAA79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72275" y="3752240"/>
          <a:ext cx="1657350" cy="1657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3419476</xdr:colOff>
      <xdr:row>0</xdr:row>
      <xdr:rowOff>28575</xdr:rowOff>
    </xdr:from>
    <xdr:to>
      <xdr:col>7</xdr:col>
      <xdr:colOff>3848110</xdr:colOff>
      <xdr:row>1</xdr:row>
      <xdr:rowOff>133359</xdr:rowOff>
    </xdr:to>
    <xdr:pic>
      <xdr:nvPicPr>
        <xdr:cNvPr id="3" name="Picture 2">
          <a:extLst>
            <a:ext uri="{FF2B5EF4-FFF2-40B4-BE49-F238E27FC236}">
              <a16:creationId xmlns:a16="http://schemas.microsoft.com/office/drawing/2014/main" id="{43833D3E-6A84-A645-F00F-059832DE17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86976" y="28575"/>
          <a:ext cx="428634" cy="4286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12009</xdr:colOff>
      <xdr:row>0</xdr:row>
      <xdr:rowOff>155299</xdr:rowOff>
    </xdr:from>
    <xdr:to>
      <xdr:col>13</xdr:col>
      <xdr:colOff>537883</xdr:colOff>
      <xdr:row>22</xdr:row>
      <xdr:rowOff>134471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79E105F-7FA7-4853-881B-A4A374389E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1609" y="155299"/>
              <a:ext cx="7841074" cy="41701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549087</xdr:colOff>
      <xdr:row>1</xdr:row>
      <xdr:rowOff>0</xdr:rowOff>
    </xdr:from>
    <xdr:to>
      <xdr:col>27</xdr:col>
      <xdr:colOff>459441</xdr:colOff>
      <xdr:row>22</xdr:row>
      <xdr:rowOff>179294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524B82A-762A-44D4-B813-CA8643544D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83487" y="190500"/>
              <a:ext cx="7835154" cy="41797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593912</xdr:colOff>
      <xdr:row>23</xdr:row>
      <xdr:rowOff>168087</xdr:rowOff>
    </xdr:from>
    <xdr:to>
      <xdr:col>13</xdr:col>
      <xdr:colOff>515471</xdr:colOff>
      <xdr:row>45</xdr:row>
      <xdr:rowOff>179293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D642DBC-F20F-4A6F-B772-4A2B8BE75F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3912" y="4549587"/>
              <a:ext cx="7846359" cy="42022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560293</xdr:colOff>
      <xdr:row>24</xdr:row>
      <xdr:rowOff>11206</xdr:rowOff>
    </xdr:from>
    <xdr:to>
      <xdr:col>27</xdr:col>
      <xdr:colOff>414617</xdr:colOff>
      <xdr:row>45</xdr:row>
      <xdr:rowOff>134470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8003FF7-B53D-4549-AD3C-13407A1392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094693" y="4583206"/>
              <a:ext cx="7779124" cy="41237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304800</xdr:colOff>
      <xdr:row>4</xdr:row>
      <xdr:rowOff>104775</xdr:rowOff>
    </xdr:from>
    <xdr:to>
      <xdr:col>18</xdr:col>
      <xdr:colOff>113690</xdr:colOff>
      <xdr:row>22</xdr:row>
      <xdr:rowOff>142265</xdr:rowOff>
    </xdr:to>
    <xdr:pic>
      <xdr:nvPicPr>
        <xdr:cNvPr id="3" name="Picture 2">
          <a:extLst>
            <a:ext uri="{FF2B5EF4-FFF2-40B4-BE49-F238E27FC236}">
              <a16:creationId xmlns:a16="http://schemas.microsoft.com/office/drawing/2014/main" id="{C3868EC0-2531-0E87-ABEB-7C5844B11C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00" y="866775"/>
          <a:ext cx="3466490" cy="34664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cars.co.za/motoring-news/understanding-total-cost-of-ownership-for-cars-in-south-africa/299920/?" TargetMode="External"/><Relationship Id="rId3" Type="http://schemas.openxmlformats.org/officeDocument/2006/relationships/hyperlink" Target="https://www.livingcost.net/south-africa?" TargetMode="External"/><Relationship Id="rId7" Type="http://schemas.openxmlformats.org/officeDocument/2006/relationships/hyperlink" Target="https://www.cars.co.za/motoring-news/understanding-total-cost-of-ownership-for-cars-in-south-africa/299920/?" TargetMode="External"/><Relationship Id="rId2" Type="http://schemas.openxmlformats.org/officeDocument/2006/relationships/hyperlink" Target="https://copound.com/cost-of-living-south-africa-c201" TargetMode="External"/><Relationship Id="rId1" Type="http://schemas.openxmlformats.org/officeDocument/2006/relationships/hyperlink" Target="https://modernclassroom.co.za/how-much-are-school-fees-in-south-africa-a-parents-guide/?" TargetMode="External"/><Relationship Id="rId6" Type="http://schemas.openxmlformats.org/officeDocument/2006/relationships/hyperlink" Target="https://theafricanvestor.com/blogs/news/average-house-price-south-africa?" TargetMode="External"/><Relationship Id="rId5" Type="http://schemas.openxmlformats.org/officeDocument/2006/relationships/hyperlink" Target="https://travelpander.com/how-much-is-medical-aid-in-south-africa/?" TargetMode="External"/><Relationship Id="rId10" Type="http://schemas.openxmlformats.org/officeDocument/2006/relationships/drawing" Target="../drawings/drawing2.xml"/><Relationship Id="rId4" Type="http://schemas.openxmlformats.org/officeDocument/2006/relationships/hyperlink" Target="https://www.statssa.gov.za/?p=17981&amp;" TargetMode="External"/><Relationship Id="rId9" Type="http://schemas.openxmlformats.org/officeDocument/2006/relationships/hyperlink" Target="https://www.numbeo.com/cost-of-living/region_prices_by_city?itemId=224&amp;region=018&am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926C-6194-4D32-B57C-2D9FC358B90C}">
  <sheetPr>
    <tabColor theme="3" tint="0.749992370372631"/>
  </sheetPr>
  <dimension ref="B1:K21"/>
  <sheetViews>
    <sheetView showGridLines="0" workbookViewId="0">
      <selection activeCell="F13" sqref="F13"/>
    </sheetView>
  </sheetViews>
  <sheetFormatPr defaultRowHeight="17.25"/>
  <cols>
    <col min="1" max="1" width="9.140625" style="1"/>
    <col min="2" max="2" width="85.5703125" style="1" bestFit="1" customWidth="1"/>
    <col min="3" max="6" width="9.140625" style="1"/>
    <col min="7" max="7" width="6.140625" style="1" customWidth="1"/>
    <col min="8" max="10" width="9.140625" style="1"/>
    <col min="11" max="11" width="68.7109375" style="1" bestFit="1" customWidth="1"/>
    <col min="12" max="16384" width="9.140625" style="1"/>
  </cols>
  <sheetData>
    <row r="1" spans="2:11" ht="20.25" customHeight="1">
      <c r="B1" s="45" t="s">
        <v>43</v>
      </c>
      <c r="C1" s="45"/>
      <c r="D1" s="45"/>
      <c r="E1" s="45"/>
      <c r="F1" s="45"/>
      <c r="G1" s="45"/>
      <c r="H1" s="45"/>
      <c r="I1" s="45"/>
      <c r="J1" s="45"/>
      <c r="K1" s="45"/>
    </row>
    <row r="2" spans="2:11">
      <c r="B2" s="45"/>
      <c r="C2" s="45"/>
      <c r="D2" s="45"/>
      <c r="E2" s="45"/>
      <c r="F2" s="45"/>
      <c r="G2" s="45"/>
      <c r="H2" s="45"/>
      <c r="I2" s="45"/>
      <c r="J2" s="45"/>
      <c r="K2" s="45"/>
    </row>
    <row r="5" spans="2:11" ht="20.25">
      <c r="B5" s="36" t="s">
        <v>44</v>
      </c>
      <c r="K5" s="41" t="s">
        <v>48</v>
      </c>
    </row>
    <row r="6" spans="2:11" ht="20.25">
      <c r="B6" s="40" t="s">
        <v>45</v>
      </c>
      <c r="K6" s="42" t="s">
        <v>49</v>
      </c>
    </row>
    <row r="7" spans="2:11">
      <c r="B7" s="38" t="s">
        <v>46</v>
      </c>
    </row>
    <row r="8" spans="2:11">
      <c r="B8" s="39" t="s">
        <v>47</v>
      </c>
    </row>
    <row r="9" spans="2:11">
      <c r="B9" s="37" t="s">
        <v>58</v>
      </c>
    </row>
    <row r="20" spans="2:2" ht="20.25">
      <c r="B20" s="36" t="s">
        <v>57</v>
      </c>
    </row>
    <row r="21" spans="2:2" ht="20.25">
      <c r="B21" s="36"/>
    </row>
  </sheetData>
  <mergeCells count="1">
    <mergeCell ref="B1:K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00D6F-760C-4F95-BEC2-D3A8208B3499}">
  <sheetPr>
    <tabColor theme="9" tint="0.39997558519241921"/>
  </sheetPr>
  <dimension ref="C1:H23"/>
  <sheetViews>
    <sheetView showGridLines="0" tabSelected="1" workbookViewId="0">
      <selection activeCell="C19" sqref="C19"/>
    </sheetView>
  </sheetViews>
  <sheetFormatPr defaultRowHeight="17.25"/>
  <cols>
    <col min="1" max="2" width="9.140625" style="1"/>
    <col min="3" max="3" width="26.28515625" style="1" bestFit="1" customWidth="1"/>
    <col min="4" max="4" width="15.7109375" style="1" bestFit="1" customWidth="1"/>
    <col min="5" max="5" width="9.140625" style="1"/>
    <col min="6" max="6" width="15.7109375" style="1" bestFit="1" customWidth="1"/>
    <col min="7" max="7" width="14.85546875" style="1" customWidth="1"/>
    <col min="8" max="8" width="163.42578125" style="1" bestFit="1" customWidth="1"/>
    <col min="9" max="16384" width="9.140625" style="1"/>
  </cols>
  <sheetData>
    <row r="1" spans="3:8" ht="25.5" customHeight="1">
      <c r="C1" s="48" t="s">
        <v>42</v>
      </c>
      <c r="D1" s="48"/>
      <c r="E1" s="48"/>
      <c r="F1" s="48"/>
      <c r="G1" s="48"/>
      <c r="H1" s="48"/>
    </row>
    <row r="2" spans="3:8">
      <c r="C2" s="49"/>
      <c r="D2" s="49"/>
      <c r="E2" s="49"/>
      <c r="F2" s="49"/>
      <c r="G2" s="49"/>
      <c r="H2" s="49"/>
    </row>
    <row r="3" spans="3:8">
      <c r="C3" s="24" t="s">
        <v>37</v>
      </c>
      <c r="D3" s="24" t="s">
        <v>38</v>
      </c>
      <c r="E3" s="24"/>
      <c r="F3" s="24" t="s">
        <v>39</v>
      </c>
      <c r="G3" s="24" t="s">
        <v>40</v>
      </c>
      <c r="H3" s="24" t="s">
        <v>41</v>
      </c>
    </row>
    <row r="4" spans="3:8">
      <c r="C4" s="25" t="s">
        <v>0</v>
      </c>
      <c r="D4" s="26">
        <v>25000</v>
      </c>
      <c r="E4" s="22" t="s">
        <v>10</v>
      </c>
      <c r="F4" s="29">
        <v>30000</v>
      </c>
      <c r="G4" s="32" t="s">
        <v>28</v>
      </c>
      <c r="H4" s="34" t="s">
        <v>17</v>
      </c>
    </row>
    <row r="5" spans="3:8">
      <c r="C5" s="25" t="s">
        <v>1</v>
      </c>
      <c r="D5" s="26">
        <f>3000*12</f>
        <v>36000</v>
      </c>
      <c r="E5" s="23" t="s">
        <v>10</v>
      </c>
      <c r="F5" s="29">
        <f>4000*12</f>
        <v>48000</v>
      </c>
      <c r="G5" s="32" t="s">
        <v>28</v>
      </c>
      <c r="H5" s="35" t="s">
        <v>24</v>
      </c>
    </row>
    <row r="6" spans="3:8">
      <c r="C6" s="25" t="s">
        <v>2</v>
      </c>
      <c r="D6" s="26">
        <f>500000</f>
        <v>500000</v>
      </c>
      <c r="E6" s="23" t="s">
        <v>10</v>
      </c>
      <c r="F6" s="29">
        <f>2000000</f>
        <v>2000000</v>
      </c>
      <c r="G6" s="32" t="s">
        <v>29</v>
      </c>
      <c r="H6" s="35" t="s">
        <v>24</v>
      </c>
    </row>
    <row r="7" spans="3:8">
      <c r="C7" s="25" t="s">
        <v>3</v>
      </c>
      <c r="D7" s="26">
        <f>1500000</f>
        <v>1500000</v>
      </c>
      <c r="E7" s="23" t="s">
        <v>10</v>
      </c>
      <c r="F7" s="29">
        <v>4000000</v>
      </c>
      <c r="G7" s="32" t="s">
        <v>29</v>
      </c>
      <c r="H7" s="35" t="s">
        <v>23</v>
      </c>
    </row>
    <row r="8" spans="3:8">
      <c r="C8" s="25" t="s">
        <v>4</v>
      </c>
      <c r="D8" s="26">
        <f>1500*12</f>
        <v>18000</v>
      </c>
      <c r="E8" s="23" t="s">
        <v>10</v>
      </c>
      <c r="F8" s="29">
        <f>3000*12</f>
        <v>36000</v>
      </c>
      <c r="G8" s="32" t="s">
        <v>28</v>
      </c>
      <c r="H8" s="35" t="s">
        <v>18</v>
      </c>
    </row>
    <row r="9" spans="3:8">
      <c r="C9" s="25" t="s">
        <v>5</v>
      </c>
      <c r="D9" s="26">
        <f>100000</f>
        <v>100000</v>
      </c>
      <c r="E9" s="23" t="s">
        <v>10</v>
      </c>
      <c r="F9" s="29">
        <f>300000</f>
        <v>300000</v>
      </c>
      <c r="G9" s="32" t="s">
        <v>28</v>
      </c>
      <c r="H9" s="35" t="s">
        <v>22</v>
      </c>
    </row>
    <row r="10" spans="3:8">
      <c r="C10" s="25" t="s">
        <v>6</v>
      </c>
      <c r="D10" s="26">
        <f>2000*12</f>
        <v>24000</v>
      </c>
      <c r="E10" s="23" t="s">
        <v>10</v>
      </c>
      <c r="F10" s="29">
        <f>5000*12</f>
        <v>60000</v>
      </c>
      <c r="G10" s="32" t="s">
        <v>28</v>
      </c>
      <c r="H10" s="35" t="s">
        <v>25</v>
      </c>
    </row>
    <row r="11" spans="3:8">
      <c r="C11" s="25" t="s">
        <v>7</v>
      </c>
      <c r="D11" s="26">
        <f>3000 *12</f>
        <v>36000</v>
      </c>
      <c r="E11" s="23" t="s">
        <v>10</v>
      </c>
      <c r="F11" s="29">
        <f>10000*12</f>
        <v>120000</v>
      </c>
      <c r="G11" s="32" t="s">
        <v>28</v>
      </c>
      <c r="H11" s="35" t="s">
        <v>21</v>
      </c>
    </row>
    <row r="12" spans="3:8">
      <c r="C12" s="25" t="s">
        <v>8</v>
      </c>
      <c r="D12" s="26">
        <f>140000</f>
        <v>140000</v>
      </c>
      <c r="E12" s="23" t="s">
        <v>10</v>
      </c>
      <c r="F12" s="29">
        <f>250000</f>
        <v>250000</v>
      </c>
      <c r="G12" s="32" t="s">
        <v>28</v>
      </c>
      <c r="H12" s="35" t="s">
        <v>20</v>
      </c>
    </row>
    <row r="13" spans="3:8">
      <c r="C13" s="25" t="s">
        <v>9</v>
      </c>
      <c r="D13" s="26">
        <f>150000</f>
        <v>150000</v>
      </c>
      <c r="E13" s="23" t="s">
        <v>10</v>
      </c>
      <c r="F13" s="29">
        <f>500000</f>
        <v>500000</v>
      </c>
      <c r="G13" s="32" t="s">
        <v>28</v>
      </c>
      <c r="H13" s="34" t="s">
        <v>16</v>
      </c>
    </row>
    <row r="14" spans="3:8">
      <c r="C14" s="25" t="s">
        <v>11</v>
      </c>
      <c r="D14" s="26">
        <f>8000*12</f>
        <v>96000</v>
      </c>
      <c r="E14" s="23" t="s">
        <v>10</v>
      </c>
      <c r="F14" s="29">
        <f>15000*12</f>
        <v>180000</v>
      </c>
      <c r="G14" s="32" t="s">
        <v>28</v>
      </c>
      <c r="H14" s="35" t="s">
        <v>19</v>
      </c>
    </row>
    <row r="15" spans="3:8">
      <c r="C15" s="25" t="s">
        <v>12</v>
      </c>
      <c r="D15" s="26">
        <f>480000</f>
        <v>480000</v>
      </c>
      <c r="E15" s="23" t="s">
        <v>10</v>
      </c>
      <c r="F15" s="29">
        <f>4000000</f>
        <v>4000000</v>
      </c>
      <c r="G15" s="32" t="s">
        <v>28</v>
      </c>
      <c r="H15" s="34" t="s">
        <v>15</v>
      </c>
    </row>
    <row r="16" spans="3:8">
      <c r="C16" s="25" t="s">
        <v>13</v>
      </c>
      <c r="D16" s="27">
        <v>80000</v>
      </c>
      <c r="E16" s="23" t="s">
        <v>10</v>
      </c>
      <c r="F16" s="29">
        <v>400000</v>
      </c>
      <c r="G16" s="32" t="s">
        <v>28</v>
      </c>
      <c r="H16" s="34" t="s">
        <v>14</v>
      </c>
    </row>
    <row r="17" spans="3:8">
      <c r="C17" s="25" t="s">
        <v>34</v>
      </c>
      <c r="D17" s="28">
        <f>8000*12</f>
        <v>96000</v>
      </c>
      <c r="E17" s="23" t="s">
        <v>10</v>
      </c>
      <c r="F17" s="30">
        <f>12000*12</f>
        <v>144000</v>
      </c>
      <c r="G17" s="32" t="s">
        <v>28</v>
      </c>
      <c r="H17" s="34" t="s">
        <v>35</v>
      </c>
    </row>
    <row r="18" spans="3:8">
      <c r="C18" s="25" t="s">
        <v>31</v>
      </c>
      <c r="D18" s="26">
        <f>100000*(1+12%)^44</f>
        <v>14641750.345627395</v>
      </c>
      <c r="E18" s="21"/>
      <c r="F18" s="31"/>
      <c r="G18" s="33"/>
      <c r="H18" s="34"/>
    </row>
    <row r="21" spans="3:8" ht="20.25">
      <c r="C21" s="47" t="s">
        <v>52</v>
      </c>
      <c r="D21" s="47"/>
      <c r="E21" s="47"/>
      <c r="F21" s="47"/>
      <c r="G21" s="47"/>
      <c r="H21" s="47"/>
    </row>
    <row r="22" spans="3:8">
      <c r="C22" s="46" t="s">
        <v>50</v>
      </c>
      <c r="D22" s="46"/>
      <c r="E22" s="46"/>
      <c r="F22" s="46"/>
      <c r="G22" s="46"/>
      <c r="H22" s="46"/>
    </row>
    <row r="23" spans="3:8">
      <c r="C23" s="46" t="s">
        <v>51</v>
      </c>
      <c r="D23" s="46"/>
      <c r="E23" s="46"/>
      <c r="F23" s="46"/>
      <c r="G23" s="46"/>
      <c r="H23" s="46"/>
    </row>
  </sheetData>
  <mergeCells count="4">
    <mergeCell ref="C23:H23"/>
    <mergeCell ref="C21:H21"/>
    <mergeCell ref="C1:H2"/>
    <mergeCell ref="C22:H22"/>
  </mergeCells>
  <hyperlinks>
    <hyperlink ref="H9" r:id="rId1" xr:uid="{2BCF0C7E-A08C-49DD-AF8E-99260ED1D3AE}"/>
    <hyperlink ref="H8" r:id="rId2" xr:uid="{C17156E3-4A49-4397-8609-DCEBD7464E90}"/>
    <hyperlink ref="H14" r:id="rId3" xr:uid="{523B1C21-189E-4280-80E2-664D48D69346}"/>
    <hyperlink ref="H12" r:id="rId4" xr:uid="{6ACFFE49-F451-4576-93DF-5BCFFD466D7F}"/>
    <hyperlink ref="H11" r:id="rId5" xr:uid="{4C98E6B2-5777-4547-9025-AAEE812407C5}"/>
    <hyperlink ref="H7" r:id="rId6" xr:uid="{A7BD3A46-7B83-4D31-B1A8-CBD9C1F0889B}"/>
    <hyperlink ref="H6" r:id="rId7" xr:uid="{F97BA255-AA99-4FFF-9CA5-42945107027C}"/>
    <hyperlink ref="H5" r:id="rId8" xr:uid="{1FBB1B52-22AF-43F9-8C09-3C4805DE60F0}"/>
    <hyperlink ref="H10" r:id="rId9" xr:uid="{E9515E82-6C1B-4C8F-B099-AB615B979E98}"/>
  </hyperlink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29F3-7D78-4F55-8D4F-DE97D8B775A8}">
  <sheetPr>
    <tabColor theme="8" tint="0.39997558519241921"/>
  </sheetPr>
  <dimension ref="A1:S1002"/>
  <sheetViews>
    <sheetView showGridLines="0" zoomScale="70" zoomScaleNormal="70" workbookViewId="0">
      <pane ySplit="1" topLeftCell="A2" activePane="bottomLeft" state="frozen"/>
      <selection pane="bottomLeft" activeCell="I24" sqref="I24"/>
    </sheetView>
  </sheetViews>
  <sheetFormatPr defaultRowHeight="17.25"/>
  <cols>
    <col min="1" max="1" width="17" style="20" bestFit="1" customWidth="1"/>
    <col min="2" max="2" width="32.28515625" style="4" bestFit="1" customWidth="1"/>
    <col min="3" max="3" width="16" style="7" bestFit="1" customWidth="1"/>
    <col min="4" max="4" width="16" style="10" bestFit="1" customWidth="1"/>
    <col min="5" max="5" width="14.7109375" style="13" bestFit="1" customWidth="1"/>
    <col min="6" max="6" width="16" style="16" bestFit="1" customWidth="1"/>
    <col min="7" max="7" width="14.7109375" style="4" bestFit="1" customWidth="1"/>
    <col min="8" max="8" width="24.28515625" style="7" bestFit="1" customWidth="1"/>
    <col min="9" max="9" width="16" style="10" bestFit="1" customWidth="1"/>
    <col min="10" max="10" width="27.140625" style="13" bestFit="1" customWidth="1"/>
    <col min="11" max="11" width="42.42578125" style="16" bestFit="1" customWidth="1"/>
    <col min="12" max="12" width="23.28515625" style="4" bestFit="1" customWidth="1"/>
    <col min="13" max="13" width="41.140625" style="7" bestFit="1" customWidth="1"/>
    <col min="14" max="14" width="16.5703125" style="10" bestFit="1" customWidth="1"/>
    <col min="15" max="15" width="18" style="13" bestFit="1" customWidth="1"/>
    <col min="16" max="16" width="18" style="16" bestFit="1" customWidth="1"/>
    <col min="17" max="17" width="23.5703125" style="4" bestFit="1" customWidth="1"/>
    <col min="18" max="18" width="26.5703125" style="7" bestFit="1" customWidth="1"/>
    <col min="20" max="24" width="9.140625" style="1"/>
    <col min="25" max="25" width="9.140625" style="1" customWidth="1"/>
    <col min="26" max="16384" width="9.140625" style="1"/>
  </cols>
  <sheetData>
    <row r="1" spans="1:18" ht="20.25">
      <c r="A1" s="19" t="s">
        <v>36</v>
      </c>
      <c r="B1" s="2" t="s">
        <v>26</v>
      </c>
      <c r="C1" s="5" t="s">
        <v>1</v>
      </c>
      <c r="D1" s="8" t="s">
        <v>2</v>
      </c>
      <c r="E1" s="11" t="s">
        <v>34</v>
      </c>
      <c r="F1" s="14" t="s">
        <v>3</v>
      </c>
      <c r="G1" s="2" t="s">
        <v>4</v>
      </c>
      <c r="H1" s="5" t="s">
        <v>5</v>
      </c>
      <c r="I1" s="17" t="s">
        <v>6</v>
      </c>
      <c r="J1" s="18" t="s">
        <v>7</v>
      </c>
      <c r="K1" s="14" t="s">
        <v>27</v>
      </c>
      <c r="L1" s="2" t="s">
        <v>9</v>
      </c>
      <c r="M1" s="5" t="s">
        <v>11</v>
      </c>
      <c r="N1" s="17" t="s">
        <v>13</v>
      </c>
      <c r="O1" s="18" t="s">
        <v>12</v>
      </c>
      <c r="P1" s="14" t="s">
        <v>30</v>
      </c>
      <c r="Q1" s="2" t="s">
        <v>32</v>
      </c>
      <c r="R1" s="5" t="s">
        <v>33</v>
      </c>
    </row>
    <row r="2" spans="1:18">
      <c r="A2" s="20">
        <v>1</v>
      </c>
      <c r="B2" s="3">
        <f ca="1">_xlfn.NORM.INV(RAND(),AVERAGE(Assumptions!$D$4,Assumptions!$F$4),(Assumptions!$F$4-Assumptions!$D$4)/3.29)*44</f>
        <v>1150938.7847995027</v>
      </c>
      <c r="C2" s="6">
        <f ca="1">_xlfn.NORM.INV(RAND(),AVERAGE(Assumptions!$D$5,Assumptions!$F$5),(Assumptions!$F$5-Assumptions!$D$5)/3.29)*44</f>
        <v>1999197.4224785147</v>
      </c>
      <c r="D2" s="9">
        <f ca="1">_xlfn.NORM.INV(RAND(),AVERAGE(Assumptions!$D$6,Assumptions!$F$6),(Assumptions!$F$6-Assumptions!$D$6)/3.29)*RANDBETWEEN(2,5)</f>
        <v>1189999.6747537539</v>
      </c>
      <c r="E2" s="12">
        <f ca="1">_xlfn.NORM.INV(RAND(),AVERAGE(Assumptions!$D$17,Assumptions!$F$17),(Assumptions!$F$17-Assumptions!$D$17)/3.29)*8</f>
        <v>952255.11444892106</v>
      </c>
      <c r="F2" s="15">
        <f ca="1">_xlfn.NORM.INV(RAND(),AVERAGE(Assumptions!$D$7,Assumptions!$F$7),(Assumptions!$F$7-Assumptions!$D$7)/3.29)*RANDBETWEEN(1,3)</f>
        <v>9667850.2648838628</v>
      </c>
      <c r="G2" s="3">
        <f ca="1">_xlfn.NORM.INV(RAND(),AVERAGE(Assumptions!$D$8,Assumptions!$F$8),(Assumptions!$F$8-Assumptions!$D$8)/3.29)*44</f>
        <v>1123592.9226465772</v>
      </c>
      <c r="H2" s="6">
        <f ca="1">_xlfn.NORM.INV(RAND(),AVERAGE(Assumptions!$D$9,Assumptions!$F$9),(Assumptions!$F$9-Assumptions!$D$9)/3.29)*21</f>
        <v>5178638.2800087323</v>
      </c>
      <c r="I2" s="9">
        <f ca="1">_xlfn.NORM.INV(RAND(),AVERAGE(Assumptions!$D$10,Assumptions!$F$10),(Assumptions!$F$10-Assumptions!$D$10)/3.29)*21</f>
        <v>703921.86295707186</v>
      </c>
      <c r="J2" s="12">
        <f ca="1">NORMINV(RAND(),AVERAGE(Assumptions!$D$11,Assumptions!$F$11),(Assumptions!$F$11-Assumptions!$D$11)/3.29)*44</f>
        <v>2535617.9817879898</v>
      </c>
      <c r="K2" s="15">
        <f ca="1">_xlfn.NORM.INV(RAND(),AVERAGE(Assumptions!$D$12,Assumptions!$F$12),(Assumptions!$F$12-Assumptions!$D$12)/3.29)*44</f>
        <v>9200575.0300066452</v>
      </c>
      <c r="L2" s="3">
        <f ca="1">_xlfn.NORM.INV(RAND(),AVERAGE(Assumptions!$D$13,Assumptions!$F$13),(Assumptions!$F$13-Assumptions!$D$13)/3.29)*44</f>
        <v>5520502.8089100197</v>
      </c>
      <c r="M2" s="6">
        <f ca="1">_xlfn.NORM.INV(RAND(),AVERAGE(Assumptions!$D$14,Assumptions!$F$14),(Assumptions!$F$14-Assumptions!$D$14)/3.29)*44</f>
        <v>6808423.7219576854</v>
      </c>
      <c r="N2" s="9">
        <f ca="1">_xlfn.NORM.INV(RAND(),AVERAGE(Assumptions!$D$16,Assumptions!$F$16),(Assumptions!$F$16-Assumptions!$D$16)/3.29)*44</f>
        <v>8107549.0738939252</v>
      </c>
      <c r="O2" s="12">
        <f ca="1">_xlfn.NORM.INV(RAND(),AVERAGE(Assumptions!$D$15,Assumptions!$F$15),(Assumptions!$F$15-Assumptions!$D$15)/3.29)*44</f>
        <v>72278211.27484265</v>
      </c>
      <c r="P2" s="15">
        <f>Assumptions!$D$18</f>
        <v>14641750.345627395</v>
      </c>
      <c r="Q2" s="3">
        <f ca="1">O2-(B2+C2+D2+F2+G2+H2+I2+J2+K2+L2+M2+N2+E2)</f>
        <v>18139148.331309453</v>
      </c>
      <c r="R2" s="6">
        <f ca="1">Q2+P2</f>
        <v>32780898.67693685</v>
      </c>
    </row>
    <row r="3" spans="1:18">
      <c r="A3" s="20">
        <v>2</v>
      </c>
      <c r="B3" s="3">
        <f ca="1">_xlfn.NORM.INV(RAND(),AVERAGE(Assumptions!$D$4,Assumptions!$F$4),(Assumptions!$F$4-Assumptions!$D$4)/3.29)*44</f>
        <v>1224735.2434402236</v>
      </c>
      <c r="C3" s="6">
        <f ca="1">_xlfn.NORM.INV(RAND(),AVERAGE(Assumptions!$D$5,Assumptions!$F$5),(Assumptions!$F$5-Assumptions!$D$5)/3.29)*44</f>
        <v>1890378.9254544724</v>
      </c>
      <c r="D3" s="9">
        <f ca="1">_xlfn.NORM.INV(RAND(),AVERAGE(Assumptions!$D$6,Assumptions!$F$6),(Assumptions!$F$6-Assumptions!$D$6)/3.29)*RANDBETWEEN(2,5)</f>
        <v>3173710.5571435289</v>
      </c>
      <c r="E3" s="12">
        <f ca="1">_xlfn.NORM.INV(RAND(),AVERAGE(Assumptions!$D$17,Assumptions!$F$17),(Assumptions!$F$17-Assumptions!$D$17)/3.29)*8</f>
        <v>896491.60854308563</v>
      </c>
      <c r="F3" s="15">
        <f ca="1">_xlfn.NORM.INV(RAND(),AVERAGE(Assumptions!$D$7,Assumptions!$F$7),(Assumptions!$F$7-Assumptions!$D$7)/3.29)*RANDBETWEEN(1,3)</f>
        <v>2013998.5694264052</v>
      </c>
      <c r="G3" s="3">
        <f ca="1">_xlfn.NORM.INV(RAND(),AVERAGE(Assumptions!$D$8,Assumptions!$F$8),(Assumptions!$F$8-Assumptions!$D$8)/3.29)*44</f>
        <v>1140928.6851700926</v>
      </c>
      <c r="H3" s="6">
        <f ca="1">_xlfn.NORM.INV(RAND(),AVERAGE(Assumptions!$D$9,Assumptions!$F$9),(Assumptions!$F$9-Assumptions!$D$9)/3.29)*21</f>
        <v>3269329.5540770558</v>
      </c>
      <c r="I3" s="9">
        <f ca="1">_xlfn.NORM.INV(RAND(),AVERAGE(Assumptions!$D$10,Assumptions!$F$10),(Assumptions!$F$10-Assumptions!$D$10)/3.29)*21</f>
        <v>852576.41793053492</v>
      </c>
      <c r="J3" s="12">
        <f ca="1">NORMINV(RAND(),AVERAGE(Assumptions!$D$11,Assumptions!$F$11),(Assumptions!$F$11-Assumptions!$D$11)/3.29)*44</f>
        <v>4061889.6137525621</v>
      </c>
      <c r="K3" s="15">
        <f ca="1">_xlfn.NORM.INV(RAND(),AVERAGE(Assumptions!$D$12,Assumptions!$F$12),(Assumptions!$F$12-Assumptions!$D$12)/3.29)*44</f>
        <v>7081723.7090837136</v>
      </c>
      <c r="L3" s="3">
        <f ca="1">_xlfn.NORM.INV(RAND(),AVERAGE(Assumptions!$D$13,Assumptions!$F$13),(Assumptions!$F$13-Assumptions!$D$13)/3.29)*44</f>
        <v>17734917.646392748</v>
      </c>
      <c r="M3" s="6">
        <f ca="1">_xlfn.NORM.INV(RAND(),AVERAGE(Assumptions!$D$14,Assumptions!$F$14),(Assumptions!$F$14-Assumptions!$D$14)/3.29)*44</f>
        <v>5694430.1300067306</v>
      </c>
      <c r="N3" s="9">
        <f ca="1">_xlfn.NORM.INV(RAND(),AVERAGE(Assumptions!$D$16,Assumptions!$F$16),(Assumptions!$F$16-Assumptions!$D$16)/3.29)*44</f>
        <v>3913664.3996492457</v>
      </c>
      <c r="O3" s="12">
        <f ca="1">_xlfn.NORM.INV(RAND(),AVERAGE(Assumptions!$D$15,Assumptions!$F$15),(Assumptions!$F$15-Assumptions!$D$15)/3.29)*44</f>
        <v>122831731.73792182</v>
      </c>
      <c r="P3" s="15">
        <f>Assumptions!$D$18</f>
        <v>14641750.345627395</v>
      </c>
      <c r="Q3" s="3">
        <f t="shared" ref="Q3:Q66" ca="1" si="0">O3-(B3+C3+D3+F3+G3+H3+I3+J3+K3+L3+M3+N3+E3)</f>
        <v>69882956.677851424</v>
      </c>
      <c r="R3" s="6">
        <f t="shared" ref="R3:R66" ca="1" si="1">Q3+P3</f>
        <v>84524707.023478821</v>
      </c>
    </row>
    <row r="4" spans="1:18">
      <c r="A4" s="20">
        <v>3</v>
      </c>
      <c r="B4" s="3">
        <f ca="1">_xlfn.NORM.INV(RAND(),AVERAGE(Assumptions!$D$4,Assumptions!$F$4),(Assumptions!$F$4-Assumptions!$D$4)/3.29)*44</f>
        <v>1162762.308212633</v>
      </c>
      <c r="C4" s="6">
        <f ca="1">_xlfn.NORM.INV(RAND(),AVERAGE(Assumptions!$D$5,Assumptions!$F$5),(Assumptions!$F$5-Assumptions!$D$5)/3.29)*44</f>
        <v>2117262.6220951388</v>
      </c>
      <c r="D4" s="9">
        <f ca="1">_xlfn.NORM.INV(RAND(),AVERAGE(Assumptions!$D$6,Assumptions!$F$6),(Assumptions!$F$6-Assumptions!$D$6)/3.29)*RANDBETWEEN(2,5)</f>
        <v>2421347.0552328499</v>
      </c>
      <c r="E4" s="12">
        <f ca="1">_xlfn.NORM.INV(RAND(),AVERAGE(Assumptions!$D$17,Assumptions!$F$17),(Assumptions!$F$17-Assumptions!$D$17)/3.29)*8</f>
        <v>1073934.3383378668</v>
      </c>
      <c r="F4" s="15">
        <f ca="1">_xlfn.NORM.INV(RAND(),AVERAGE(Assumptions!$D$7,Assumptions!$F$7),(Assumptions!$F$7-Assumptions!$D$7)/3.29)*RANDBETWEEN(1,3)</f>
        <v>10901188.399124892</v>
      </c>
      <c r="G4" s="3">
        <f ca="1">_xlfn.NORM.INV(RAND(),AVERAGE(Assumptions!$D$8,Assumptions!$F$8),(Assumptions!$F$8-Assumptions!$D$8)/3.29)*44</f>
        <v>1270846.3361602349</v>
      </c>
      <c r="H4" s="6">
        <f ca="1">_xlfn.NORM.INV(RAND(),AVERAGE(Assumptions!$D$9,Assumptions!$F$9),(Assumptions!$F$9-Assumptions!$D$9)/3.29)*21</f>
        <v>4024903.1130578178</v>
      </c>
      <c r="I4" s="9">
        <f ca="1">_xlfn.NORM.INV(RAND(),AVERAGE(Assumptions!$D$10,Assumptions!$F$10),(Assumptions!$F$10-Assumptions!$D$10)/3.29)*21</f>
        <v>668601.68485054374</v>
      </c>
      <c r="J4" s="12">
        <f ca="1">NORMINV(RAND(),AVERAGE(Assumptions!$D$11,Assumptions!$F$11),(Assumptions!$F$11-Assumptions!$D$11)/3.29)*44</f>
        <v>4177045.188209706</v>
      </c>
      <c r="K4" s="15">
        <f ca="1">_xlfn.NORM.INV(RAND(),AVERAGE(Assumptions!$D$12,Assumptions!$F$12),(Assumptions!$F$12-Assumptions!$D$12)/3.29)*44</f>
        <v>9012140.6723641306</v>
      </c>
      <c r="L4" s="3">
        <f ca="1">_xlfn.NORM.INV(RAND(),AVERAGE(Assumptions!$D$13,Assumptions!$F$13),(Assumptions!$F$13-Assumptions!$D$13)/3.29)*44</f>
        <v>12130939.003239105</v>
      </c>
      <c r="M4" s="6">
        <f ca="1">_xlfn.NORM.INV(RAND(),AVERAGE(Assumptions!$D$14,Assumptions!$F$14),(Assumptions!$F$14-Assumptions!$D$14)/3.29)*44</f>
        <v>5840449.4381056512</v>
      </c>
      <c r="N4" s="9">
        <f ca="1">_xlfn.NORM.INV(RAND(),AVERAGE(Assumptions!$D$16,Assumptions!$F$16),(Assumptions!$F$16-Assumptions!$D$16)/3.29)*44</f>
        <v>8057066.4136640029</v>
      </c>
      <c r="O4" s="12">
        <f ca="1">_xlfn.NORM.INV(RAND(),AVERAGE(Assumptions!$D$15,Assumptions!$F$15),(Assumptions!$F$15-Assumptions!$D$15)/3.29)*44</f>
        <v>163559644.66689628</v>
      </c>
      <c r="P4" s="15">
        <f>Assumptions!$D$18</f>
        <v>14641750.345627395</v>
      </c>
      <c r="Q4" s="3">
        <f t="shared" ca="1" si="0"/>
        <v>100701158.09424171</v>
      </c>
      <c r="R4" s="6">
        <f t="shared" ca="1" si="1"/>
        <v>115342908.43986911</v>
      </c>
    </row>
    <row r="5" spans="1:18">
      <c r="A5" s="20">
        <v>4</v>
      </c>
      <c r="B5" s="3">
        <f ca="1">_xlfn.NORM.INV(RAND(),AVERAGE(Assumptions!$D$4,Assumptions!$F$4),(Assumptions!$F$4-Assumptions!$D$4)/3.29)*44</f>
        <v>1153364.3160614297</v>
      </c>
      <c r="C5" s="6">
        <f ca="1">_xlfn.NORM.INV(RAND(),AVERAGE(Assumptions!$D$5,Assumptions!$F$5),(Assumptions!$F$5-Assumptions!$D$5)/3.29)*44</f>
        <v>1859518.6454603299</v>
      </c>
      <c r="D5" s="9">
        <f ca="1">_xlfn.NORM.INV(RAND(),AVERAGE(Assumptions!$D$6,Assumptions!$F$6),(Assumptions!$F$6-Assumptions!$D$6)/3.29)*RANDBETWEEN(2,5)</f>
        <v>5836942.4472711589</v>
      </c>
      <c r="E5" s="12">
        <f ca="1">_xlfn.NORM.INV(RAND(),AVERAGE(Assumptions!$D$17,Assumptions!$F$17),(Assumptions!$F$17-Assumptions!$D$17)/3.29)*8</f>
        <v>834346.51930919255</v>
      </c>
      <c r="F5" s="15">
        <f ca="1">_xlfn.NORM.INV(RAND(),AVERAGE(Assumptions!$D$7,Assumptions!$F$7),(Assumptions!$F$7-Assumptions!$D$7)/3.29)*RANDBETWEEN(1,3)</f>
        <v>3682287.4044222077</v>
      </c>
      <c r="G5" s="3">
        <f ca="1">_xlfn.NORM.INV(RAND(),AVERAGE(Assumptions!$D$8,Assumptions!$F$8),(Assumptions!$F$8-Assumptions!$D$8)/3.29)*44</f>
        <v>1505776.9559421642</v>
      </c>
      <c r="H5" s="6">
        <f ca="1">_xlfn.NORM.INV(RAND(),AVERAGE(Assumptions!$D$9,Assumptions!$F$9),(Assumptions!$F$9-Assumptions!$D$9)/3.29)*21</f>
        <v>3560994.3567556604</v>
      </c>
      <c r="I5" s="9">
        <f ca="1">_xlfn.NORM.INV(RAND(),AVERAGE(Assumptions!$D$10,Assumptions!$F$10),(Assumptions!$F$10-Assumptions!$D$10)/3.29)*21</f>
        <v>774777.83209083416</v>
      </c>
      <c r="J5" s="12">
        <f ca="1">NORMINV(RAND(),AVERAGE(Assumptions!$D$11,Assumptions!$F$11),(Assumptions!$F$11-Assumptions!$D$11)/3.29)*44</f>
        <v>2925979.1881875363</v>
      </c>
      <c r="K5" s="15">
        <f ca="1">_xlfn.NORM.INV(RAND(),AVERAGE(Assumptions!$D$12,Assumptions!$F$12),(Assumptions!$F$12-Assumptions!$D$12)/3.29)*44</f>
        <v>6882367.733508761</v>
      </c>
      <c r="L5" s="3">
        <f ca="1">_xlfn.NORM.INV(RAND(),AVERAGE(Assumptions!$D$13,Assumptions!$F$13),(Assumptions!$F$13-Assumptions!$D$13)/3.29)*44</f>
        <v>7804790.4591549095</v>
      </c>
      <c r="M5" s="6">
        <f ca="1">_xlfn.NORM.INV(RAND(),AVERAGE(Assumptions!$D$14,Assumptions!$F$14),(Assumptions!$F$14-Assumptions!$D$14)/3.29)*44</f>
        <v>7518893.0859630071</v>
      </c>
      <c r="N5" s="9">
        <f ca="1">_xlfn.NORM.INV(RAND(),AVERAGE(Assumptions!$D$16,Assumptions!$F$16),(Assumptions!$F$16-Assumptions!$D$16)/3.29)*44</f>
        <v>9966667.4827697705</v>
      </c>
      <c r="O5" s="12">
        <f ca="1">_xlfn.NORM.INV(RAND(),AVERAGE(Assumptions!$D$15,Assumptions!$F$15),(Assumptions!$F$15-Assumptions!$D$15)/3.29)*44</f>
        <v>66211909.903684847</v>
      </c>
      <c r="P5" s="15">
        <f>Assumptions!$D$18</f>
        <v>14641750.345627395</v>
      </c>
      <c r="Q5" s="3">
        <f t="shared" ca="1" si="0"/>
        <v>11905203.476787888</v>
      </c>
      <c r="R5" s="6">
        <f t="shared" ca="1" si="1"/>
        <v>26546953.822415285</v>
      </c>
    </row>
    <row r="6" spans="1:18">
      <c r="A6" s="20">
        <v>5</v>
      </c>
      <c r="B6" s="3">
        <f ca="1">_xlfn.NORM.INV(RAND(),AVERAGE(Assumptions!$D$4,Assumptions!$F$4),(Assumptions!$F$4-Assumptions!$D$4)/3.29)*44</f>
        <v>1083075.4019090848</v>
      </c>
      <c r="C6" s="6">
        <f ca="1">_xlfn.NORM.INV(RAND(),AVERAGE(Assumptions!$D$5,Assumptions!$F$5),(Assumptions!$F$5-Assumptions!$D$5)/3.29)*44</f>
        <v>2100656.6892510108</v>
      </c>
      <c r="D6" s="9">
        <f ca="1">_xlfn.NORM.INV(RAND(),AVERAGE(Assumptions!$D$6,Assumptions!$F$6),(Assumptions!$F$6-Assumptions!$D$6)/3.29)*RANDBETWEEN(2,5)</f>
        <v>2331825.3181761</v>
      </c>
      <c r="E6" s="12">
        <f ca="1">_xlfn.NORM.INV(RAND(),AVERAGE(Assumptions!$D$17,Assumptions!$F$17),(Assumptions!$F$17-Assumptions!$D$17)/3.29)*8</f>
        <v>910360.43918177148</v>
      </c>
      <c r="F6" s="15">
        <f ca="1">_xlfn.NORM.INV(RAND(),AVERAGE(Assumptions!$D$7,Assumptions!$F$7),(Assumptions!$F$7-Assumptions!$D$7)/3.29)*RANDBETWEEN(1,3)</f>
        <v>3874774.635158902</v>
      </c>
      <c r="G6" s="3">
        <f ca="1">_xlfn.NORM.INV(RAND(),AVERAGE(Assumptions!$D$8,Assumptions!$F$8),(Assumptions!$F$8-Assumptions!$D$8)/3.29)*44</f>
        <v>712929.77432912751</v>
      </c>
      <c r="H6" s="6">
        <f ca="1">_xlfn.NORM.INV(RAND(),AVERAGE(Assumptions!$D$9,Assumptions!$F$9),(Assumptions!$F$9-Assumptions!$D$9)/3.29)*21</f>
        <v>1461663.2638770344</v>
      </c>
      <c r="I6" s="9">
        <f ca="1">_xlfn.NORM.INV(RAND(),AVERAGE(Assumptions!$D$10,Assumptions!$F$10),(Assumptions!$F$10-Assumptions!$D$10)/3.29)*21</f>
        <v>1032450.7454436561</v>
      </c>
      <c r="J6" s="12">
        <f ca="1">NORMINV(RAND(),AVERAGE(Assumptions!$D$11,Assumptions!$F$11),(Assumptions!$F$11-Assumptions!$D$11)/3.29)*44</f>
        <v>2291260.595855738</v>
      </c>
      <c r="K6" s="15">
        <f ca="1">_xlfn.NORM.INV(RAND(),AVERAGE(Assumptions!$D$12,Assumptions!$F$12),(Assumptions!$F$12-Assumptions!$D$12)/3.29)*44</f>
        <v>6440923.735273907</v>
      </c>
      <c r="L6" s="3">
        <f ca="1">_xlfn.NORM.INV(RAND(),AVERAGE(Assumptions!$D$13,Assumptions!$F$13),(Assumptions!$F$13-Assumptions!$D$13)/3.29)*44</f>
        <v>5946602.6509485086</v>
      </c>
      <c r="M6" s="6">
        <f ca="1">_xlfn.NORM.INV(RAND(),AVERAGE(Assumptions!$D$14,Assumptions!$F$14),(Assumptions!$F$14-Assumptions!$D$14)/3.29)*44</f>
        <v>7956610.9526748098</v>
      </c>
      <c r="N6" s="9">
        <f ca="1">_xlfn.NORM.INV(RAND(),AVERAGE(Assumptions!$D$16,Assumptions!$F$16),(Assumptions!$F$16-Assumptions!$D$16)/3.29)*44</f>
        <v>2889842.9072357351</v>
      </c>
      <c r="O6" s="12">
        <f ca="1">_xlfn.NORM.INV(RAND(),AVERAGE(Assumptions!$D$15,Assumptions!$F$15),(Assumptions!$F$15-Assumptions!$D$15)/3.29)*44</f>
        <v>93514598.820791364</v>
      </c>
      <c r="P6" s="15">
        <f>Assumptions!$D$18</f>
        <v>14641750.345627395</v>
      </c>
      <c r="Q6" s="3">
        <f t="shared" ca="1" si="0"/>
        <v>54481621.711475976</v>
      </c>
      <c r="R6" s="6">
        <f t="shared" ca="1" si="1"/>
        <v>69123372.057103366</v>
      </c>
    </row>
    <row r="7" spans="1:18">
      <c r="A7" s="20">
        <v>6</v>
      </c>
      <c r="B7" s="3">
        <f ca="1">_xlfn.NORM.INV(RAND(),AVERAGE(Assumptions!$D$4,Assumptions!$F$4),(Assumptions!$F$4-Assumptions!$D$4)/3.29)*44</f>
        <v>1116716.8388952217</v>
      </c>
      <c r="C7" s="6">
        <f ca="1">_xlfn.NORM.INV(RAND(),AVERAGE(Assumptions!$D$5,Assumptions!$F$5),(Assumptions!$F$5-Assumptions!$D$5)/3.29)*44</f>
        <v>1790832.8140390669</v>
      </c>
      <c r="D7" s="9">
        <f ca="1">_xlfn.NORM.INV(RAND(),AVERAGE(Assumptions!$D$6,Assumptions!$F$6),(Assumptions!$F$6-Assumptions!$D$6)/3.29)*RANDBETWEEN(2,5)</f>
        <v>2588180.5452003004</v>
      </c>
      <c r="E7" s="12">
        <f ca="1">_xlfn.NORM.INV(RAND(),AVERAGE(Assumptions!$D$17,Assumptions!$F$17),(Assumptions!$F$17-Assumptions!$D$17)/3.29)*8</f>
        <v>1064388.5474641724</v>
      </c>
      <c r="F7" s="15">
        <f ca="1">_xlfn.NORM.INV(RAND(),AVERAGE(Assumptions!$D$7,Assumptions!$F$7),(Assumptions!$F$7-Assumptions!$D$7)/3.29)*RANDBETWEEN(1,3)</f>
        <v>7754702.6022167616</v>
      </c>
      <c r="G7" s="3">
        <f ca="1">_xlfn.NORM.INV(RAND(),AVERAGE(Assumptions!$D$8,Assumptions!$F$8),(Assumptions!$F$8-Assumptions!$D$8)/3.29)*44</f>
        <v>1537527.0740345032</v>
      </c>
      <c r="H7" s="6">
        <f ca="1">_xlfn.NORM.INV(RAND(),AVERAGE(Assumptions!$D$9,Assumptions!$F$9),(Assumptions!$F$9-Assumptions!$D$9)/3.29)*21</f>
        <v>3285908.2931253868</v>
      </c>
      <c r="I7" s="9">
        <f ca="1">_xlfn.NORM.INV(RAND(),AVERAGE(Assumptions!$D$10,Assumptions!$F$10),(Assumptions!$F$10-Assumptions!$D$10)/3.29)*21</f>
        <v>1351216.5028469549</v>
      </c>
      <c r="J7" s="12">
        <f ca="1">NORMINV(RAND(),AVERAGE(Assumptions!$D$11,Assumptions!$F$11),(Assumptions!$F$11-Assumptions!$D$11)/3.29)*44</f>
        <v>3440213.8170588315</v>
      </c>
      <c r="K7" s="15">
        <f ca="1">_xlfn.NORM.INV(RAND(),AVERAGE(Assumptions!$D$12,Assumptions!$F$12),(Assumptions!$F$12-Assumptions!$D$12)/3.29)*44</f>
        <v>6621223.5210968247</v>
      </c>
      <c r="L7" s="3">
        <f ca="1">_xlfn.NORM.INV(RAND(),AVERAGE(Assumptions!$D$13,Assumptions!$F$13),(Assumptions!$F$13-Assumptions!$D$13)/3.29)*44</f>
        <v>13088411.676737852</v>
      </c>
      <c r="M7" s="6">
        <f ca="1">_xlfn.NORM.INV(RAND(),AVERAGE(Assumptions!$D$14,Assumptions!$F$14),(Assumptions!$F$14-Assumptions!$D$14)/3.29)*44</f>
        <v>6518105.8636329249</v>
      </c>
      <c r="N7" s="9">
        <f ca="1">_xlfn.NORM.INV(RAND(),AVERAGE(Assumptions!$D$16,Assumptions!$F$16),(Assumptions!$F$16-Assumptions!$D$16)/3.29)*44</f>
        <v>15765032.254361972</v>
      </c>
      <c r="O7" s="12">
        <f ca="1">_xlfn.NORM.INV(RAND(),AVERAGE(Assumptions!$D$15,Assumptions!$F$15),(Assumptions!$F$15-Assumptions!$D$15)/3.29)*44</f>
        <v>104641595.76671407</v>
      </c>
      <c r="P7" s="15">
        <f>Assumptions!$D$18</f>
        <v>14641750.345627395</v>
      </c>
      <c r="Q7" s="3">
        <f t="shared" ca="1" si="0"/>
        <v>38719135.416003294</v>
      </c>
      <c r="R7" s="6">
        <f t="shared" ca="1" si="1"/>
        <v>53360885.761630692</v>
      </c>
    </row>
    <row r="8" spans="1:18">
      <c r="A8" s="20">
        <v>7</v>
      </c>
      <c r="B8" s="3">
        <f ca="1">_xlfn.NORM.INV(RAND(),AVERAGE(Assumptions!$D$4,Assumptions!$F$4),(Assumptions!$F$4-Assumptions!$D$4)/3.29)*44</f>
        <v>1206663.463090607</v>
      </c>
      <c r="C8" s="6">
        <f ca="1">_xlfn.NORM.INV(RAND(),AVERAGE(Assumptions!$D$5,Assumptions!$F$5),(Assumptions!$F$5-Assumptions!$D$5)/3.29)*44</f>
        <v>2153159.1646472062</v>
      </c>
      <c r="D8" s="9">
        <f ca="1">_xlfn.NORM.INV(RAND(),AVERAGE(Assumptions!$D$6,Assumptions!$F$6),(Assumptions!$F$6-Assumptions!$D$6)/3.29)*RANDBETWEEN(2,5)</f>
        <v>5112719.264313058</v>
      </c>
      <c r="E8" s="12">
        <f ca="1">_xlfn.NORM.INV(RAND(),AVERAGE(Assumptions!$D$17,Assumptions!$F$17),(Assumptions!$F$17-Assumptions!$D$17)/3.29)*8</f>
        <v>1153671.9667698548</v>
      </c>
      <c r="F8" s="15">
        <f ca="1">_xlfn.NORM.INV(RAND(),AVERAGE(Assumptions!$D$7,Assumptions!$F$7),(Assumptions!$F$7-Assumptions!$D$7)/3.29)*RANDBETWEEN(1,3)</f>
        <v>8052434.2883360432</v>
      </c>
      <c r="G8" s="3">
        <f ca="1">_xlfn.NORM.INV(RAND(),AVERAGE(Assumptions!$D$8,Assumptions!$F$8),(Assumptions!$F$8-Assumptions!$D$8)/3.29)*44</f>
        <v>712310.93507762917</v>
      </c>
      <c r="H8" s="6">
        <f ca="1">_xlfn.NORM.INV(RAND(),AVERAGE(Assumptions!$D$9,Assumptions!$F$9),(Assumptions!$F$9-Assumptions!$D$9)/3.29)*21</f>
        <v>4668603.0698975567</v>
      </c>
      <c r="I8" s="9">
        <f ca="1">_xlfn.NORM.INV(RAND(),AVERAGE(Assumptions!$D$10,Assumptions!$F$10),(Assumptions!$F$10-Assumptions!$D$10)/3.29)*21</f>
        <v>710720.59871818486</v>
      </c>
      <c r="J8" s="12">
        <f ca="1">NORMINV(RAND(),AVERAGE(Assumptions!$D$11,Assumptions!$F$11),(Assumptions!$F$11-Assumptions!$D$11)/3.29)*44</f>
        <v>2895223.9951750766</v>
      </c>
      <c r="K8" s="15">
        <f ca="1">_xlfn.NORM.INV(RAND(),AVERAGE(Assumptions!$D$12,Assumptions!$F$12),(Assumptions!$F$12-Assumptions!$D$12)/3.29)*44</f>
        <v>10365496.757918062</v>
      </c>
      <c r="L8" s="3">
        <f ca="1">_xlfn.NORM.INV(RAND(),AVERAGE(Assumptions!$D$13,Assumptions!$F$13),(Assumptions!$F$13-Assumptions!$D$13)/3.29)*44</f>
        <v>13690445.710699715</v>
      </c>
      <c r="M8" s="6">
        <f ca="1">_xlfn.NORM.INV(RAND(),AVERAGE(Assumptions!$D$14,Assumptions!$F$14),(Assumptions!$F$14-Assumptions!$D$14)/3.29)*44</f>
        <v>5485361.4916279102</v>
      </c>
      <c r="N8" s="9">
        <f ca="1">_xlfn.NORM.INV(RAND(),AVERAGE(Assumptions!$D$16,Assumptions!$F$16),(Assumptions!$F$16-Assumptions!$D$16)/3.29)*44</f>
        <v>3380814.6308986326</v>
      </c>
      <c r="O8" s="12">
        <f ca="1">_xlfn.NORM.INV(RAND(),AVERAGE(Assumptions!$D$15,Assumptions!$F$15),(Assumptions!$F$15-Assumptions!$D$15)/3.29)*44</f>
        <v>-10043333.615496896</v>
      </c>
      <c r="P8" s="15">
        <f>Assumptions!$D$18</f>
        <v>14641750.345627395</v>
      </c>
      <c r="Q8" s="3">
        <f t="shared" ca="1" si="0"/>
        <v>-69630958.952666432</v>
      </c>
      <c r="R8" s="6">
        <f t="shared" ca="1" si="1"/>
        <v>-54989208.607039034</v>
      </c>
    </row>
    <row r="9" spans="1:18">
      <c r="A9" s="20">
        <v>8</v>
      </c>
      <c r="B9" s="3">
        <f ca="1">_xlfn.NORM.INV(RAND(),AVERAGE(Assumptions!$D$4,Assumptions!$F$4),(Assumptions!$F$4-Assumptions!$D$4)/3.29)*44</f>
        <v>1163879.7982940124</v>
      </c>
      <c r="C9" s="6">
        <f ca="1">_xlfn.NORM.INV(RAND(),AVERAGE(Assumptions!$D$5,Assumptions!$F$5),(Assumptions!$F$5-Assumptions!$D$5)/3.29)*44</f>
        <v>2031193.6492071752</v>
      </c>
      <c r="D9" s="9">
        <f ca="1">_xlfn.NORM.INV(RAND(),AVERAGE(Assumptions!$D$6,Assumptions!$F$6),(Assumptions!$F$6-Assumptions!$D$6)/3.29)*RANDBETWEEN(2,5)</f>
        <v>3801668.6554387268</v>
      </c>
      <c r="E9" s="12">
        <f ca="1">_xlfn.NORM.INV(RAND(),AVERAGE(Assumptions!$D$17,Assumptions!$F$17),(Assumptions!$F$17-Assumptions!$D$17)/3.29)*8</f>
        <v>944690.27532986575</v>
      </c>
      <c r="F9" s="15">
        <f ca="1">_xlfn.NORM.INV(RAND(),AVERAGE(Assumptions!$D$7,Assumptions!$F$7),(Assumptions!$F$7-Assumptions!$D$7)/3.29)*RANDBETWEEN(1,3)</f>
        <v>9448724.8253476713</v>
      </c>
      <c r="G9" s="3">
        <f ca="1">_xlfn.NORM.INV(RAND(),AVERAGE(Assumptions!$D$8,Assumptions!$F$8),(Assumptions!$F$8-Assumptions!$D$8)/3.29)*44</f>
        <v>1360999.9761472254</v>
      </c>
      <c r="H9" s="6">
        <f ca="1">_xlfn.NORM.INV(RAND(),AVERAGE(Assumptions!$D$9,Assumptions!$F$9),(Assumptions!$F$9-Assumptions!$D$9)/3.29)*21</f>
        <v>3953845.9303679117</v>
      </c>
      <c r="I9" s="9">
        <f ca="1">_xlfn.NORM.INV(RAND(),AVERAGE(Assumptions!$D$10,Assumptions!$F$10),(Assumptions!$F$10-Assumptions!$D$10)/3.29)*21</f>
        <v>441867.55692020443</v>
      </c>
      <c r="J9" s="12">
        <f ca="1">NORMINV(RAND(),AVERAGE(Assumptions!$D$11,Assumptions!$F$11),(Assumptions!$F$11-Assumptions!$D$11)/3.29)*44</f>
        <v>3843767.0876865834</v>
      </c>
      <c r="K9" s="15">
        <f ca="1">_xlfn.NORM.INV(RAND(),AVERAGE(Assumptions!$D$12,Assumptions!$F$12),(Assumptions!$F$12-Assumptions!$D$12)/3.29)*44</f>
        <v>10836856.461568657</v>
      </c>
      <c r="L9" s="3">
        <f ca="1">_xlfn.NORM.INV(RAND(),AVERAGE(Assumptions!$D$13,Assumptions!$F$13),(Assumptions!$F$13-Assumptions!$D$13)/3.29)*44</f>
        <v>8915162.8480521664</v>
      </c>
      <c r="M9" s="6">
        <f ca="1">_xlfn.NORM.INV(RAND(),AVERAGE(Assumptions!$D$14,Assumptions!$F$14),(Assumptions!$F$14-Assumptions!$D$14)/3.29)*44</f>
        <v>7330680.1276063463</v>
      </c>
      <c r="N9" s="9">
        <f ca="1">_xlfn.NORM.INV(RAND(),AVERAGE(Assumptions!$D$16,Assumptions!$F$16),(Assumptions!$F$16-Assumptions!$D$16)/3.29)*44</f>
        <v>14123399.680174487</v>
      </c>
      <c r="O9" s="12">
        <f ca="1">_xlfn.NORM.INV(RAND(),AVERAGE(Assumptions!$D$15,Assumptions!$F$15),(Assumptions!$F$15-Assumptions!$D$15)/3.29)*44</f>
        <v>78263478.202314183</v>
      </c>
      <c r="P9" s="15">
        <f>Assumptions!$D$18</f>
        <v>14641750.345627395</v>
      </c>
      <c r="Q9" s="3">
        <f t="shared" ca="1" si="0"/>
        <v>10066741.330173135</v>
      </c>
      <c r="R9" s="6">
        <f t="shared" ca="1" si="1"/>
        <v>24708491.675800532</v>
      </c>
    </row>
    <row r="10" spans="1:18">
      <c r="A10" s="20">
        <v>9</v>
      </c>
      <c r="B10" s="3">
        <f ca="1">_xlfn.NORM.INV(RAND(),AVERAGE(Assumptions!$D$4,Assumptions!$F$4),(Assumptions!$F$4-Assumptions!$D$4)/3.29)*44</f>
        <v>1257540.67582993</v>
      </c>
      <c r="C10" s="6">
        <f ca="1">_xlfn.NORM.INV(RAND(),AVERAGE(Assumptions!$D$5,Assumptions!$F$5),(Assumptions!$F$5-Assumptions!$D$5)/3.29)*44</f>
        <v>1817289.955255507</v>
      </c>
      <c r="D10" s="9">
        <f ca="1">_xlfn.NORM.INV(RAND(),AVERAGE(Assumptions!$D$6,Assumptions!$F$6),(Assumptions!$F$6-Assumptions!$D$6)/3.29)*RANDBETWEEN(2,5)</f>
        <v>1817586.9292291016</v>
      </c>
      <c r="E10" s="12">
        <f ca="1">_xlfn.NORM.INV(RAND(),AVERAGE(Assumptions!$D$17,Assumptions!$F$17),(Assumptions!$F$17-Assumptions!$D$17)/3.29)*8</f>
        <v>942927.21609789203</v>
      </c>
      <c r="F10" s="15">
        <f ca="1">_xlfn.NORM.INV(RAND(),AVERAGE(Assumptions!$D$7,Assumptions!$F$7),(Assumptions!$F$7-Assumptions!$D$7)/3.29)*RANDBETWEEN(1,3)</f>
        <v>1620092.8750496937</v>
      </c>
      <c r="G10" s="3">
        <f ca="1">_xlfn.NORM.INV(RAND(),AVERAGE(Assumptions!$D$8,Assumptions!$F$8),(Assumptions!$F$8-Assumptions!$D$8)/3.29)*44</f>
        <v>1464561.2417434857</v>
      </c>
      <c r="H10" s="6">
        <f ca="1">_xlfn.NORM.INV(RAND(),AVERAGE(Assumptions!$D$9,Assumptions!$F$9),(Assumptions!$F$9-Assumptions!$D$9)/3.29)*21</f>
        <v>1997479.044829434</v>
      </c>
      <c r="I10" s="9">
        <f ca="1">_xlfn.NORM.INV(RAND(),AVERAGE(Assumptions!$D$10,Assumptions!$F$10),(Assumptions!$F$10-Assumptions!$D$10)/3.29)*21</f>
        <v>526911.63994189643</v>
      </c>
      <c r="J10" s="12">
        <f ca="1">NORMINV(RAND(),AVERAGE(Assumptions!$D$11,Assumptions!$F$11),(Assumptions!$F$11-Assumptions!$D$11)/3.29)*44</f>
        <v>6747226.4420671435</v>
      </c>
      <c r="K10" s="15">
        <f ca="1">_xlfn.NORM.INV(RAND(),AVERAGE(Assumptions!$D$12,Assumptions!$F$12),(Assumptions!$F$12-Assumptions!$D$12)/3.29)*44</f>
        <v>8970153.8219869267</v>
      </c>
      <c r="L10" s="3">
        <f ca="1">_xlfn.NORM.INV(RAND(),AVERAGE(Assumptions!$D$13,Assumptions!$F$13),(Assumptions!$F$13-Assumptions!$D$13)/3.29)*44</f>
        <v>17524976.446728058</v>
      </c>
      <c r="M10" s="6">
        <f ca="1">_xlfn.NORM.INV(RAND(),AVERAGE(Assumptions!$D$14,Assumptions!$F$14),(Assumptions!$F$14-Assumptions!$D$14)/3.29)*44</f>
        <v>6119203.0726373708</v>
      </c>
      <c r="N10" s="9">
        <f ca="1">_xlfn.NORM.INV(RAND(),AVERAGE(Assumptions!$D$16,Assumptions!$F$16),(Assumptions!$F$16-Assumptions!$D$16)/3.29)*44</f>
        <v>12757413.379803762</v>
      </c>
      <c r="O10" s="12">
        <f ca="1">_xlfn.NORM.INV(RAND(),AVERAGE(Assumptions!$D$15,Assumptions!$F$15),(Assumptions!$F$15-Assumptions!$D$15)/3.29)*44</f>
        <v>80642283.56678316</v>
      </c>
      <c r="P10" s="15">
        <f>Assumptions!$D$18</f>
        <v>14641750.345627395</v>
      </c>
      <c r="Q10" s="3">
        <f t="shared" ca="1" si="0"/>
        <v>17078920.825582959</v>
      </c>
      <c r="R10" s="6">
        <f t="shared" ca="1" si="1"/>
        <v>31720671.171210356</v>
      </c>
    </row>
    <row r="11" spans="1:18">
      <c r="A11" s="20">
        <v>10</v>
      </c>
      <c r="B11" s="3">
        <f ca="1">_xlfn.NORM.INV(RAND(),AVERAGE(Assumptions!$D$4,Assumptions!$F$4),(Assumptions!$F$4-Assumptions!$D$4)/3.29)*44</f>
        <v>1195180.0347268658</v>
      </c>
      <c r="C11" s="6">
        <f ca="1">_xlfn.NORM.INV(RAND(),AVERAGE(Assumptions!$D$5,Assumptions!$F$5),(Assumptions!$F$5-Assumptions!$D$5)/3.29)*44</f>
        <v>1984492.8163745801</v>
      </c>
      <c r="D11" s="9">
        <f ca="1">_xlfn.NORM.INV(RAND(),AVERAGE(Assumptions!$D$6,Assumptions!$F$6),(Assumptions!$F$6-Assumptions!$D$6)/3.29)*RANDBETWEEN(2,5)</f>
        <v>2240651.2408875949</v>
      </c>
      <c r="E11" s="12">
        <f ca="1">_xlfn.NORM.INV(RAND(),AVERAGE(Assumptions!$D$17,Assumptions!$F$17),(Assumptions!$F$17-Assumptions!$D$17)/3.29)*8</f>
        <v>1227364.909819755</v>
      </c>
      <c r="F11" s="15">
        <f ca="1">_xlfn.NORM.INV(RAND(),AVERAGE(Assumptions!$D$7,Assumptions!$F$7),(Assumptions!$F$7-Assumptions!$D$7)/3.29)*RANDBETWEEN(1,3)</f>
        <v>2282997.7525832728</v>
      </c>
      <c r="G11" s="3">
        <f ca="1">_xlfn.NORM.INV(RAND(),AVERAGE(Assumptions!$D$8,Assumptions!$F$8),(Assumptions!$F$8-Assumptions!$D$8)/3.29)*44</f>
        <v>1080135.9965673457</v>
      </c>
      <c r="H11" s="6">
        <f ca="1">_xlfn.NORM.INV(RAND(),AVERAGE(Assumptions!$D$9,Assumptions!$F$9),(Assumptions!$F$9-Assumptions!$D$9)/3.29)*21</f>
        <v>5033176.6413766835</v>
      </c>
      <c r="I11" s="9">
        <f ca="1">_xlfn.NORM.INV(RAND(),AVERAGE(Assumptions!$D$10,Assumptions!$F$10),(Assumptions!$F$10-Assumptions!$D$10)/3.29)*21</f>
        <v>1199916.2673439025</v>
      </c>
      <c r="J11" s="12">
        <f ca="1">NORMINV(RAND(),AVERAGE(Assumptions!$D$11,Assumptions!$F$11),(Assumptions!$F$11-Assumptions!$D$11)/3.29)*44</f>
        <v>2971152.5877418402</v>
      </c>
      <c r="K11" s="15">
        <f ca="1">_xlfn.NORM.INV(RAND(),AVERAGE(Assumptions!$D$12,Assumptions!$F$12),(Assumptions!$F$12-Assumptions!$D$12)/3.29)*44</f>
        <v>6418087.9967583083</v>
      </c>
      <c r="L11" s="3">
        <f ca="1">_xlfn.NORM.INV(RAND(),AVERAGE(Assumptions!$D$13,Assumptions!$F$13),(Assumptions!$F$13-Assumptions!$D$13)/3.29)*44</f>
        <v>12134012.150111606</v>
      </c>
      <c r="M11" s="6">
        <f ca="1">_xlfn.NORM.INV(RAND(),AVERAGE(Assumptions!$D$14,Assumptions!$F$14),(Assumptions!$F$14-Assumptions!$D$14)/3.29)*44</f>
        <v>7612902.7685770839</v>
      </c>
      <c r="N11" s="9">
        <f ca="1">_xlfn.NORM.INV(RAND(),AVERAGE(Assumptions!$D$16,Assumptions!$F$16),(Assumptions!$F$16-Assumptions!$D$16)/3.29)*44</f>
        <v>9453380.5882310644</v>
      </c>
      <c r="O11" s="12">
        <f ca="1">_xlfn.NORM.INV(RAND(),AVERAGE(Assumptions!$D$15,Assumptions!$F$15),(Assumptions!$F$15-Assumptions!$D$15)/3.29)*44</f>
        <v>86457014.182155699</v>
      </c>
      <c r="P11" s="15">
        <f>Assumptions!$D$18</f>
        <v>14641750.345627395</v>
      </c>
      <c r="Q11" s="3">
        <f t="shared" ca="1" si="0"/>
        <v>31623562.431055799</v>
      </c>
      <c r="R11" s="6">
        <f t="shared" ca="1" si="1"/>
        <v>46265312.776683196</v>
      </c>
    </row>
    <row r="12" spans="1:18">
      <c r="A12" s="20">
        <v>11</v>
      </c>
      <c r="B12" s="3">
        <f ca="1">_xlfn.NORM.INV(RAND(),AVERAGE(Assumptions!$D$4,Assumptions!$F$4),(Assumptions!$F$4-Assumptions!$D$4)/3.29)*44</f>
        <v>1157443.0281209536</v>
      </c>
      <c r="C12" s="6">
        <f ca="1">_xlfn.NORM.INV(RAND(),AVERAGE(Assumptions!$D$5,Assumptions!$F$5),(Assumptions!$F$5-Assumptions!$D$5)/3.29)*44</f>
        <v>1872203.8961186211</v>
      </c>
      <c r="D12" s="9">
        <f ca="1">_xlfn.NORM.INV(RAND(),AVERAGE(Assumptions!$D$6,Assumptions!$F$6),(Assumptions!$F$6-Assumptions!$D$6)/3.29)*RANDBETWEEN(2,5)</f>
        <v>6094394.1877901135</v>
      </c>
      <c r="E12" s="12">
        <f ca="1">_xlfn.NORM.INV(RAND(),AVERAGE(Assumptions!$D$17,Assumptions!$F$17),(Assumptions!$F$17-Assumptions!$D$17)/3.29)*8</f>
        <v>1051722.3040866859</v>
      </c>
      <c r="F12" s="15">
        <f ca="1">_xlfn.NORM.INV(RAND(),AVERAGE(Assumptions!$D$7,Assumptions!$F$7),(Assumptions!$F$7-Assumptions!$D$7)/3.29)*RANDBETWEEN(1,3)</f>
        <v>1708072.4618495367</v>
      </c>
      <c r="G12" s="3">
        <f ca="1">_xlfn.NORM.INV(RAND(),AVERAGE(Assumptions!$D$8,Assumptions!$F$8),(Assumptions!$F$8-Assumptions!$D$8)/3.29)*44</f>
        <v>1438601.2639289133</v>
      </c>
      <c r="H12" s="6">
        <f ca="1">_xlfn.NORM.INV(RAND(),AVERAGE(Assumptions!$D$9,Assumptions!$F$9),(Assumptions!$F$9-Assumptions!$D$9)/3.29)*21</f>
        <v>4253595.8698124634</v>
      </c>
      <c r="I12" s="9">
        <f ca="1">_xlfn.NORM.INV(RAND(),AVERAGE(Assumptions!$D$10,Assumptions!$F$10),(Assumptions!$F$10-Assumptions!$D$10)/3.29)*21</f>
        <v>231581.8371584515</v>
      </c>
      <c r="J12" s="12">
        <f ca="1">NORMINV(RAND(),AVERAGE(Assumptions!$D$11,Assumptions!$F$11),(Assumptions!$F$11-Assumptions!$D$11)/3.29)*44</f>
        <v>3346713.6499463739</v>
      </c>
      <c r="K12" s="15">
        <f ca="1">_xlfn.NORM.INV(RAND(),AVERAGE(Assumptions!$D$12,Assumptions!$F$12),(Assumptions!$F$12-Assumptions!$D$12)/3.29)*44</f>
        <v>7570177.7436262928</v>
      </c>
      <c r="L12" s="3">
        <f ca="1">_xlfn.NORM.INV(RAND(),AVERAGE(Assumptions!$D$13,Assumptions!$F$13),(Assumptions!$F$13-Assumptions!$D$13)/3.29)*44</f>
        <v>17058935.609429948</v>
      </c>
      <c r="M12" s="6">
        <f ca="1">_xlfn.NORM.INV(RAND(),AVERAGE(Assumptions!$D$14,Assumptions!$F$14),(Assumptions!$F$14-Assumptions!$D$14)/3.29)*44</f>
        <v>7505454.3438298358</v>
      </c>
      <c r="N12" s="9">
        <f ca="1">_xlfn.NORM.INV(RAND(),AVERAGE(Assumptions!$D$16,Assumptions!$F$16),(Assumptions!$F$16-Assumptions!$D$16)/3.29)*44</f>
        <v>4487617.1151970066</v>
      </c>
      <c r="O12" s="12">
        <f ca="1">_xlfn.NORM.INV(RAND(),AVERAGE(Assumptions!$D$15,Assumptions!$F$15),(Assumptions!$F$15-Assumptions!$D$15)/3.29)*44</f>
        <v>116351499.28903089</v>
      </c>
      <c r="P12" s="15">
        <f>Assumptions!$D$18</f>
        <v>14641750.345627395</v>
      </c>
      <c r="Q12" s="3">
        <f t="shared" ca="1" si="0"/>
        <v>58574985.978135705</v>
      </c>
      <c r="R12" s="6">
        <f t="shared" ca="1" si="1"/>
        <v>73216736.323763102</v>
      </c>
    </row>
    <row r="13" spans="1:18">
      <c r="A13" s="20">
        <v>12</v>
      </c>
      <c r="B13" s="3">
        <f ca="1">_xlfn.NORM.INV(RAND(),AVERAGE(Assumptions!$D$4,Assumptions!$F$4),(Assumptions!$F$4-Assumptions!$D$4)/3.29)*44</f>
        <v>1136550.4882251564</v>
      </c>
      <c r="C13" s="6">
        <f ca="1">_xlfn.NORM.INV(RAND(),AVERAGE(Assumptions!$D$5,Assumptions!$F$5),(Assumptions!$F$5-Assumptions!$D$5)/3.29)*44</f>
        <v>1902599.260621652</v>
      </c>
      <c r="D13" s="9">
        <f ca="1">_xlfn.NORM.INV(RAND(),AVERAGE(Assumptions!$D$6,Assumptions!$F$6),(Assumptions!$F$6-Assumptions!$D$6)/3.29)*RANDBETWEEN(2,5)</f>
        <v>8519266.7037449628</v>
      </c>
      <c r="E13" s="12">
        <f ca="1">_xlfn.NORM.INV(RAND(),AVERAGE(Assumptions!$D$17,Assumptions!$F$17),(Assumptions!$F$17-Assumptions!$D$17)/3.29)*8</f>
        <v>895616.47645782365</v>
      </c>
      <c r="F13" s="15">
        <f ca="1">_xlfn.NORM.INV(RAND(),AVERAGE(Assumptions!$D$7,Assumptions!$F$7),(Assumptions!$F$7-Assumptions!$D$7)/3.29)*RANDBETWEEN(1,3)</f>
        <v>9381710.2214951478</v>
      </c>
      <c r="G13" s="3">
        <f ca="1">_xlfn.NORM.INV(RAND(),AVERAGE(Assumptions!$D$8,Assumptions!$F$8),(Assumptions!$F$8-Assumptions!$D$8)/3.29)*44</f>
        <v>1209204.5126593681</v>
      </c>
      <c r="H13" s="6">
        <f ca="1">_xlfn.NORM.INV(RAND(),AVERAGE(Assumptions!$D$9,Assumptions!$F$9),(Assumptions!$F$9-Assumptions!$D$9)/3.29)*21</f>
        <v>5508436.8760395097</v>
      </c>
      <c r="I13" s="9">
        <f ca="1">_xlfn.NORM.INV(RAND(),AVERAGE(Assumptions!$D$10,Assumptions!$F$10),(Assumptions!$F$10-Assumptions!$D$10)/3.29)*21</f>
        <v>770454.07186297199</v>
      </c>
      <c r="J13" s="12">
        <f ca="1">NORMINV(RAND(),AVERAGE(Assumptions!$D$11,Assumptions!$F$11),(Assumptions!$F$11-Assumptions!$D$11)/3.29)*44</f>
        <v>2353241.1357747158</v>
      </c>
      <c r="K13" s="15">
        <f ca="1">_xlfn.NORM.INV(RAND(),AVERAGE(Assumptions!$D$12,Assumptions!$F$12),(Assumptions!$F$12-Assumptions!$D$12)/3.29)*44</f>
        <v>6586332.9322391981</v>
      </c>
      <c r="L13" s="3">
        <f ca="1">_xlfn.NORM.INV(RAND(),AVERAGE(Assumptions!$D$13,Assumptions!$F$13),(Assumptions!$F$13-Assumptions!$D$13)/3.29)*44</f>
        <v>9534477.9304577056</v>
      </c>
      <c r="M13" s="6">
        <f ca="1">_xlfn.NORM.INV(RAND(),AVERAGE(Assumptions!$D$14,Assumptions!$F$14),(Assumptions!$F$14-Assumptions!$D$14)/3.29)*44</f>
        <v>5894186.7141150394</v>
      </c>
      <c r="N13" s="9">
        <f ca="1">_xlfn.NORM.INV(RAND(),AVERAGE(Assumptions!$D$16,Assumptions!$F$16),(Assumptions!$F$16-Assumptions!$D$16)/3.29)*44</f>
        <v>8795808.000545036</v>
      </c>
      <c r="O13" s="12">
        <f ca="1">_xlfn.NORM.INV(RAND(),AVERAGE(Assumptions!$D$15,Assumptions!$F$15),(Assumptions!$F$15-Assumptions!$D$15)/3.29)*44</f>
        <v>142731966.25243747</v>
      </c>
      <c r="P13" s="15">
        <f>Assumptions!$D$18</f>
        <v>14641750.345627395</v>
      </c>
      <c r="Q13" s="3">
        <f t="shared" ca="1" si="0"/>
        <v>80244080.928199172</v>
      </c>
      <c r="R13" s="6">
        <f t="shared" ca="1" si="1"/>
        <v>94885831.273826569</v>
      </c>
    </row>
    <row r="14" spans="1:18">
      <c r="A14" s="20">
        <v>13</v>
      </c>
      <c r="B14" s="3">
        <f ca="1">_xlfn.NORM.INV(RAND(),AVERAGE(Assumptions!$D$4,Assumptions!$F$4),(Assumptions!$F$4-Assumptions!$D$4)/3.29)*44</f>
        <v>1178208.1198844346</v>
      </c>
      <c r="C14" s="6">
        <f ca="1">_xlfn.NORM.INV(RAND(),AVERAGE(Assumptions!$D$5,Assumptions!$F$5),(Assumptions!$F$5-Assumptions!$D$5)/3.29)*44</f>
        <v>1905536.8374693072</v>
      </c>
      <c r="D14" s="9">
        <f ca="1">_xlfn.NORM.INV(RAND(),AVERAGE(Assumptions!$D$6,Assumptions!$F$6),(Assumptions!$F$6-Assumptions!$D$6)/3.29)*RANDBETWEEN(2,5)</f>
        <v>1660030.6386997872</v>
      </c>
      <c r="E14" s="12">
        <f ca="1">_xlfn.NORM.INV(RAND(),AVERAGE(Assumptions!$D$17,Assumptions!$F$17),(Assumptions!$F$17-Assumptions!$D$17)/3.29)*8</f>
        <v>880791.1441360882</v>
      </c>
      <c r="F14" s="15">
        <f ca="1">_xlfn.NORM.INV(RAND(),AVERAGE(Assumptions!$D$7,Assumptions!$F$7),(Assumptions!$F$7-Assumptions!$D$7)/3.29)*RANDBETWEEN(1,3)</f>
        <v>12286056.910796557</v>
      </c>
      <c r="G14" s="3">
        <f ca="1">_xlfn.NORM.INV(RAND(),AVERAGE(Assumptions!$D$8,Assumptions!$F$8),(Assumptions!$F$8-Assumptions!$D$8)/3.29)*44</f>
        <v>1536814.0656588024</v>
      </c>
      <c r="H14" s="6">
        <f ca="1">_xlfn.NORM.INV(RAND(),AVERAGE(Assumptions!$D$9,Assumptions!$F$9),(Assumptions!$F$9-Assumptions!$D$9)/3.29)*21</f>
        <v>3907977.978209686</v>
      </c>
      <c r="I14" s="9">
        <f ca="1">_xlfn.NORM.INV(RAND(),AVERAGE(Assumptions!$D$10,Assumptions!$F$10),(Assumptions!$F$10-Assumptions!$D$10)/3.29)*21</f>
        <v>789593.78103474912</v>
      </c>
      <c r="J14" s="12">
        <f ca="1">NORMINV(RAND(),AVERAGE(Assumptions!$D$11,Assumptions!$F$11),(Assumptions!$F$11-Assumptions!$D$11)/3.29)*44</f>
        <v>4907887.7319280906</v>
      </c>
      <c r="K14" s="15">
        <f ca="1">_xlfn.NORM.INV(RAND(),AVERAGE(Assumptions!$D$12,Assumptions!$F$12),(Assumptions!$F$12-Assumptions!$D$12)/3.29)*44</f>
        <v>9518439.0289391447</v>
      </c>
      <c r="L14" s="3">
        <f ca="1">_xlfn.NORM.INV(RAND(),AVERAGE(Assumptions!$D$13,Assumptions!$F$13),(Assumptions!$F$13-Assumptions!$D$13)/3.29)*44</f>
        <v>7092613.1131772064</v>
      </c>
      <c r="M14" s="6">
        <f ca="1">_xlfn.NORM.INV(RAND(),AVERAGE(Assumptions!$D$14,Assumptions!$F$14),(Assumptions!$F$14-Assumptions!$D$14)/3.29)*44</f>
        <v>4603202.2256259322</v>
      </c>
      <c r="N14" s="9">
        <f ca="1">_xlfn.NORM.INV(RAND(),AVERAGE(Assumptions!$D$16,Assumptions!$F$16),(Assumptions!$F$16-Assumptions!$D$16)/3.29)*44</f>
        <v>14088198.52913177</v>
      </c>
      <c r="O14" s="12">
        <f ca="1">_xlfn.NORM.INV(RAND(),AVERAGE(Assumptions!$D$15,Assumptions!$F$15),(Assumptions!$F$15-Assumptions!$D$15)/3.29)*44</f>
        <v>175565957.47474274</v>
      </c>
      <c r="P14" s="15">
        <f>Assumptions!$D$18</f>
        <v>14641750.345627395</v>
      </c>
      <c r="Q14" s="3">
        <f t="shared" ca="1" si="0"/>
        <v>111210607.37005119</v>
      </c>
      <c r="R14" s="6">
        <f t="shared" ca="1" si="1"/>
        <v>125852357.71567859</v>
      </c>
    </row>
    <row r="15" spans="1:18">
      <c r="A15" s="20">
        <v>14</v>
      </c>
      <c r="B15" s="3">
        <f ca="1">_xlfn.NORM.INV(RAND(),AVERAGE(Assumptions!$D$4,Assumptions!$F$4),(Assumptions!$F$4-Assumptions!$D$4)/3.29)*44</f>
        <v>1164884.2650376162</v>
      </c>
      <c r="C15" s="6">
        <f ca="1">_xlfn.NORM.INV(RAND(),AVERAGE(Assumptions!$D$5,Assumptions!$F$5),(Assumptions!$F$5-Assumptions!$D$5)/3.29)*44</f>
        <v>2032133.2098645256</v>
      </c>
      <c r="D15" s="9">
        <f ca="1">_xlfn.NORM.INV(RAND(),AVERAGE(Assumptions!$D$6,Assumptions!$F$6),(Assumptions!$F$6-Assumptions!$D$6)/3.29)*RANDBETWEEN(2,5)</f>
        <v>1534010.5101574224</v>
      </c>
      <c r="E15" s="12">
        <f ca="1">_xlfn.NORM.INV(RAND(),AVERAGE(Assumptions!$D$17,Assumptions!$F$17),(Assumptions!$F$17-Assumptions!$D$17)/3.29)*8</f>
        <v>922374.52871492051</v>
      </c>
      <c r="F15" s="15">
        <f ca="1">_xlfn.NORM.INV(RAND(),AVERAGE(Assumptions!$D$7,Assumptions!$F$7),(Assumptions!$F$7-Assumptions!$D$7)/3.29)*RANDBETWEEN(1,3)</f>
        <v>5015915.1422173083</v>
      </c>
      <c r="G15" s="3">
        <f ca="1">_xlfn.NORM.INV(RAND(),AVERAGE(Assumptions!$D$8,Assumptions!$F$8),(Assumptions!$F$8-Assumptions!$D$8)/3.29)*44</f>
        <v>716432.29154132702</v>
      </c>
      <c r="H15" s="6">
        <f ca="1">_xlfn.NORM.INV(RAND(),AVERAGE(Assumptions!$D$9,Assumptions!$F$9),(Assumptions!$F$9-Assumptions!$D$9)/3.29)*21</f>
        <v>5774959.2973019108</v>
      </c>
      <c r="I15" s="9">
        <f ca="1">_xlfn.NORM.INV(RAND(),AVERAGE(Assumptions!$D$10,Assumptions!$F$10),(Assumptions!$F$10-Assumptions!$D$10)/3.29)*21</f>
        <v>923510.21081240766</v>
      </c>
      <c r="J15" s="12">
        <f ca="1">NORMINV(RAND(),AVERAGE(Assumptions!$D$11,Assumptions!$F$11),(Assumptions!$F$11-Assumptions!$D$11)/3.29)*44</f>
        <v>2802706.0994975553</v>
      </c>
      <c r="K15" s="15">
        <f ca="1">_xlfn.NORM.INV(RAND(),AVERAGE(Assumptions!$D$12,Assumptions!$F$12),(Assumptions!$F$12-Assumptions!$D$12)/3.29)*44</f>
        <v>6402239.8923824122</v>
      </c>
      <c r="L15" s="3">
        <f ca="1">_xlfn.NORM.INV(RAND(),AVERAGE(Assumptions!$D$13,Assumptions!$F$13),(Assumptions!$F$13-Assumptions!$D$13)/3.29)*44</f>
        <v>11248886.180472538</v>
      </c>
      <c r="M15" s="6">
        <f ca="1">_xlfn.NORM.INV(RAND(),AVERAGE(Assumptions!$D$14,Assumptions!$F$14),(Assumptions!$F$14-Assumptions!$D$14)/3.29)*44</f>
        <v>5943875.250041021</v>
      </c>
      <c r="N15" s="9">
        <f ca="1">_xlfn.NORM.INV(RAND(),AVERAGE(Assumptions!$D$16,Assumptions!$F$16),(Assumptions!$F$16-Assumptions!$D$16)/3.29)*44</f>
        <v>13943459.023200499</v>
      </c>
      <c r="O15" s="12">
        <f ca="1">_xlfn.NORM.INV(RAND(),AVERAGE(Assumptions!$D$15,Assumptions!$F$15),(Assumptions!$F$15-Assumptions!$D$15)/3.29)*44</f>
        <v>46699937.44844009</v>
      </c>
      <c r="P15" s="15">
        <f>Assumptions!$D$18</f>
        <v>14641750.345627395</v>
      </c>
      <c r="Q15" s="3">
        <f t="shared" ca="1" si="0"/>
        <v>-11725448.452801369</v>
      </c>
      <c r="R15" s="6">
        <f t="shared" ca="1" si="1"/>
        <v>2916301.8928260263</v>
      </c>
    </row>
    <row r="16" spans="1:18">
      <c r="A16" s="20">
        <v>15</v>
      </c>
      <c r="B16" s="3">
        <f ca="1">_xlfn.NORM.INV(RAND(),AVERAGE(Assumptions!$D$4,Assumptions!$F$4),(Assumptions!$F$4-Assumptions!$D$4)/3.29)*44</f>
        <v>1233290.4254234321</v>
      </c>
      <c r="C16" s="6">
        <f ca="1">_xlfn.NORM.INV(RAND(),AVERAGE(Assumptions!$D$5,Assumptions!$F$5),(Assumptions!$F$5-Assumptions!$D$5)/3.29)*44</f>
        <v>1793484.8867820974</v>
      </c>
      <c r="D16" s="9">
        <f ca="1">_xlfn.NORM.INV(RAND(),AVERAGE(Assumptions!$D$6,Assumptions!$F$6),(Assumptions!$F$6-Assumptions!$D$6)/3.29)*RANDBETWEEN(2,5)</f>
        <v>11033740.653623864</v>
      </c>
      <c r="E16" s="12">
        <f ca="1">_xlfn.NORM.INV(RAND(),AVERAGE(Assumptions!$D$17,Assumptions!$F$17),(Assumptions!$F$17-Assumptions!$D$17)/3.29)*8</f>
        <v>888458.58501569787</v>
      </c>
      <c r="F16" s="15">
        <f ca="1">_xlfn.NORM.INV(RAND(),AVERAGE(Assumptions!$D$7,Assumptions!$F$7),(Assumptions!$F$7-Assumptions!$D$7)/3.29)*RANDBETWEEN(1,3)</f>
        <v>7810995.2338496186</v>
      </c>
      <c r="G16" s="3">
        <f ca="1">_xlfn.NORM.INV(RAND(),AVERAGE(Assumptions!$D$8,Assumptions!$F$8),(Assumptions!$F$8-Assumptions!$D$8)/3.29)*44</f>
        <v>752679.80016863113</v>
      </c>
      <c r="H16" s="6">
        <f ca="1">_xlfn.NORM.INV(RAND(),AVERAGE(Assumptions!$D$9,Assumptions!$F$9),(Assumptions!$F$9-Assumptions!$D$9)/3.29)*21</f>
        <v>4468805.1003994793</v>
      </c>
      <c r="I16" s="9">
        <f ca="1">_xlfn.NORM.INV(RAND(),AVERAGE(Assumptions!$D$10,Assumptions!$F$10),(Assumptions!$F$10-Assumptions!$D$10)/3.29)*21</f>
        <v>1075358.6921883535</v>
      </c>
      <c r="J16" s="12">
        <f ca="1">NORMINV(RAND(),AVERAGE(Assumptions!$D$11,Assumptions!$F$11),(Assumptions!$F$11-Assumptions!$D$11)/3.29)*44</f>
        <v>4219641.6413435787</v>
      </c>
      <c r="K16" s="15">
        <f ca="1">_xlfn.NORM.INV(RAND(),AVERAGE(Assumptions!$D$12,Assumptions!$F$12),(Assumptions!$F$12-Assumptions!$D$12)/3.29)*44</f>
        <v>8217283.6677169194</v>
      </c>
      <c r="L16" s="3">
        <f ca="1">_xlfn.NORM.INV(RAND(),AVERAGE(Assumptions!$D$13,Assumptions!$F$13),(Assumptions!$F$13-Assumptions!$D$13)/3.29)*44</f>
        <v>14859062.995261831</v>
      </c>
      <c r="M16" s="6">
        <f ca="1">_xlfn.NORM.INV(RAND(),AVERAGE(Assumptions!$D$14,Assumptions!$F$14),(Assumptions!$F$14-Assumptions!$D$14)/3.29)*44</f>
        <v>4907790.3915913543</v>
      </c>
      <c r="N16" s="9">
        <f ca="1">_xlfn.NORM.INV(RAND(),AVERAGE(Assumptions!$D$16,Assumptions!$F$16),(Assumptions!$F$16-Assumptions!$D$16)/3.29)*44</f>
        <v>1572554.8589981676</v>
      </c>
      <c r="O16" s="12">
        <f ca="1">_xlfn.NORM.INV(RAND(),AVERAGE(Assumptions!$D$15,Assumptions!$F$15),(Assumptions!$F$15-Assumptions!$D$15)/3.29)*44</f>
        <v>60977893.181334764</v>
      </c>
      <c r="P16" s="15">
        <f>Assumptions!$D$18</f>
        <v>14641750.345627395</v>
      </c>
      <c r="Q16" s="3">
        <f t="shared" ca="1" si="0"/>
        <v>-1855253.7510282621</v>
      </c>
      <c r="R16" s="6">
        <f t="shared" ca="1" si="1"/>
        <v>12786496.594599133</v>
      </c>
    </row>
    <row r="17" spans="1:18">
      <c r="A17" s="20">
        <v>16</v>
      </c>
      <c r="B17" s="3">
        <f ca="1">_xlfn.NORM.INV(RAND(),AVERAGE(Assumptions!$D$4,Assumptions!$F$4),(Assumptions!$F$4-Assumptions!$D$4)/3.29)*44</f>
        <v>1211191.1437270339</v>
      </c>
      <c r="C17" s="6">
        <f ca="1">_xlfn.NORM.INV(RAND(),AVERAGE(Assumptions!$D$5,Assumptions!$F$5),(Assumptions!$F$5-Assumptions!$D$5)/3.29)*44</f>
        <v>1835624.0713702466</v>
      </c>
      <c r="D17" s="9">
        <f ca="1">_xlfn.NORM.INV(RAND(),AVERAGE(Assumptions!$D$6,Assumptions!$F$6),(Assumptions!$F$6-Assumptions!$D$6)/3.29)*RANDBETWEEN(2,5)</f>
        <v>5289105.3738437444</v>
      </c>
      <c r="E17" s="12">
        <f ca="1">_xlfn.NORM.INV(RAND(),AVERAGE(Assumptions!$D$17,Assumptions!$F$17),(Assumptions!$F$17-Assumptions!$D$17)/3.29)*8</f>
        <v>932772.23943670909</v>
      </c>
      <c r="F17" s="15">
        <f ca="1">_xlfn.NORM.INV(RAND(),AVERAGE(Assumptions!$D$7,Assumptions!$F$7),(Assumptions!$F$7-Assumptions!$D$7)/3.29)*RANDBETWEEN(1,3)</f>
        <v>3106191.2132106544</v>
      </c>
      <c r="G17" s="3">
        <f ca="1">_xlfn.NORM.INV(RAND(),AVERAGE(Assumptions!$D$8,Assumptions!$F$8),(Assumptions!$F$8-Assumptions!$D$8)/3.29)*44</f>
        <v>1623766.6013570051</v>
      </c>
      <c r="H17" s="6">
        <f ca="1">_xlfn.NORM.INV(RAND(),AVERAGE(Assumptions!$D$9,Assumptions!$F$9),(Assumptions!$F$9-Assumptions!$D$9)/3.29)*21</f>
        <v>5390653.3014200078</v>
      </c>
      <c r="I17" s="9">
        <f ca="1">_xlfn.NORM.INV(RAND(),AVERAGE(Assumptions!$D$10,Assumptions!$F$10),(Assumptions!$F$10-Assumptions!$D$10)/3.29)*21</f>
        <v>882918.02480537829</v>
      </c>
      <c r="J17" s="12">
        <f ca="1">NORMINV(RAND(),AVERAGE(Assumptions!$D$11,Assumptions!$F$11),(Assumptions!$F$11-Assumptions!$D$11)/3.29)*44</f>
        <v>3439769.0972168217</v>
      </c>
      <c r="K17" s="15">
        <f ca="1">_xlfn.NORM.INV(RAND(),AVERAGE(Assumptions!$D$12,Assumptions!$F$12),(Assumptions!$F$12-Assumptions!$D$12)/3.29)*44</f>
        <v>8848196.9615686275</v>
      </c>
      <c r="L17" s="3">
        <f ca="1">_xlfn.NORM.INV(RAND(),AVERAGE(Assumptions!$D$13,Assumptions!$F$13),(Assumptions!$F$13-Assumptions!$D$13)/3.29)*44</f>
        <v>16243416.547302943</v>
      </c>
      <c r="M17" s="6">
        <f ca="1">_xlfn.NORM.INV(RAND(),AVERAGE(Assumptions!$D$14,Assumptions!$F$14),(Assumptions!$F$14-Assumptions!$D$14)/3.29)*44</f>
        <v>4994735.3469711579</v>
      </c>
      <c r="N17" s="9">
        <f ca="1">_xlfn.NORM.INV(RAND(),AVERAGE(Assumptions!$D$16,Assumptions!$F$16),(Assumptions!$F$16-Assumptions!$D$16)/3.29)*44</f>
        <v>11715097.867311813</v>
      </c>
      <c r="O17" s="12">
        <f ca="1">_xlfn.NORM.INV(RAND(),AVERAGE(Assumptions!$D$15,Assumptions!$F$15),(Assumptions!$F$15-Assumptions!$D$15)/3.29)*44</f>
        <v>59409788.994409867</v>
      </c>
      <c r="P17" s="15">
        <f>Assumptions!$D$18</f>
        <v>14641750.345627395</v>
      </c>
      <c r="Q17" s="3">
        <f t="shared" ca="1" si="0"/>
        <v>-6103648.7951322719</v>
      </c>
      <c r="R17" s="6">
        <f t="shared" ca="1" si="1"/>
        <v>8538101.5504951235</v>
      </c>
    </row>
    <row r="18" spans="1:18">
      <c r="A18" s="20">
        <v>17</v>
      </c>
      <c r="B18" s="3">
        <f ca="1">_xlfn.NORM.INV(RAND(),AVERAGE(Assumptions!$D$4,Assumptions!$F$4),(Assumptions!$F$4-Assumptions!$D$4)/3.29)*44</f>
        <v>1250610.9303312737</v>
      </c>
      <c r="C18" s="6">
        <f ca="1">_xlfn.NORM.INV(RAND(),AVERAGE(Assumptions!$D$5,Assumptions!$F$5),(Assumptions!$F$5-Assumptions!$D$5)/3.29)*44</f>
        <v>2000908.3703674423</v>
      </c>
      <c r="D18" s="9">
        <f ca="1">_xlfn.NORM.INV(RAND(),AVERAGE(Assumptions!$D$6,Assumptions!$F$6),(Assumptions!$F$6-Assumptions!$D$6)/3.29)*RANDBETWEEN(2,5)</f>
        <v>5158955.1843137164</v>
      </c>
      <c r="E18" s="12">
        <f ca="1">_xlfn.NORM.INV(RAND(),AVERAGE(Assumptions!$D$17,Assumptions!$F$17),(Assumptions!$F$17-Assumptions!$D$17)/3.29)*8</f>
        <v>958266.92092805868</v>
      </c>
      <c r="F18" s="15">
        <f ca="1">_xlfn.NORM.INV(RAND(),AVERAGE(Assumptions!$D$7,Assumptions!$F$7),(Assumptions!$F$7-Assumptions!$D$7)/3.29)*RANDBETWEEN(1,3)</f>
        <v>3567133.0243400242</v>
      </c>
      <c r="G18" s="3">
        <f ca="1">_xlfn.NORM.INV(RAND(),AVERAGE(Assumptions!$D$8,Assumptions!$F$8),(Assumptions!$F$8-Assumptions!$D$8)/3.29)*44</f>
        <v>1149976.5684133356</v>
      </c>
      <c r="H18" s="6">
        <f ca="1">_xlfn.NORM.INV(RAND(),AVERAGE(Assumptions!$D$9,Assumptions!$F$9),(Assumptions!$F$9-Assumptions!$D$9)/3.29)*21</f>
        <v>4701461.5061069103</v>
      </c>
      <c r="I18" s="9">
        <f ca="1">_xlfn.NORM.INV(RAND(),AVERAGE(Assumptions!$D$10,Assumptions!$F$10),(Assumptions!$F$10-Assumptions!$D$10)/3.29)*21</f>
        <v>925874.27446140232</v>
      </c>
      <c r="J18" s="12">
        <f ca="1">NORMINV(RAND(),AVERAGE(Assumptions!$D$11,Assumptions!$F$11),(Assumptions!$F$11-Assumptions!$D$11)/3.29)*44</f>
        <v>4954302.1482310621</v>
      </c>
      <c r="K18" s="15">
        <f ca="1">_xlfn.NORM.INV(RAND(),AVERAGE(Assumptions!$D$12,Assumptions!$F$12),(Assumptions!$F$12-Assumptions!$D$12)/3.29)*44</f>
        <v>7880154.6055626385</v>
      </c>
      <c r="L18" s="3">
        <f ca="1">_xlfn.NORM.INV(RAND(),AVERAGE(Assumptions!$D$13,Assumptions!$F$13),(Assumptions!$F$13-Assumptions!$D$13)/3.29)*44</f>
        <v>16063758.883777793</v>
      </c>
      <c r="M18" s="6">
        <f ca="1">_xlfn.NORM.INV(RAND(),AVERAGE(Assumptions!$D$14,Assumptions!$F$14),(Assumptions!$F$14-Assumptions!$D$14)/3.29)*44</f>
        <v>4345433.0639720568</v>
      </c>
      <c r="N18" s="9">
        <f ca="1">_xlfn.NORM.INV(RAND(),AVERAGE(Assumptions!$D$16,Assumptions!$F$16),(Assumptions!$F$16-Assumptions!$D$16)/3.29)*44</f>
        <v>14328140.726703731</v>
      </c>
      <c r="O18" s="12">
        <f ca="1">_xlfn.NORM.INV(RAND(),AVERAGE(Assumptions!$D$15,Assumptions!$F$15),(Assumptions!$F$15-Assumptions!$D$15)/3.29)*44</f>
        <v>56269336.189715467</v>
      </c>
      <c r="P18" s="15">
        <f>Assumptions!$D$18</f>
        <v>14641750.345627395</v>
      </c>
      <c r="Q18" s="3">
        <f t="shared" ca="1" si="0"/>
        <v>-11015640.017793976</v>
      </c>
      <c r="R18" s="6">
        <f t="shared" ca="1" si="1"/>
        <v>3626110.3278334197</v>
      </c>
    </row>
    <row r="19" spans="1:18">
      <c r="A19" s="20">
        <v>18</v>
      </c>
      <c r="B19" s="3">
        <f ca="1">_xlfn.NORM.INV(RAND(),AVERAGE(Assumptions!$D$4,Assumptions!$F$4),(Assumptions!$F$4-Assumptions!$D$4)/3.29)*44</f>
        <v>1093504.0909677176</v>
      </c>
      <c r="C19" s="6">
        <f ca="1">_xlfn.NORM.INV(RAND(),AVERAGE(Assumptions!$D$5,Assumptions!$F$5),(Assumptions!$F$5-Assumptions!$D$5)/3.29)*44</f>
        <v>1845917.7403464573</v>
      </c>
      <c r="D19" s="9">
        <f ca="1">_xlfn.NORM.INV(RAND(),AVERAGE(Assumptions!$D$6,Assumptions!$F$6),(Assumptions!$F$6-Assumptions!$D$6)/3.29)*RANDBETWEEN(2,5)</f>
        <v>6090733.6750006862</v>
      </c>
      <c r="E19" s="12">
        <f ca="1">_xlfn.NORM.INV(RAND(),AVERAGE(Assumptions!$D$17,Assumptions!$F$17),(Assumptions!$F$17-Assumptions!$D$17)/3.29)*8</f>
        <v>727001.32043495425</v>
      </c>
      <c r="F19" s="15">
        <f ca="1">_xlfn.NORM.INV(RAND(),AVERAGE(Assumptions!$D$7,Assumptions!$F$7),(Assumptions!$F$7-Assumptions!$D$7)/3.29)*RANDBETWEEN(1,3)</f>
        <v>2060614.6421375815</v>
      </c>
      <c r="G19" s="3">
        <f ca="1">_xlfn.NORM.INV(RAND(),AVERAGE(Assumptions!$D$8,Assumptions!$F$8),(Assumptions!$F$8-Assumptions!$D$8)/3.29)*44</f>
        <v>1203388.509243269</v>
      </c>
      <c r="H19" s="6">
        <f ca="1">_xlfn.NORM.INV(RAND(),AVERAGE(Assumptions!$D$9,Assumptions!$F$9),(Assumptions!$F$9-Assumptions!$D$9)/3.29)*21</f>
        <v>5169581.5153302792</v>
      </c>
      <c r="I19" s="9">
        <f ca="1">_xlfn.NORM.INV(RAND(),AVERAGE(Assumptions!$D$10,Assumptions!$F$10),(Assumptions!$F$10-Assumptions!$D$10)/3.29)*21</f>
        <v>1027917.6429834436</v>
      </c>
      <c r="J19" s="12">
        <f ca="1">NORMINV(RAND(),AVERAGE(Assumptions!$D$11,Assumptions!$F$11),(Assumptions!$F$11-Assumptions!$D$11)/3.29)*44</f>
        <v>3822956.3153973594</v>
      </c>
      <c r="K19" s="15">
        <f ca="1">_xlfn.NORM.INV(RAND(),AVERAGE(Assumptions!$D$12,Assumptions!$F$12),(Assumptions!$F$12-Assumptions!$D$12)/3.29)*44</f>
        <v>6822539.1187951351</v>
      </c>
      <c r="L19" s="3">
        <f ca="1">_xlfn.NORM.INV(RAND(),AVERAGE(Assumptions!$D$13,Assumptions!$F$13),(Assumptions!$F$13-Assumptions!$D$13)/3.29)*44</f>
        <v>20358061.789561182</v>
      </c>
      <c r="M19" s="6">
        <f ca="1">_xlfn.NORM.INV(RAND(),AVERAGE(Assumptions!$D$14,Assumptions!$F$14),(Assumptions!$F$14-Assumptions!$D$14)/3.29)*44</f>
        <v>6119373.003257894</v>
      </c>
      <c r="N19" s="9">
        <f ca="1">_xlfn.NORM.INV(RAND(),AVERAGE(Assumptions!$D$16,Assumptions!$F$16),(Assumptions!$F$16-Assumptions!$D$16)/3.29)*44</f>
        <v>14132797.410961857</v>
      </c>
      <c r="O19" s="12">
        <f ca="1">_xlfn.NORM.INV(RAND(),AVERAGE(Assumptions!$D$15,Assumptions!$F$15),(Assumptions!$F$15-Assumptions!$D$15)/3.29)*44</f>
        <v>73924487.43432565</v>
      </c>
      <c r="P19" s="15">
        <f>Assumptions!$D$18</f>
        <v>14641750.345627395</v>
      </c>
      <c r="Q19" s="3">
        <f t="shared" ca="1" si="0"/>
        <v>3450100.6599078327</v>
      </c>
      <c r="R19" s="6">
        <f t="shared" ca="1" si="1"/>
        <v>18091851.00553523</v>
      </c>
    </row>
    <row r="20" spans="1:18">
      <c r="A20" s="20">
        <v>19</v>
      </c>
      <c r="B20" s="3">
        <f ca="1">_xlfn.NORM.INV(RAND(),AVERAGE(Assumptions!$D$4,Assumptions!$F$4),(Assumptions!$F$4-Assumptions!$D$4)/3.29)*44</f>
        <v>1174689.0751031018</v>
      </c>
      <c r="C20" s="6">
        <f ca="1">_xlfn.NORM.INV(RAND(),AVERAGE(Assumptions!$D$5,Assumptions!$F$5),(Assumptions!$F$5-Assumptions!$D$5)/3.29)*44</f>
        <v>1962834.4129229435</v>
      </c>
      <c r="D20" s="9">
        <f ca="1">_xlfn.NORM.INV(RAND(),AVERAGE(Assumptions!$D$6,Assumptions!$F$6),(Assumptions!$F$6-Assumptions!$D$6)/3.29)*RANDBETWEEN(2,5)</f>
        <v>2376971.6239267564</v>
      </c>
      <c r="E20" s="12">
        <f ca="1">_xlfn.NORM.INV(RAND(),AVERAGE(Assumptions!$D$17,Assumptions!$F$17),(Assumptions!$F$17-Assumptions!$D$17)/3.29)*8</f>
        <v>913300.33541517961</v>
      </c>
      <c r="F20" s="15">
        <f ca="1">_xlfn.NORM.INV(RAND(),AVERAGE(Assumptions!$D$7,Assumptions!$F$7),(Assumptions!$F$7-Assumptions!$D$7)/3.29)*RANDBETWEEN(1,3)</f>
        <v>7955773.1546339449</v>
      </c>
      <c r="G20" s="3">
        <f ca="1">_xlfn.NORM.INV(RAND(),AVERAGE(Assumptions!$D$8,Assumptions!$F$8),(Assumptions!$F$8-Assumptions!$D$8)/3.29)*44</f>
        <v>1048007.8305842185</v>
      </c>
      <c r="H20" s="6">
        <f ca="1">_xlfn.NORM.INV(RAND(),AVERAGE(Assumptions!$D$9,Assumptions!$F$9),(Assumptions!$F$9-Assumptions!$D$9)/3.29)*21</f>
        <v>5566892.6006350899</v>
      </c>
      <c r="I20" s="9">
        <f ca="1">_xlfn.NORM.INV(RAND(),AVERAGE(Assumptions!$D$10,Assumptions!$F$10),(Assumptions!$F$10-Assumptions!$D$10)/3.29)*21</f>
        <v>640343.74279097444</v>
      </c>
      <c r="J20" s="12">
        <f ca="1">NORMINV(RAND(),AVERAGE(Assumptions!$D$11,Assumptions!$F$11),(Assumptions!$F$11-Assumptions!$D$11)/3.29)*44</f>
        <v>2858909.0545025258</v>
      </c>
      <c r="K20" s="15">
        <f ca="1">_xlfn.NORM.INV(RAND(),AVERAGE(Assumptions!$D$12,Assumptions!$F$12),(Assumptions!$F$12-Assumptions!$D$12)/3.29)*44</f>
        <v>9263226.2674965393</v>
      </c>
      <c r="L20" s="3">
        <f ca="1">_xlfn.NORM.INV(RAND(),AVERAGE(Assumptions!$D$13,Assumptions!$F$13),(Assumptions!$F$13-Assumptions!$D$13)/3.29)*44</f>
        <v>18554984.040781632</v>
      </c>
      <c r="M20" s="6">
        <f ca="1">_xlfn.NORM.INV(RAND(),AVERAGE(Assumptions!$D$14,Assumptions!$F$14),(Assumptions!$F$14-Assumptions!$D$14)/3.29)*44</f>
        <v>5390086.6282383306</v>
      </c>
      <c r="N20" s="9">
        <f ca="1">_xlfn.NORM.INV(RAND(),AVERAGE(Assumptions!$D$16,Assumptions!$F$16),(Assumptions!$F$16-Assumptions!$D$16)/3.29)*44</f>
        <v>9835443.1299292576</v>
      </c>
      <c r="O20" s="12">
        <f ca="1">_xlfn.NORM.INV(RAND(),AVERAGE(Assumptions!$D$15,Assumptions!$F$15),(Assumptions!$F$15-Assumptions!$D$15)/3.29)*44</f>
        <v>97779422.755238116</v>
      </c>
      <c r="P20" s="15">
        <f>Assumptions!$D$18</f>
        <v>14641750.345627395</v>
      </c>
      <c r="Q20" s="3">
        <f t="shared" ca="1" si="0"/>
        <v>30237960.858277619</v>
      </c>
      <c r="R20" s="6">
        <f t="shared" ca="1" si="1"/>
        <v>44879711.203905016</v>
      </c>
    </row>
    <row r="21" spans="1:18">
      <c r="A21" s="20">
        <v>20</v>
      </c>
      <c r="B21" s="3">
        <f ca="1">_xlfn.NORM.INV(RAND(),AVERAGE(Assumptions!$D$4,Assumptions!$F$4),(Assumptions!$F$4-Assumptions!$D$4)/3.29)*44</f>
        <v>1133198.8595186595</v>
      </c>
      <c r="C21" s="6">
        <f ca="1">_xlfn.NORM.INV(RAND(),AVERAGE(Assumptions!$D$5,Assumptions!$F$5),(Assumptions!$F$5-Assumptions!$D$5)/3.29)*44</f>
        <v>1982723.1615910439</v>
      </c>
      <c r="D21" s="9">
        <f ca="1">_xlfn.NORM.INV(RAND(),AVERAGE(Assumptions!$D$6,Assumptions!$F$6),(Assumptions!$F$6-Assumptions!$D$6)/3.29)*RANDBETWEEN(2,5)</f>
        <v>6040585.9355597775</v>
      </c>
      <c r="E21" s="12">
        <f ca="1">_xlfn.NORM.INV(RAND(),AVERAGE(Assumptions!$D$17,Assumptions!$F$17),(Assumptions!$F$17-Assumptions!$D$17)/3.29)*8</f>
        <v>958103.26959387935</v>
      </c>
      <c r="F21" s="15">
        <f ca="1">_xlfn.NORM.INV(RAND(),AVERAGE(Assumptions!$D$7,Assumptions!$F$7),(Assumptions!$F$7-Assumptions!$D$7)/3.29)*RANDBETWEEN(1,3)</f>
        <v>5839935.8533605477</v>
      </c>
      <c r="G21" s="3">
        <f ca="1">_xlfn.NORM.INV(RAND(),AVERAGE(Assumptions!$D$8,Assumptions!$F$8),(Assumptions!$F$8-Assumptions!$D$8)/3.29)*44</f>
        <v>1019858.4876159031</v>
      </c>
      <c r="H21" s="6">
        <f ca="1">_xlfn.NORM.INV(RAND(),AVERAGE(Assumptions!$D$9,Assumptions!$F$9),(Assumptions!$F$9-Assumptions!$D$9)/3.29)*21</f>
        <v>3473732.0383168519</v>
      </c>
      <c r="I21" s="9">
        <f ca="1">_xlfn.NORM.INV(RAND(),AVERAGE(Assumptions!$D$10,Assumptions!$F$10),(Assumptions!$F$10-Assumptions!$D$10)/3.29)*21</f>
        <v>810871.06052254094</v>
      </c>
      <c r="J21" s="12">
        <f ca="1">NORMINV(RAND(),AVERAGE(Assumptions!$D$11,Assumptions!$F$11),(Assumptions!$F$11-Assumptions!$D$11)/3.29)*44</f>
        <v>2646479.9844946731</v>
      </c>
      <c r="K21" s="15">
        <f ca="1">_xlfn.NORM.INV(RAND(),AVERAGE(Assumptions!$D$12,Assumptions!$F$12),(Assumptions!$F$12-Assumptions!$D$12)/3.29)*44</f>
        <v>10490455.266756278</v>
      </c>
      <c r="L21" s="3">
        <f ca="1">_xlfn.NORM.INV(RAND(),AVERAGE(Assumptions!$D$13,Assumptions!$F$13),(Assumptions!$F$13-Assumptions!$D$13)/3.29)*44</f>
        <v>7816515.8983430006</v>
      </c>
      <c r="M21" s="6">
        <f ca="1">_xlfn.NORM.INV(RAND(),AVERAGE(Assumptions!$D$14,Assumptions!$F$14),(Assumptions!$F$14-Assumptions!$D$14)/3.29)*44</f>
        <v>7001309.8682194836</v>
      </c>
      <c r="N21" s="9">
        <f ca="1">_xlfn.NORM.INV(RAND(),AVERAGE(Assumptions!$D$16,Assumptions!$F$16),(Assumptions!$F$16-Assumptions!$D$16)/3.29)*44</f>
        <v>16881414.293959305</v>
      </c>
      <c r="O21" s="12">
        <f ca="1">_xlfn.NORM.INV(RAND(),AVERAGE(Assumptions!$D$15,Assumptions!$F$15),(Assumptions!$F$15-Assumptions!$D$15)/3.29)*44</f>
        <v>129933777.54748109</v>
      </c>
      <c r="P21" s="15">
        <f>Assumptions!$D$18</f>
        <v>14641750.345627395</v>
      </c>
      <c r="Q21" s="3">
        <f t="shared" ca="1" si="0"/>
        <v>63838593.569629148</v>
      </c>
      <c r="R21" s="6">
        <f t="shared" ca="1" si="1"/>
        <v>78480343.915256545</v>
      </c>
    </row>
    <row r="22" spans="1:18">
      <c r="A22" s="20">
        <v>21</v>
      </c>
      <c r="B22" s="3">
        <f ca="1">_xlfn.NORM.INV(RAND(),AVERAGE(Assumptions!$D$4,Assumptions!$F$4),(Assumptions!$F$4-Assumptions!$D$4)/3.29)*44</f>
        <v>1166838.6990788279</v>
      </c>
      <c r="C22" s="6">
        <f ca="1">_xlfn.NORM.INV(RAND(),AVERAGE(Assumptions!$D$5,Assumptions!$F$5),(Assumptions!$F$5-Assumptions!$D$5)/3.29)*44</f>
        <v>1918476.5377555506</v>
      </c>
      <c r="D22" s="9">
        <f ca="1">_xlfn.NORM.INV(RAND(),AVERAGE(Assumptions!$D$6,Assumptions!$F$6),(Assumptions!$F$6-Assumptions!$D$6)/3.29)*RANDBETWEEN(2,5)</f>
        <v>7293557.4614038831</v>
      </c>
      <c r="E22" s="12">
        <f ca="1">_xlfn.NORM.INV(RAND(),AVERAGE(Assumptions!$D$17,Assumptions!$F$17),(Assumptions!$F$17-Assumptions!$D$17)/3.29)*8</f>
        <v>983475.27265779639</v>
      </c>
      <c r="F22" s="15">
        <f ca="1">_xlfn.NORM.INV(RAND(),AVERAGE(Assumptions!$D$7,Assumptions!$F$7),(Assumptions!$F$7-Assumptions!$D$7)/3.29)*RANDBETWEEN(1,3)</f>
        <v>6417467.3714831397</v>
      </c>
      <c r="G22" s="3">
        <f ca="1">_xlfn.NORM.INV(RAND(),AVERAGE(Assumptions!$D$8,Assumptions!$F$8),(Assumptions!$F$8-Assumptions!$D$8)/3.29)*44</f>
        <v>939130.00362304831</v>
      </c>
      <c r="H22" s="6">
        <f ca="1">_xlfn.NORM.INV(RAND(),AVERAGE(Assumptions!$D$9,Assumptions!$F$9),(Assumptions!$F$9-Assumptions!$D$9)/3.29)*21</f>
        <v>1639350.6048906199</v>
      </c>
      <c r="I22" s="9">
        <f ca="1">_xlfn.NORM.INV(RAND(),AVERAGE(Assumptions!$D$10,Assumptions!$F$10),(Assumptions!$F$10-Assumptions!$D$10)/3.29)*21</f>
        <v>1058119.5409873831</v>
      </c>
      <c r="J22" s="12">
        <f ca="1">NORMINV(RAND(),AVERAGE(Assumptions!$D$11,Assumptions!$F$11),(Assumptions!$F$11-Assumptions!$D$11)/3.29)*44</f>
        <v>4636349.1851609666</v>
      </c>
      <c r="K22" s="15">
        <f ca="1">_xlfn.NORM.INV(RAND(),AVERAGE(Assumptions!$D$12,Assumptions!$F$12),(Assumptions!$F$12-Assumptions!$D$12)/3.29)*44</f>
        <v>8656107.5370984618</v>
      </c>
      <c r="L22" s="3">
        <f ca="1">_xlfn.NORM.INV(RAND(),AVERAGE(Assumptions!$D$13,Assumptions!$F$13),(Assumptions!$F$13-Assumptions!$D$13)/3.29)*44</f>
        <v>14278320.644397663</v>
      </c>
      <c r="M22" s="6">
        <f ca="1">_xlfn.NORM.INV(RAND(),AVERAGE(Assumptions!$D$14,Assumptions!$F$14),(Assumptions!$F$14-Assumptions!$D$14)/3.29)*44</f>
        <v>7548268.3649971643</v>
      </c>
      <c r="N22" s="9">
        <f ca="1">_xlfn.NORM.INV(RAND(),AVERAGE(Assumptions!$D$16,Assumptions!$F$16),(Assumptions!$F$16-Assumptions!$D$16)/3.29)*44</f>
        <v>7956911.4211793905</v>
      </c>
      <c r="O22" s="12">
        <f ca="1">_xlfn.NORM.INV(RAND(),AVERAGE(Assumptions!$D$15,Assumptions!$F$15),(Assumptions!$F$15-Assumptions!$D$15)/3.29)*44</f>
        <v>54833432.206306256</v>
      </c>
      <c r="P22" s="15">
        <f>Assumptions!$D$18</f>
        <v>14641750.345627395</v>
      </c>
      <c r="Q22" s="3">
        <f t="shared" ca="1" si="0"/>
        <v>-9658940.4384076372</v>
      </c>
      <c r="R22" s="6">
        <f t="shared" ca="1" si="1"/>
        <v>4982809.9072197583</v>
      </c>
    </row>
    <row r="23" spans="1:18">
      <c r="A23" s="20">
        <v>22</v>
      </c>
      <c r="B23" s="3">
        <f ca="1">_xlfn.NORM.INV(RAND(),AVERAGE(Assumptions!$D$4,Assumptions!$F$4),(Assumptions!$F$4-Assumptions!$D$4)/3.29)*44</f>
        <v>1253649.5518547243</v>
      </c>
      <c r="C23" s="6">
        <f ca="1">_xlfn.NORM.INV(RAND(),AVERAGE(Assumptions!$D$5,Assumptions!$F$5),(Assumptions!$F$5-Assumptions!$D$5)/3.29)*44</f>
        <v>1635397.95953984</v>
      </c>
      <c r="D23" s="9">
        <f ca="1">_xlfn.NORM.INV(RAND(),AVERAGE(Assumptions!$D$6,Assumptions!$F$6),(Assumptions!$F$6-Assumptions!$D$6)/3.29)*RANDBETWEEN(2,5)</f>
        <v>1196898.0502762739</v>
      </c>
      <c r="E23" s="12">
        <f ca="1">_xlfn.NORM.INV(RAND(),AVERAGE(Assumptions!$D$17,Assumptions!$F$17),(Assumptions!$F$17-Assumptions!$D$17)/3.29)*8</f>
        <v>831726.73915224429</v>
      </c>
      <c r="F23" s="15">
        <f ca="1">_xlfn.NORM.INV(RAND(),AVERAGE(Assumptions!$D$7,Assumptions!$F$7),(Assumptions!$F$7-Assumptions!$D$7)/3.29)*RANDBETWEEN(1,3)</f>
        <v>13071592.625188379</v>
      </c>
      <c r="G23" s="3">
        <f ca="1">_xlfn.NORM.INV(RAND(),AVERAGE(Assumptions!$D$8,Assumptions!$F$8),(Assumptions!$F$8-Assumptions!$D$8)/3.29)*44</f>
        <v>1289525.694021679</v>
      </c>
      <c r="H23" s="6">
        <f ca="1">_xlfn.NORM.INV(RAND(),AVERAGE(Assumptions!$D$9,Assumptions!$F$9),(Assumptions!$F$9-Assumptions!$D$9)/3.29)*21</f>
        <v>3001365.6948771854</v>
      </c>
      <c r="I23" s="9">
        <f ca="1">_xlfn.NORM.INV(RAND(),AVERAGE(Assumptions!$D$10,Assumptions!$F$10),(Assumptions!$F$10-Assumptions!$D$10)/3.29)*21</f>
        <v>649927.86885162664</v>
      </c>
      <c r="J23" s="12">
        <f ca="1">NORMINV(RAND(),AVERAGE(Assumptions!$D$11,Assumptions!$F$11),(Assumptions!$F$11-Assumptions!$D$11)/3.29)*44</f>
        <v>3271596.9471031292</v>
      </c>
      <c r="K23" s="15">
        <f ca="1">_xlfn.NORM.INV(RAND(),AVERAGE(Assumptions!$D$12,Assumptions!$F$12),(Assumptions!$F$12-Assumptions!$D$12)/3.29)*44</f>
        <v>9603134.2195267715</v>
      </c>
      <c r="L23" s="3">
        <f ca="1">_xlfn.NORM.INV(RAND(),AVERAGE(Assumptions!$D$13,Assumptions!$F$13),(Assumptions!$F$13-Assumptions!$D$13)/3.29)*44</f>
        <v>13809056.155599814</v>
      </c>
      <c r="M23" s="6">
        <f ca="1">_xlfn.NORM.INV(RAND(),AVERAGE(Assumptions!$D$14,Assumptions!$F$14),(Assumptions!$F$14-Assumptions!$D$14)/3.29)*44</f>
        <v>5562151.7818354946</v>
      </c>
      <c r="N23" s="9">
        <f ca="1">_xlfn.NORM.INV(RAND(),AVERAGE(Assumptions!$D$16,Assumptions!$F$16),(Assumptions!$F$16-Assumptions!$D$16)/3.29)*44</f>
        <v>5489552.151962623</v>
      </c>
      <c r="O23" s="12">
        <f ca="1">_xlfn.NORM.INV(RAND(),AVERAGE(Assumptions!$D$15,Assumptions!$F$15),(Assumptions!$F$15-Assumptions!$D$15)/3.29)*44</f>
        <v>146405722.43675622</v>
      </c>
      <c r="P23" s="15">
        <f>Assumptions!$D$18</f>
        <v>14641750.345627395</v>
      </c>
      <c r="Q23" s="3">
        <f t="shared" ca="1" si="0"/>
        <v>85740146.996966422</v>
      </c>
      <c r="R23" s="6">
        <f t="shared" ca="1" si="1"/>
        <v>100381897.34259382</v>
      </c>
    </row>
    <row r="24" spans="1:18">
      <c r="A24" s="20">
        <v>23</v>
      </c>
      <c r="B24" s="3">
        <f ca="1">_xlfn.NORM.INV(RAND(),AVERAGE(Assumptions!$D$4,Assumptions!$F$4),(Assumptions!$F$4-Assumptions!$D$4)/3.29)*44</f>
        <v>1244441.6810099166</v>
      </c>
      <c r="C24" s="6">
        <f ca="1">_xlfn.NORM.INV(RAND(),AVERAGE(Assumptions!$D$5,Assumptions!$F$5),(Assumptions!$F$5-Assumptions!$D$5)/3.29)*44</f>
        <v>1772850.6013160525</v>
      </c>
      <c r="D24" s="9">
        <f ca="1">_xlfn.NORM.INV(RAND(),AVERAGE(Assumptions!$D$6,Assumptions!$F$6),(Assumptions!$F$6-Assumptions!$D$6)/3.29)*RANDBETWEEN(2,5)</f>
        <v>4896181.1999398572</v>
      </c>
      <c r="E24" s="12">
        <f ca="1">_xlfn.NORM.INV(RAND(),AVERAGE(Assumptions!$D$17,Assumptions!$F$17),(Assumptions!$F$17-Assumptions!$D$17)/3.29)*8</f>
        <v>997326.96785366931</v>
      </c>
      <c r="F24" s="15">
        <f ca="1">_xlfn.NORM.INV(RAND(),AVERAGE(Assumptions!$D$7,Assumptions!$F$7),(Assumptions!$F$7-Assumptions!$D$7)/3.29)*RANDBETWEEN(1,3)</f>
        <v>4316981.7855862575</v>
      </c>
      <c r="G24" s="3">
        <f ca="1">_xlfn.NORM.INV(RAND(),AVERAGE(Assumptions!$D$8,Assumptions!$F$8),(Assumptions!$F$8-Assumptions!$D$8)/3.29)*44</f>
        <v>1160228.8049588732</v>
      </c>
      <c r="H24" s="6">
        <f ca="1">_xlfn.NORM.INV(RAND(),AVERAGE(Assumptions!$D$9,Assumptions!$F$9),(Assumptions!$F$9-Assumptions!$D$9)/3.29)*21</f>
        <v>4159836.4832333545</v>
      </c>
      <c r="I24" s="9">
        <f ca="1">_xlfn.NORM.INV(RAND(),AVERAGE(Assumptions!$D$10,Assumptions!$F$10),(Assumptions!$F$10-Assumptions!$D$10)/3.29)*21</f>
        <v>746993.54465616017</v>
      </c>
      <c r="J24" s="12">
        <f ca="1">NORMINV(RAND(),AVERAGE(Assumptions!$D$11,Assumptions!$F$11),(Assumptions!$F$11-Assumptions!$D$11)/3.29)*44</f>
        <v>2558463.2802314814</v>
      </c>
      <c r="K24" s="15">
        <f ca="1">_xlfn.NORM.INV(RAND(),AVERAGE(Assumptions!$D$12,Assumptions!$F$12),(Assumptions!$F$12-Assumptions!$D$12)/3.29)*44</f>
        <v>9220440.7096891776</v>
      </c>
      <c r="L24" s="3">
        <f ca="1">_xlfn.NORM.INV(RAND(),AVERAGE(Assumptions!$D$13,Assumptions!$F$13),(Assumptions!$F$13-Assumptions!$D$13)/3.29)*44</f>
        <v>13565891.521345627</v>
      </c>
      <c r="M24" s="6">
        <f ca="1">_xlfn.NORM.INV(RAND(),AVERAGE(Assumptions!$D$14,Assumptions!$F$14),(Assumptions!$F$14-Assumptions!$D$14)/3.29)*44</f>
        <v>7918932.0877580289</v>
      </c>
      <c r="N24" s="9">
        <f ca="1">_xlfn.NORM.INV(RAND(),AVERAGE(Assumptions!$D$16,Assumptions!$F$16),(Assumptions!$F$16-Assumptions!$D$16)/3.29)*44</f>
        <v>6434584.2474273648</v>
      </c>
      <c r="O24" s="12">
        <f ca="1">_xlfn.NORM.INV(RAND(),AVERAGE(Assumptions!$D$15,Assumptions!$F$15),(Assumptions!$F$15-Assumptions!$D$15)/3.29)*44</f>
        <v>103889243.88350426</v>
      </c>
      <c r="P24" s="15">
        <f>Assumptions!$D$18</f>
        <v>14641750.345627395</v>
      </c>
      <c r="Q24" s="3">
        <f t="shared" ca="1" si="0"/>
        <v>44896090.968498431</v>
      </c>
      <c r="R24" s="6">
        <f t="shared" ca="1" si="1"/>
        <v>59537841.314125828</v>
      </c>
    </row>
    <row r="25" spans="1:18">
      <c r="A25" s="20">
        <v>24</v>
      </c>
      <c r="B25" s="3">
        <f ca="1">_xlfn.NORM.INV(RAND(),AVERAGE(Assumptions!$D$4,Assumptions!$F$4),(Assumptions!$F$4-Assumptions!$D$4)/3.29)*44</f>
        <v>1289434.7106508736</v>
      </c>
      <c r="C25" s="6">
        <f ca="1">_xlfn.NORM.INV(RAND(),AVERAGE(Assumptions!$D$5,Assumptions!$F$5),(Assumptions!$F$5-Assumptions!$D$5)/3.29)*44</f>
        <v>1729755.8889365736</v>
      </c>
      <c r="D25" s="9">
        <f ca="1">_xlfn.NORM.INV(RAND(),AVERAGE(Assumptions!$D$6,Assumptions!$F$6),(Assumptions!$F$6-Assumptions!$D$6)/3.29)*RANDBETWEEN(2,5)</f>
        <v>6892310.3837342765</v>
      </c>
      <c r="E25" s="12">
        <f ca="1">_xlfn.NORM.INV(RAND(),AVERAGE(Assumptions!$D$17,Assumptions!$F$17),(Assumptions!$F$17-Assumptions!$D$17)/3.29)*8</f>
        <v>1009949.3379081108</v>
      </c>
      <c r="F25" s="15">
        <f ca="1">_xlfn.NORM.INV(RAND(),AVERAGE(Assumptions!$D$7,Assumptions!$F$7),(Assumptions!$F$7-Assumptions!$D$7)/3.29)*RANDBETWEEN(1,3)</f>
        <v>7649095.7977408869</v>
      </c>
      <c r="G25" s="3">
        <f ca="1">_xlfn.NORM.INV(RAND(),AVERAGE(Assumptions!$D$8,Assumptions!$F$8),(Assumptions!$F$8-Assumptions!$D$8)/3.29)*44</f>
        <v>1127927.2398436836</v>
      </c>
      <c r="H25" s="6">
        <f ca="1">_xlfn.NORM.INV(RAND(),AVERAGE(Assumptions!$D$9,Assumptions!$F$9),(Assumptions!$F$9-Assumptions!$D$9)/3.29)*21</f>
        <v>3868735.7380952989</v>
      </c>
      <c r="I25" s="9">
        <f ca="1">_xlfn.NORM.INV(RAND(),AVERAGE(Assumptions!$D$10,Assumptions!$F$10),(Assumptions!$F$10-Assumptions!$D$10)/3.29)*21</f>
        <v>727182.74930222449</v>
      </c>
      <c r="J25" s="12">
        <f ca="1">NORMINV(RAND(),AVERAGE(Assumptions!$D$11,Assumptions!$F$11),(Assumptions!$F$11-Assumptions!$D$11)/3.29)*44</f>
        <v>1040260.5615918286</v>
      </c>
      <c r="K25" s="15">
        <f ca="1">_xlfn.NORM.INV(RAND(),AVERAGE(Assumptions!$D$12,Assumptions!$F$12),(Assumptions!$F$12-Assumptions!$D$12)/3.29)*44</f>
        <v>9386400.8349288367</v>
      </c>
      <c r="L25" s="3">
        <f ca="1">_xlfn.NORM.INV(RAND(),AVERAGE(Assumptions!$D$13,Assumptions!$F$13),(Assumptions!$F$13-Assumptions!$D$13)/3.29)*44</f>
        <v>14374418.898428753</v>
      </c>
      <c r="M25" s="6">
        <f ca="1">_xlfn.NORM.INV(RAND(),AVERAGE(Assumptions!$D$14,Assumptions!$F$14),(Assumptions!$F$14-Assumptions!$D$14)/3.29)*44</f>
        <v>6191397.3504685052</v>
      </c>
      <c r="N25" s="9">
        <f ca="1">_xlfn.NORM.INV(RAND(),AVERAGE(Assumptions!$D$16,Assumptions!$F$16),(Assumptions!$F$16-Assumptions!$D$16)/3.29)*44</f>
        <v>17610746.006019246</v>
      </c>
      <c r="O25" s="12">
        <f ca="1">_xlfn.NORM.INV(RAND(),AVERAGE(Assumptions!$D$15,Assumptions!$F$15),(Assumptions!$F$15-Assumptions!$D$15)/3.29)*44</f>
        <v>104698988.95116922</v>
      </c>
      <c r="P25" s="15">
        <f>Assumptions!$D$18</f>
        <v>14641750.345627395</v>
      </c>
      <c r="Q25" s="3">
        <f t="shared" ca="1" si="0"/>
        <v>31801373.453520134</v>
      </c>
      <c r="R25" s="6">
        <f t="shared" ca="1" si="1"/>
        <v>46443123.799147531</v>
      </c>
    </row>
    <row r="26" spans="1:18">
      <c r="A26" s="20">
        <v>25</v>
      </c>
      <c r="B26" s="3">
        <f ca="1">_xlfn.NORM.INV(RAND(),AVERAGE(Assumptions!$D$4,Assumptions!$F$4),(Assumptions!$F$4-Assumptions!$D$4)/3.29)*44</f>
        <v>1324375.8790172744</v>
      </c>
      <c r="C26" s="6">
        <f ca="1">_xlfn.NORM.INV(RAND(),AVERAGE(Assumptions!$D$5,Assumptions!$F$5),(Assumptions!$F$5-Assumptions!$D$5)/3.29)*44</f>
        <v>1680934.9826701444</v>
      </c>
      <c r="D26" s="9">
        <f ca="1">_xlfn.NORM.INV(RAND(),AVERAGE(Assumptions!$D$6,Assumptions!$F$6),(Assumptions!$F$6-Assumptions!$D$6)/3.29)*RANDBETWEEN(2,5)</f>
        <v>2613916.5351035898</v>
      </c>
      <c r="E26" s="12">
        <f ca="1">_xlfn.NORM.INV(RAND(),AVERAGE(Assumptions!$D$17,Assumptions!$F$17),(Assumptions!$F$17-Assumptions!$D$17)/3.29)*8</f>
        <v>1105823.0772276358</v>
      </c>
      <c r="F26" s="15">
        <f ca="1">_xlfn.NORM.INV(RAND(),AVERAGE(Assumptions!$D$7,Assumptions!$F$7),(Assumptions!$F$7-Assumptions!$D$7)/3.29)*RANDBETWEEN(1,3)</f>
        <v>3175576.8766891253</v>
      </c>
      <c r="G26" s="3">
        <f ca="1">_xlfn.NORM.INV(RAND(),AVERAGE(Assumptions!$D$8,Assumptions!$F$8),(Assumptions!$F$8-Assumptions!$D$8)/3.29)*44</f>
        <v>1231114.100905248</v>
      </c>
      <c r="H26" s="6">
        <f ca="1">_xlfn.NORM.INV(RAND(),AVERAGE(Assumptions!$D$9,Assumptions!$F$9),(Assumptions!$F$9-Assumptions!$D$9)/3.29)*21</f>
        <v>4240340.7241958464</v>
      </c>
      <c r="I26" s="9">
        <f ca="1">_xlfn.NORM.INV(RAND(),AVERAGE(Assumptions!$D$10,Assumptions!$F$10),(Assumptions!$F$10-Assumptions!$D$10)/3.29)*21</f>
        <v>1305566.3172991404</v>
      </c>
      <c r="J26" s="12">
        <f ca="1">NORMINV(RAND(),AVERAGE(Assumptions!$D$11,Assumptions!$F$11),(Assumptions!$F$11-Assumptions!$D$11)/3.29)*44</f>
        <v>3701082.2157787047</v>
      </c>
      <c r="K26" s="15">
        <f ca="1">_xlfn.NORM.INV(RAND(),AVERAGE(Assumptions!$D$12,Assumptions!$F$12),(Assumptions!$F$12-Assumptions!$D$12)/3.29)*44</f>
        <v>6921700.9780622162</v>
      </c>
      <c r="L26" s="3">
        <f ca="1">_xlfn.NORM.INV(RAND(),AVERAGE(Assumptions!$D$13,Assumptions!$F$13),(Assumptions!$F$13-Assumptions!$D$13)/3.29)*44</f>
        <v>18799701.109087698</v>
      </c>
      <c r="M26" s="6">
        <f ca="1">_xlfn.NORM.INV(RAND(),AVERAGE(Assumptions!$D$14,Assumptions!$F$14),(Assumptions!$F$14-Assumptions!$D$14)/3.29)*44</f>
        <v>6925760.4788094861</v>
      </c>
      <c r="N26" s="9">
        <f ca="1">_xlfn.NORM.INV(RAND(),AVERAGE(Assumptions!$D$16,Assumptions!$F$16),(Assumptions!$F$16-Assumptions!$D$16)/3.29)*44</f>
        <v>16111300.800718823</v>
      </c>
      <c r="O26" s="12">
        <f ca="1">_xlfn.NORM.INV(RAND(),AVERAGE(Assumptions!$D$15,Assumptions!$F$15),(Assumptions!$F$15-Assumptions!$D$15)/3.29)*44</f>
        <v>90506720.452877194</v>
      </c>
      <c r="P26" s="15">
        <f>Assumptions!$D$18</f>
        <v>14641750.345627395</v>
      </c>
      <c r="Q26" s="3">
        <f t="shared" ca="1" si="0"/>
        <v>21369526.377312258</v>
      </c>
      <c r="R26" s="6">
        <f t="shared" ca="1" si="1"/>
        <v>36011276.722939655</v>
      </c>
    </row>
    <row r="27" spans="1:18">
      <c r="A27" s="20">
        <v>26</v>
      </c>
      <c r="B27" s="3">
        <f ca="1">_xlfn.NORM.INV(RAND(),AVERAGE(Assumptions!$D$4,Assumptions!$F$4),(Assumptions!$F$4-Assumptions!$D$4)/3.29)*44</f>
        <v>1167957.3565836302</v>
      </c>
      <c r="C27" s="6">
        <f ca="1">_xlfn.NORM.INV(RAND(),AVERAGE(Assumptions!$D$5,Assumptions!$F$5),(Assumptions!$F$5-Assumptions!$D$5)/3.29)*44</f>
        <v>2020763.4961023915</v>
      </c>
      <c r="D27" s="9">
        <f ca="1">_xlfn.NORM.INV(RAND(),AVERAGE(Assumptions!$D$6,Assumptions!$F$6),(Assumptions!$F$6-Assumptions!$D$6)/3.29)*RANDBETWEEN(2,5)</f>
        <v>3844077.2434353791</v>
      </c>
      <c r="E27" s="12">
        <f ca="1">_xlfn.NORM.INV(RAND(),AVERAGE(Assumptions!$D$17,Assumptions!$F$17),(Assumptions!$F$17-Assumptions!$D$17)/3.29)*8</f>
        <v>974230.85565616901</v>
      </c>
      <c r="F27" s="15">
        <f ca="1">_xlfn.NORM.INV(RAND(),AVERAGE(Assumptions!$D$7,Assumptions!$F$7),(Assumptions!$F$7-Assumptions!$D$7)/3.29)*RANDBETWEEN(1,3)</f>
        <v>10706621.991359614</v>
      </c>
      <c r="G27" s="3">
        <f ca="1">_xlfn.NORM.INV(RAND(),AVERAGE(Assumptions!$D$8,Assumptions!$F$8),(Assumptions!$F$8-Assumptions!$D$8)/3.29)*44</f>
        <v>1012805.6121170918</v>
      </c>
      <c r="H27" s="6">
        <f ca="1">_xlfn.NORM.INV(RAND(),AVERAGE(Assumptions!$D$9,Assumptions!$F$9),(Assumptions!$F$9-Assumptions!$D$9)/3.29)*21</f>
        <v>5450623.8201182503</v>
      </c>
      <c r="I27" s="9">
        <f ca="1">_xlfn.NORM.INV(RAND(),AVERAGE(Assumptions!$D$10,Assumptions!$F$10),(Assumptions!$F$10-Assumptions!$D$10)/3.29)*21</f>
        <v>748843.23535024305</v>
      </c>
      <c r="J27" s="12">
        <f ca="1">NORMINV(RAND(),AVERAGE(Assumptions!$D$11,Assumptions!$F$11),(Assumptions!$F$11-Assumptions!$D$11)/3.29)*44</f>
        <v>1964078.5755651656</v>
      </c>
      <c r="K27" s="15">
        <f ca="1">_xlfn.NORM.INV(RAND(),AVERAGE(Assumptions!$D$12,Assumptions!$F$12),(Assumptions!$F$12-Assumptions!$D$12)/3.29)*44</f>
        <v>10179797.885886127</v>
      </c>
      <c r="L27" s="3">
        <f ca="1">_xlfn.NORM.INV(RAND(),AVERAGE(Assumptions!$D$13,Assumptions!$F$13),(Assumptions!$F$13-Assumptions!$D$13)/3.29)*44</f>
        <v>11313626.250313787</v>
      </c>
      <c r="M27" s="6">
        <f ca="1">_xlfn.NORM.INV(RAND(),AVERAGE(Assumptions!$D$14,Assumptions!$F$14),(Assumptions!$F$14-Assumptions!$D$14)/3.29)*44</f>
        <v>4952658.436638345</v>
      </c>
      <c r="N27" s="9">
        <f ca="1">_xlfn.NORM.INV(RAND(),AVERAGE(Assumptions!$D$16,Assumptions!$F$16),(Assumptions!$F$16-Assumptions!$D$16)/3.29)*44</f>
        <v>4774390.9842166826</v>
      </c>
      <c r="O27" s="12">
        <f ca="1">_xlfn.NORM.INV(RAND(),AVERAGE(Assumptions!$D$15,Assumptions!$F$15),(Assumptions!$F$15-Assumptions!$D$15)/3.29)*44</f>
        <v>104492661.85692401</v>
      </c>
      <c r="P27" s="15">
        <f>Assumptions!$D$18</f>
        <v>14641750.345627395</v>
      </c>
      <c r="Q27" s="3">
        <f t="shared" ca="1" si="0"/>
        <v>45382186.113581128</v>
      </c>
      <c r="R27" s="6">
        <f t="shared" ca="1" si="1"/>
        <v>60023936.459208526</v>
      </c>
    </row>
    <row r="28" spans="1:18">
      <c r="A28" s="20">
        <v>27</v>
      </c>
      <c r="B28" s="3">
        <f ca="1">_xlfn.NORM.INV(RAND(),AVERAGE(Assumptions!$D$4,Assumptions!$F$4),(Assumptions!$F$4-Assumptions!$D$4)/3.29)*44</f>
        <v>1158366.0038762833</v>
      </c>
      <c r="C28" s="6">
        <f ca="1">_xlfn.NORM.INV(RAND(),AVERAGE(Assumptions!$D$5,Assumptions!$F$5),(Assumptions!$F$5-Assumptions!$D$5)/3.29)*44</f>
        <v>1828941.1033907395</v>
      </c>
      <c r="D28" s="9">
        <f ca="1">_xlfn.NORM.INV(RAND(),AVERAGE(Assumptions!$D$6,Assumptions!$F$6),(Assumptions!$F$6-Assumptions!$D$6)/3.29)*RANDBETWEEN(2,5)</f>
        <v>5274972.647272083</v>
      </c>
      <c r="E28" s="12">
        <f ca="1">_xlfn.NORM.INV(RAND(),AVERAGE(Assumptions!$D$17,Assumptions!$F$17),(Assumptions!$F$17-Assumptions!$D$17)/3.29)*8</f>
        <v>1020260.1374188529</v>
      </c>
      <c r="F28" s="15">
        <f ca="1">_xlfn.NORM.INV(RAND(),AVERAGE(Assumptions!$D$7,Assumptions!$F$7),(Assumptions!$F$7-Assumptions!$D$7)/3.29)*RANDBETWEEN(1,3)</f>
        <v>4143665.5489197555</v>
      </c>
      <c r="G28" s="3">
        <f ca="1">_xlfn.NORM.INV(RAND(),AVERAGE(Assumptions!$D$8,Assumptions!$F$8),(Assumptions!$F$8-Assumptions!$D$8)/3.29)*44</f>
        <v>1138882.088099425</v>
      </c>
      <c r="H28" s="6">
        <f ca="1">_xlfn.NORM.INV(RAND(),AVERAGE(Assumptions!$D$9,Assumptions!$F$9),(Assumptions!$F$9-Assumptions!$D$9)/3.29)*21</f>
        <v>4154329.9680924662</v>
      </c>
      <c r="I28" s="9">
        <f ca="1">_xlfn.NORM.INV(RAND(),AVERAGE(Assumptions!$D$10,Assumptions!$F$10),(Assumptions!$F$10-Assumptions!$D$10)/3.29)*21</f>
        <v>849858.56803428533</v>
      </c>
      <c r="J28" s="12">
        <f ca="1">NORMINV(RAND(),AVERAGE(Assumptions!$D$11,Assumptions!$F$11),(Assumptions!$F$11-Assumptions!$D$11)/3.29)*44</f>
        <v>3001847.8492618622</v>
      </c>
      <c r="K28" s="15">
        <f ca="1">_xlfn.NORM.INV(RAND(),AVERAGE(Assumptions!$D$12,Assumptions!$F$12),(Assumptions!$F$12-Assumptions!$D$12)/3.29)*44</f>
        <v>8167662.5365506327</v>
      </c>
      <c r="L28" s="3">
        <f ca="1">_xlfn.NORM.INV(RAND(),AVERAGE(Assumptions!$D$13,Assumptions!$F$13),(Assumptions!$F$13-Assumptions!$D$13)/3.29)*44</f>
        <v>19142591.274647679</v>
      </c>
      <c r="M28" s="6">
        <f ca="1">_xlfn.NORM.INV(RAND(),AVERAGE(Assumptions!$D$14,Assumptions!$F$14),(Assumptions!$F$14-Assumptions!$D$14)/3.29)*44</f>
        <v>5718467.2191141089</v>
      </c>
      <c r="N28" s="9">
        <f ca="1">_xlfn.NORM.INV(RAND(),AVERAGE(Assumptions!$D$16,Assumptions!$F$16),(Assumptions!$F$16-Assumptions!$D$16)/3.29)*44</f>
        <v>10478752.321708923</v>
      </c>
      <c r="O28" s="12">
        <f ca="1">_xlfn.NORM.INV(RAND(),AVERAGE(Assumptions!$D$15,Assumptions!$F$15),(Assumptions!$F$15-Assumptions!$D$15)/3.29)*44</f>
        <v>37002088.24347309</v>
      </c>
      <c r="P28" s="15">
        <f>Assumptions!$D$18</f>
        <v>14641750.345627395</v>
      </c>
      <c r="Q28" s="3">
        <f t="shared" ca="1" si="0"/>
        <v>-29076509.022914007</v>
      </c>
      <c r="R28" s="6">
        <f t="shared" ca="1" si="1"/>
        <v>-14434758.677286612</v>
      </c>
    </row>
    <row r="29" spans="1:18">
      <c r="A29" s="20">
        <v>28</v>
      </c>
      <c r="B29" s="3">
        <f ca="1">_xlfn.NORM.INV(RAND(),AVERAGE(Assumptions!$D$4,Assumptions!$F$4),(Assumptions!$F$4-Assumptions!$D$4)/3.29)*44</f>
        <v>1125451.9401566091</v>
      </c>
      <c r="C29" s="6">
        <f ca="1">_xlfn.NORM.INV(RAND(),AVERAGE(Assumptions!$D$5,Assumptions!$F$5),(Assumptions!$F$5-Assumptions!$D$5)/3.29)*44</f>
        <v>1686186.9196491358</v>
      </c>
      <c r="D29" s="9">
        <f ca="1">_xlfn.NORM.INV(RAND(),AVERAGE(Assumptions!$D$6,Assumptions!$F$6),(Assumptions!$F$6-Assumptions!$D$6)/3.29)*RANDBETWEEN(2,5)</f>
        <v>6120450.0333016049</v>
      </c>
      <c r="E29" s="12">
        <f ca="1">_xlfn.NORM.INV(RAND(),AVERAGE(Assumptions!$D$17,Assumptions!$F$17),(Assumptions!$F$17-Assumptions!$D$17)/3.29)*8</f>
        <v>925162.31973874231</v>
      </c>
      <c r="F29" s="15">
        <f ca="1">_xlfn.NORM.INV(RAND(),AVERAGE(Assumptions!$D$7,Assumptions!$F$7),(Assumptions!$F$7-Assumptions!$D$7)/3.29)*RANDBETWEEN(1,3)</f>
        <v>1187176.4488243151</v>
      </c>
      <c r="G29" s="3">
        <f ca="1">_xlfn.NORM.INV(RAND(),AVERAGE(Assumptions!$D$8,Assumptions!$F$8),(Assumptions!$F$8-Assumptions!$D$8)/3.29)*44</f>
        <v>1056366.7769246476</v>
      </c>
      <c r="H29" s="6">
        <f ca="1">_xlfn.NORM.INV(RAND(),AVERAGE(Assumptions!$D$9,Assumptions!$F$9),(Assumptions!$F$9-Assumptions!$D$9)/3.29)*21</f>
        <v>4232684.0083737215</v>
      </c>
      <c r="I29" s="9">
        <f ca="1">_xlfn.NORM.INV(RAND(),AVERAGE(Assumptions!$D$10,Assumptions!$F$10),(Assumptions!$F$10-Assumptions!$D$10)/3.29)*21</f>
        <v>1011106.5712413512</v>
      </c>
      <c r="J29" s="12">
        <f ca="1">NORMINV(RAND(),AVERAGE(Assumptions!$D$11,Assumptions!$F$11),(Assumptions!$F$11-Assumptions!$D$11)/3.29)*44</f>
        <v>3635882.9870432806</v>
      </c>
      <c r="K29" s="15">
        <f ca="1">_xlfn.NORM.INV(RAND(),AVERAGE(Assumptions!$D$12,Assumptions!$F$12),(Assumptions!$F$12-Assumptions!$D$12)/3.29)*44</f>
        <v>7697136.892683926</v>
      </c>
      <c r="L29" s="3">
        <f ca="1">_xlfn.NORM.INV(RAND(),AVERAGE(Assumptions!$D$13,Assumptions!$F$13),(Assumptions!$F$13-Assumptions!$D$13)/3.29)*44</f>
        <v>17117444.048536673</v>
      </c>
      <c r="M29" s="6">
        <f ca="1">_xlfn.NORM.INV(RAND(),AVERAGE(Assumptions!$D$14,Assumptions!$F$14),(Assumptions!$F$14-Assumptions!$D$14)/3.29)*44</f>
        <v>4924772.0086829346</v>
      </c>
      <c r="N29" s="9">
        <f ca="1">_xlfn.NORM.INV(RAND(),AVERAGE(Assumptions!$D$16,Assumptions!$F$16),(Assumptions!$F$16-Assumptions!$D$16)/3.29)*44</f>
        <v>11667226.067379963</v>
      </c>
      <c r="O29" s="12">
        <f ca="1">_xlfn.NORM.INV(RAND(),AVERAGE(Assumptions!$D$15,Assumptions!$F$15),(Assumptions!$F$15-Assumptions!$D$15)/3.29)*44</f>
        <v>154147691.40056318</v>
      </c>
      <c r="P29" s="15">
        <f>Assumptions!$D$18</f>
        <v>14641750.345627395</v>
      </c>
      <c r="Q29" s="3">
        <f t="shared" ca="1" si="0"/>
        <v>91760644.378026262</v>
      </c>
      <c r="R29" s="6">
        <f t="shared" ca="1" si="1"/>
        <v>106402394.72365366</v>
      </c>
    </row>
    <row r="30" spans="1:18">
      <c r="A30" s="20">
        <v>29</v>
      </c>
      <c r="B30" s="3">
        <f ca="1">_xlfn.NORM.INV(RAND(),AVERAGE(Assumptions!$D$4,Assumptions!$F$4),(Assumptions!$F$4-Assumptions!$D$4)/3.29)*44</f>
        <v>1229314.0795480148</v>
      </c>
      <c r="C30" s="6">
        <f ca="1">_xlfn.NORM.INV(RAND(),AVERAGE(Assumptions!$D$5,Assumptions!$F$5),(Assumptions!$F$5-Assumptions!$D$5)/3.29)*44</f>
        <v>1599662.2134395437</v>
      </c>
      <c r="D30" s="9">
        <f ca="1">_xlfn.NORM.INV(RAND(),AVERAGE(Assumptions!$D$6,Assumptions!$F$6),(Assumptions!$F$6-Assumptions!$D$6)/3.29)*RANDBETWEEN(2,5)</f>
        <v>4352076.4618839025</v>
      </c>
      <c r="E30" s="12">
        <f ca="1">_xlfn.NORM.INV(RAND(),AVERAGE(Assumptions!$D$17,Assumptions!$F$17),(Assumptions!$F$17-Assumptions!$D$17)/3.29)*8</f>
        <v>925495.85844653414</v>
      </c>
      <c r="F30" s="15">
        <f ca="1">_xlfn.NORM.INV(RAND(),AVERAGE(Assumptions!$D$7,Assumptions!$F$7),(Assumptions!$F$7-Assumptions!$D$7)/3.29)*RANDBETWEEN(1,3)</f>
        <v>8548115.5002459623</v>
      </c>
      <c r="G30" s="3">
        <f ca="1">_xlfn.NORM.INV(RAND(),AVERAGE(Assumptions!$D$8,Assumptions!$F$8),(Assumptions!$F$8-Assumptions!$D$8)/3.29)*44</f>
        <v>1934554.8373235734</v>
      </c>
      <c r="H30" s="6">
        <f ca="1">_xlfn.NORM.INV(RAND(),AVERAGE(Assumptions!$D$9,Assumptions!$F$9),(Assumptions!$F$9-Assumptions!$D$9)/3.29)*21</f>
        <v>4234121.5165159339</v>
      </c>
      <c r="I30" s="9">
        <f ca="1">_xlfn.NORM.INV(RAND(),AVERAGE(Assumptions!$D$10,Assumptions!$F$10),(Assumptions!$F$10-Assumptions!$D$10)/3.29)*21</f>
        <v>799622.76887202472</v>
      </c>
      <c r="J30" s="12">
        <f ca="1">NORMINV(RAND(),AVERAGE(Assumptions!$D$11,Assumptions!$F$11),(Assumptions!$F$11-Assumptions!$D$11)/3.29)*44</f>
        <v>2538505.8882757504</v>
      </c>
      <c r="K30" s="15">
        <f ca="1">_xlfn.NORM.INV(RAND(),AVERAGE(Assumptions!$D$12,Assumptions!$F$12),(Assumptions!$F$12-Assumptions!$D$12)/3.29)*44</f>
        <v>7042073.0773411337</v>
      </c>
      <c r="L30" s="3">
        <f ca="1">_xlfn.NORM.INV(RAND(),AVERAGE(Assumptions!$D$13,Assumptions!$F$13),(Assumptions!$F$13-Assumptions!$D$13)/3.29)*44</f>
        <v>11279507.443127932</v>
      </c>
      <c r="M30" s="6">
        <f ca="1">_xlfn.NORM.INV(RAND(),AVERAGE(Assumptions!$D$14,Assumptions!$F$14),(Assumptions!$F$14-Assumptions!$D$14)/3.29)*44</f>
        <v>4983659.1899730833</v>
      </c>
      <c r="N30" s="9">
        <f ca="1">_xlfn.NORM.INV(RAND(),AVERAGE(Assumptions!$D$16,Assumptions!$F$16),(Assumptions!$F$16-Assumptions!$D$16)/3.29)*44</f>
        <v>4145613.4999382361</v>
      </c>
      <c r="O30" s="12">
        <f ca="1">_xlfn.NORM.INV(RAND(),AVERAGE(Assumptions!$D$15,Assumptions!$F$15),(Assumptions!$F$15-Assumptions!$D$15)/3.29)*44</f>
        <v>156535232.15627763</v>
      </c>
      <c r="P30" s="15">
        <f>Assumptions!$D$18</f>
        <v>14641750.345627395</v>
      </c>
      <c r="Q30" s="3">
        <f t="shared" ca="1" si="0"/>
        <v>102922909.82134601</v>
      </c>
      <c r="R30" s="6">
        <f t="shared" ca="1" si="1"/>
        <v>117564660.16697341</v>
      </c>
    </row>
    <row r="31" spans="1:18">
      <c r="A31" s="20">
        <v>30</v>
      </c>
      <c r="B31" s="3">
        <f ca="1">_xlfn.NORM.INV(RAND(),AVERAGE(Assumptions!$D$4,Assumptions!$F$4),(Assumptions!$F$4-Assumptions!$D$4)/3.29)*44</f>
        <v>1210853.0296809047</v>
      </c>
      <c r="C31" s="6">
        <f ca="1">_xlfn.NORM.INV(RAND(),AVERAGE(Assumptions!$D$5,Assumptions!$F$5),(Assumptions!$F$5-Assumptions!$D$5)/3.29)*44</f>
        <v>1814854.2080133362</v>
      </c>
      <c r="D31" s="9">
        <f ca="1">_xlfn.NORM.INV(RAND(),AVERAGE(Assumptions!$D$6,Assumptions!$F$6),(Assumptions!$F$6-Assumptions!$D$6)/3.29)*RANDBETWEEN(2,5)</f>
        <v>1692967.3433354131</v>
      </c>
      <c r="E31" s="12">
        <f ca="1">_xlfn.NORM.INV(RAND(),AVERAGE(Assumptions!$D$17,Assumptions!$F$17),(Assumptions!$F$17-Assumptions!$D$17)/3.29)*8</f>
        <v>942024.58935322438</v>
      </c>
      <c r="F31" s="15">
        <f ca="1">_xlfn.NORM.INV(RAND(),AVERAGE(Assumptions!$D$7,Assumptions!$F$7),(Assumptions!$F$7-Assumptions!$D$7)/3.29)*RANDBETWEEN(1,3)</f>
        <v>1844668.2096737935</v>
      </c>
      <c r="G31" s="3">
        <f ca="1">_xlfn.NORM.INV(RAND(),AVERAGE(Assumptions!$D$8,Assumptions!$F$8),(Assumptions!$F$8-Assumptions!$D$8)/3.29)*44</f>
        <v>1119432.3595332657</v>
      </c>
      <c r="H31" s="6">
        <f ca="1">_xlfn.NORM.INV(RAND(),AVERAGE(Assumptions!$D$9,Assumptions!$F$9),(Assumptions!$F$9-Assumptions!$D$9)/3.29)*21</f>
        <v>6057702.7413271386</v>
      </c>
      <c r="I31" s="9">
        <f ca="1">_xlfn.NORM.INV(RAND(),AVERAGE(Assumptions!$D$10,Assumptions!$F$10),(Assumptions!$F$10-Assumptions!$D$10)/3.29)*21</f>
        <v>878895.39929578698</v>
      </c>
      <c r="J31" s="12">
        <f ca="1">NORMINV(RAND(),AVERAGE(Assumptions!$D$11,Assumptions!$F$11),(Assumptions!$F$11-Assumptions!$D$11)/3.29)*44</f>
        <v>23551.588208341331</v>
      </c>
      <c r="K31" s="15">
        <f ca="1">_xlfn.NORM.INV(RAND(),AVERAGE(Assumptions!$D$12,Assumptions!$F$12),(Assumptions!$F$12-Assumptions!$D$12)/3.29)*44</f>
        <v>9076761.1897694003</v>
      </c>
      <c r="L31" s="3">
        <f ca="1">_xlfn.NORM.INV(RAND(),AVERAGE(Assumptions!$D$13,Assumptions!$F$13),(Assumptions!$F$13-Assumptions!$D$13)/3.29)*44</f>
        <v>16198898.422281936</v>
      </c>
      <c r="M31" s="6">
        <f ca="1">_xlfn.NORM.INV(RAND(),AVERAGE(Assumptions!$D$14,Assumptions!$F$14),(Assumptions!$F$14-Assumptions!$D$14)/3.29)*44</f>
        <v>7122308.9939651517</v>
      </c>
      <c r="N31" s="9">
        <f ca="1">_xlfn.NORM.INV(RAND(),AVERAGE(Assumptions!$D$16,Assumptions!$F$16),(Assumptions!$F$16-Assumptions!$D$16)/3.29)*44</f>
        <v>7581448.910385876</v>
      </c>
      <c r="O31" s="12">
        <f ca="1">_xlfn.NORM.INV(RAND(),AVERAGE(Assumptions!$D$15,Assumptions!$F$15),(Assumptions!$F$15-Assumptions!$D$15)/3.29)*44</f>
        <v>149534093.75392926</v>
      </c>
      <c r="P31" s="15">
        <f>Assumptions!$D$18</f>
        <v>14641750.345627395</v>
      </c>
      <c r="Q31" s="3">
        <f t="shared" ca="1" si="0"/>
        <v>93969726.769105688</v>
      </c>
      <c r="R31" s="6">
        <f t="shared" ca="1" si="1"/>
        <v>108611477.11473309</v>
      </c>
    </row>
    <row r="32" spans="1:18">
      <c r="A32" s="20">
        <v>31</v>
      </c>
      <c r="B32" s="3">
        <f ca="1">_xlfn.NORM.INV(RAND(),AVERAGE(Assumptions!$D$4,Assumptions!$F$4),(Assumptions!$F$4-Assumptions!$D$4)/3.29)*44</f>
        <v>1255049.656892481</v>
      </c>
      <c r="C32" s="6">
        <f ca="1">_xlfn.NORM.INV(RAND(),AVERAGE(Assumptions!$D$5,Assumptions!$F$5),(Assumptions!$F$5-Assumptions!$D$5)/3.29)*44</f>
        <v>1680330.2162026754</v>
      </c>
      <c r="D32" s="9">
        <f ca="1">_xlfn.NORM.INV(RAND(),AVERAGE(Assumptions!$D$6,Assumptions!$F$6),(Assumptions!$F$6-Assumptions!$D$6)/3.29)*RANDBETWEEN(2,5)</f>
        <v>10768640.803854903</v>
      </c>
      <c r="E32" s="12">
        <f ca="1">_xlfn.NORM.INV(RAND(),AVERAGE(Assumptions!$D$17,Assumptions!$F$17),(Assumptions!$F$17-Assumptions!$D$17)/3.29)*8</f>
        <v>1089759.736074198</v>
      </c>
      <c r="F32" s="15">
        <f ca="1">_xlfn.NORM.INV(RAND(),AVERAGE(Assumptions!$D$7,Assumptions!$F$7),(Assumptions!$F$7-Assumptions!$D$7)/3.29)*RANDBETWEEN(1,3)</f>
        <v>12782145.209815839</v>
      </c>
      <c r="G32" s="3">
        <f ca="1">_xlfn.NORM.INV(RAND(),AVERAGE(Assumptions!$D$8,Assumptions!$F$8),(Assumptions!$F$8-Assumptions!$D$8)/3.29)*44</f>
        <v>1437117.8662551902</v>
      </c>
      <c r="H32" s="6">
        <f ca="1">_xlfn.NORM.INV(RAND(),AVERAGE(Assumptions!$D$9,Assumptions!$F$9),(Assumptions!$F$9-Assumptions!$D$9)/3.29)*21</f>
        <v>4016628.8173402031</v>
      </c>
      <c r="I32" s="9">
        <f ca="1">_xlfn.NORM.INV(RAND(),AVERAGE(Assumptions!$D$10,Assumptions!$F$10),(Assumptions!$F$10-Assumptions!$D$10)/3.29)*21</f>
        <v>291515.83075079607</v>
      </c>
      <c r="J32" s="12">
        <f ca="1">NORMINV(RAND(),AVERAGE(Assumptions!$D$11,Assumptions!$F$11),(Assumptions!$F$11-Assumptions!$D$11)/3.29)*44</f>
        <v>4306941.4262559926</v>
      </c>
      <c r="K32" s="15">
        <f ca="1">_xlfn.NORM.INV(RAND(),AVERAGE(Assumptions!$D$12,Assumptions!$F$12),(Assumptions!$F$12-Assumptions!$D$12)/3.29)*44</f>
        <v>8125191.4171113065</v>
      </c>
      <c r="L32" s="3">
        <f ca="1">_xlfn.NORM.INV(RAND(),AVERAGE(Assumptions!$D$13,Assumptions!$F$13),(Assumptions!$F$13-Assumptions!$D$13)/3.29)*44</f>
        <v>20872515.734347258</v>
      </c>
      <c r="M32" s="6">
        <f ca="1">_xlfn.NORM.INV(RAND(),AVERAGE(Assumptions!$D$14,Assumptions!$F$14),(Assumptions!$F$14-Assumptions!$D$14)/3.29)*44</f>
        <v>6254697.5908121532</v>
      </c>
      <c r="N32" s="9">
        <f ca="1">_xlfn.NORM.INV(RAND(),AVERAGE(Assumptions!$D$16,Assumptions!$F$16),(Assumptions!$F$16-Assumptions!$D$16)/3.29)*44</f>
        <v>9991854.1245302521</v>
      </c>
      <c r="O32" s="12">
        <f ca="1">_xlfn.NORM.INV(RAND(),AVERAGE(Assumptions!$D$15,Assumptions!$F$15),(Assumptions!$F$15-Assumptions!$D$15)/3.29)*44</f>
        <v>94821374.087794647</v>
      </c>
      <c r="P32" s="15">
        <f>Assumptions!$D$18</f>
        <v>14641750.345627395</v>
      </c>
      <c r="Q32" s="3">
        <f t="shared" ca="1" si="0"/>
        <v>11948985.657551408</v>
      </c>
      <c r="R32" s="6">
        <f t="shared" ca="1" si="1"/>
        <v>26590736.003178805</v>
      </c>
    </row>
    <row r="33" spans="1:18">
      <c r="A33" s="20">
        <v>32</v>
      </c>
      <c r="B33" s="3">
        <f ca="1">_xlfn.NORM.INV(RAND(),AVERAGE(Assumptions!$D$4,Assumptions!$F$4),(Assumptions!$F$4-Assumptions!$D$4)/3.29)*44</f>
        <v>1095466.9607439961</v>
      </c>
      <c r="C33" s="6">
        <f ca="1">_xlfn.NORM.INV(RAND(),AVERAGE(Assumptions!$D$5,Assumptions!$F$5),(Assumptions!$F$5-Assumptions!$D$5)/3.29)*44</f>
        <v>1857577.2590809544</v>
      </c>
      <c r="D33" s="9">
        <f ca="1">_xlfn.NORM.INV(RAND(),AVERAGE(Assumptions!$D$6,Assumptions!$F$6),(Assumptions!$F$6-Assumptions!$D$6)/3.29)*RANDBETWEEN(2,5)</f>
        <v>10501775.022118773</v>
      </c>
      <c r="E33" s="12">
        <f ca="1">_xlfn.NORM.INV(RAND(),AVERAGE(Assumptions!$D$17,Assumptions!$F$17),(Assumptions!$F$17-Assumptions!$D$17)/3.29)*8</f>
        <v>794384.01930452627</v>
      </c>
      <c r="F33" s="15">
        <f ca="1">_xlfn.NORM.INV(RAND(),AVERAGE(Assumptions!$D$7,Assumptions!$F$7),(Assumptions!$F$7-Assumptions!$D$7)/3.29)*RANDBETWEEN(1,3)</f>
        <v>2670968.0487210425</v>
      </c>
      <c r="G33" s="3">
        <f ca="1">_xlfn.NORM.INV(RAND(),AVERAGE(Assumptions!$D$8,Assumptions!$F$8),(Assumptions!$F$8-Assumptions!$D$8)/3.29)*44</f>
        <v>1020633.1024070822</v>
      </c>
      <c r="H33" s="6">
        <f ca="1">_xlfn.NORM.INV(RAND(),AVERAGE(Assumptions!$D$9,Assumptions!$F$9),(Assumptions!$F$9-Assumptions!$D$9)/3.29)*21</f>
        <v>5086406.7655575452</v>
      </c>
      <c r="I33" s="9">
        <f ca="1">_xlfn.NORM.INV(RAND(),AVERAGE(Assumptions!$D$10,Assumptions!$F$10),(Assumptions!$F$10-Assumptions!$D$10)/3.29)*21</f>
        <v>1001584.016222308</v>
      </c>
      <c r="J33" s="12">
        <f ca="1">NORMINV(RAND(),AVERAGE(Assumptions!$D$11,Assumptions!$F$11),(Assumptions!$F$11-Assumptions!$D$11)/3.29)*44</f>
        <v>5550859.3806232503</v>
      </c>
      <c r="K33" s="15">
        <f ca="1">_xlfn.NORM.INV(RAND(),AVERAGE(Assumptions!$D$12,Assumptions!$F$12),(Assumptions!$F$12-Assumptions!$D$12)/3.29)*44</f>
        <v>8558390.7311588135</v>
      </c>
      <c r="L33" s="3">
        <f ca="1">_xlfn.NORM.INV(RAND(),AVERAGE(Assumptions!$D$13,Assumptions!$F$13),(Assumptions!$F$13-Assumptions!$D$13)/3.29)*44</f>
        <v>10617080.974495534</v>
      </c>
      <c r="M33" s="6">
        <f ca="1">_xlfn.NORM.INV(RAND(),AVERAGE(Assumptions!$D$14,Assumptions!$F$14),(Assumptions!$F$14-Assumptions!$D$14)/3.29)*44</f>
        <v>8951508.4750082623</v>
      </c>
      <c r="N33" s="9">
        <f ca="1">_xlfn.NORM.INV(RAND(),AVERAGE(Assumptions!$D$16,Assumptions!$F$16),(Assumptions!$F$16-Assumptions!$D$16)/3.29)*44</f>
        <v>12878396.265552975</v>
      </c>
      <c r="O33" s="12">
        <f ca="1">_xlfn.NORM.INV(RAND(),AVERAGE(Assumptions!$D$15,Assumptions!$F$15),(Assumptions!$F$15-Assumptions!$D$15)/3.29)*44</f>
        <v>81750726.948943868</v>
      </c>
      <c r="P33" s="15">
        <f>Assumptions!$D$18</f>
        <v>14641750.345627395</v>
      </c>
      <c r="Q33" s="3">
        <f t="shared" ca="1" si="0"/>
        <v>11165695.927948803</v>
      </c>
      <c r="R33" s="6">
        <f t="shared" ca="1" si="1"/>
        <v>25807446.2735762</v>
      </c>
    </row>
    <row r="34" spans="1:18">
      <c r="A34" s="20">
        <v>33</v>
      </c>
      <c r="B34" s="3">
        <f ca="1">_xlfn.NORM.INV(RAND(),AVERAGE(Assumptions!$D$4,Assumptions!$F$4),(Assumptions!$F$4-Assumptions!$D$4)/3.29)*44</f>
        <v>1141896.4985293783</v>
      </c>
      <c r="C34" s="6">
        <f ca="1">_xlfn.NORM.INV(RAND(),AVERAGE(Assumptions!$D$5,Assumptions!$F$5),(Assumptions!$F$5-Assumptions!$D$5)/3.29)*44</f>
        <v>1814120.2711571821</v>
      </c>
      <c r="D34" s="9">
        <f ca="1">_xlfn.NORM.INV(RAND(),AVERAGE(Assumptions!$D$6,Assumptions!$F$6),(Assumptions!$F$6-Assumptions!$D$6)/3.29)*RANDBETWEEN(2,5)</f>
        <v>4411371.8251875686</v>
      </c>
      <c r="E34" s="12">
        <f ca="1">_xlfn.NORM.INV(RAND(),AVERAGE(Assumptions!$D$17,Assumptions!$F$17),(Assumptions!$F$17-Assumptions!$D$17)/3.29)*8</f>
        <v>1271940.8794972156</v>
      </c>
      <c r="F34" s="15">
        <f ca="1">_xlfn.NORM.INV(RAND(),AVERAGE(Assumptions!$D$7,Assumptions!$F$7),(Assumptions!$F$7-Assumptions!$D$7)/3.29)*RANDBETWEEN(1,3)</f>
        <v>4006949.6492426014</v>
      </c>
      <c r="G34" s="3">
        <f ca="1">_xlfn.NORM.INV(RAND(),AVERAGE(Assumptions!$D$8,Assumptions!$F$8),(Assumptions!$F$8-Assumptions!$D$8)/3.29)*44</f>
        <v>495315.80251398199</v>
      </c>
      <c r="H34" s="6">
        <f ca="1">_xlfn.NORM.INV(RAND(),AVERAGE(Assumptions!$D$9,Assumptions!$F$9),(Assumptions!$F$9-Assumptions!$D$9)/3.29)*21</f>
        <v>4402771.3909143629</v>
      </c>
      <c r="I34" s="9">
        <f ca="1">_xlfn.NORM.INV(RAND(),AVERAGE(Assumptions!$D$10,Assumptions!$F$10),(Assumptions!$F$10-Assumptions!$D$10)/3.29)*21</f>
        <v>1053432.8548109294</v>
      </c>
      <c r="J34" s="12">
        <f ca="1">NORMINV(RAND(),AVERAGE(Assumptions!$D$11,Assumptions!$F$11),(Assumptions!$F$11-Assumptions!$D$11)/3.29)*44</f>
        <v>2970455.6452271105</v>
      </c>
      <c r="K34" s="15">
        <f ca="1">_xlfn.NORM.INV(RAND(),AVERAGE(Assumptions!$D$12,Assumptions!$F$12),(Assumptions!$F$12-Assumptions!$D$12)/3.29)*44</f>
        <v>7906629.5674555572</v>
      </c>
      <c r="L34" s="3">
        <f ca="1">_xlfn.NORM.INV(RAND(),AVERAGE(Assumptions!$D$13,Assumptions!$F$13),(Assumptions!$F$13-Assumptions!$D$13)/3.29)*44</f>
        <v>15110876.408404546</v>
      </c>
      <c r="M34" s="6">
        <f ca="1">_xlfn.NORM.INV(RAND(),AVERAGE(Assumptions!$D$14,Assumptions!$F$14),(Assumptions!$F$14-Assumptions!$D$14)/3.29)*44</f>
        <v>6512498.0649683625</v>
      </c>
      <c r="N34" s="9">
        <f ca="1">_xlfn.NORM.INV(RAND(),AVERAGE(Assumptions!$D$16,Assumptions!$F$16),(Assumptions!$F$16-Assumptions!$D$16)/3.29)*44</f>
        <v>18780515.238733083</v>
      </c>
      <c r="O34" s="12">
        <f ca="1">_xlfn.NORM.INV(RAND(),AVERAGE(Assumptions!$D$15,Assumptions!$F$15),(Assumptions!$F$15-Assumptions!$D$15)/3.29)*44</f>
        <v>171337233.59996134</v>
      </c>
      <c r="P34" s="15">
        <f>Assumptions!$D$18</f>
        <v>14641750.345627395</v>
      </c>
      <c r="Q34" s="3">
        <f t="shared" ca="1" si="0"/>
        <v>101458459.50331946</v>
      </c>
      <c r="R34" s="6">
        <f t="shared" ca="1" si="1"/>
        <v>116100209.84894685</v>
      </c>
    </row>
    <row r="35" spans="1:18">
      <c r="A35" s="20">
        <v>34</v>
      </c>
      <c r="B35" s="3">
        <f ca="1">_xlfn.NORM.INV(RAND(),AVERAGE(Assumptions!$D$4,Assumptions!$F$4),(Assumptions!$F$4-Assumptions!$D$4)/3.29)*44</f>
        <v>1115107.0231113378</v>
      </c>
      <c r="C35" s="6">
        <f ca="1">_xlfn.NORM.INV(RAND(),AVERAGE(Assumptions!$D$5,Assumptions!$F$5),(Assumptions!$F$5-Assumptions!$D$5)/3.29)*44</f>
        <v>1633015.3053708691</v>
      </c>
      <c r="D35" s="9">
        <f ca="1">_xlfn.NORM.INV(RAND(),AVERAGE(Assumptions!$D$6,Assumptions!$F$6),(Assumptions!$F$6-Assumptions!$D$6)/3.29)*RANDBETWEEN(2,5)</f>
        <v>2210383.0527077024</v>
      </c>
      <c r="E35" s="12">
        <f ca="1">_xlfn.NORM.INV(RAND(),AVERAGE(Assumptions!$D$17,Assumptions!$F$17),(Assumptions!$F$17-Assumptions!$D$17)/3.29)*8</f>
        <v>980972.48110225156</v>
      </c>
      <c r="F35" s="15">
        <f ca="1">_xlfn.NORM.INV(RAND(),AVERAGE(Assumptions!$D$7,Assumptions!$F$7),(Assumptions!$F$7-Assumptions!$D$7)/3.29)*RANDBETWEEN(1,3)</f>
        <v>7135826.0398956574</v>
      </c>
      <c r="G35" s="3">
        <f ca="1">_xlfn.NORM.INV(RAND(),AVERAGE(Assumptions!$D$8,Assumptions!$F$8),(Assumptions!$F$8-Assumptions!$D$8)/3.29)*44</f>
        <v>1571788.0880463703</v>
      </c>
      <c r="H35" s="6">
        <f ca="1">_xlfn.NORM.INV(RAND(),AVERAGE(Assumptions!$D$9,Assumptions!$F$9),(Assumptions!$F$9-Assumptions!$D$9)/3.29)*21</f>
        <v>3809720.4904235741</v>
      </c>
      <c r="I35" s="9">
        <f ca="1">_xlfn.NORM.INV(RAND(),AVERAGE(Assumptions!$D$10,Assumptions!$F$10),(Assumptions!$F$10-Assumptions!$D$10)/3.29)*21</f>
        <v>1151607.4082605678</v>
      </c>
      <c r="J35" s="12">
        <f ca="1">NORMINV(RAND(),AVERAGE(Assumptions!$D$11,Assumptions!$F$11),(Assumptions!$F$11-Assumptions!$D$11)/3.29)*44</f>
        <v>2448465.6240075352</v>
      </c>
      <c r="K35" s="15">
        <f ca="1">_xlfn.NORM.INV(RAND(),AVERAGE(Assumptions!$D$12,Assumptions!$F$12),(Assumptions!$F$12-Assumptions!$D$12)/3.29)*44</f>
        <v>7303433.2875202727</v>
      </c>
      <c r="L35" s="3">
        <f ca="1">_xlfn.NORM.INV(RAND(),AVERAGE(Assumptions!$D$13,Assumptions!$F$13),(Assumptions!$F$13-Assumptions!$D$13)/3.29)*44</f>
        <v>20272978.687798351</v>
      </c>
      <c r="M35" s="6">
        <f ca="1">_xlfn.NORM.INV(RAND(),AVERAGE(Assumptions!$D$14,Assumptions!$F$14),(Assumptions!$F$14-Assumptions!$D$14)/3.29)*44</f>
        <v>6258668.5877195802</v>
      </c>
      <c r="N35" s="9">
        <f ca="1">_xlfn.NORM.INV(RAND(),AVERAGE(Assumptions!$D$16,Assumptions!$F$16),(Assumptions!$F$16-Assumptions!$D$16)/3.29)*44</f>
        <v>14595107.198282108</v>
      </c>
      <c r="O35" s="12">
        <f ca="1">_xlfn.NORM.INV(RAND(),AVERAGE(Assumptions!$D$15,Assumptions!$F$15),(Assumptions!$F$15-Assumptions!$D$15)/3.29)*44</f>
        <v>40500360.879284829</v>
      </c>
      <c r="P35" s="15">
        <f>Assumptions!$D$18</f>
        <v>14641750.345627395</v>
      </c>
      <c r="Q35" s="3">
        <f t="shared" ca="1" si="0"/>
        <v>-29986712.394961357</v>
      </c>
      <c r="R35" s="6">
        <f t="shared" ca="1" si="1"/>
        <v>-15344962.049333962</v>
      </c>
    </row>
    <row r="36" spans="1:18">
      <c r="A36" s="20">
        <v>35</v>
      </c>
      <c r="B36" s="3">
        <f ca="1">_xlfn.NORM.INV(RAND(),AVERAGE(Assumptions!$D$4,Assumptions!$F$4),(Assumptions!$F$4-Assumptions!$D$4)/3.29)*44</f>
        <v>1112230.1174027477</v>
      </c>
      <c r="C36" s="6">
        <f ca="1">_xlfn.NORM.INV(RAND(),AVERAGE(Assumptions!$D$5,Assumptions!$F$5),(Assumptions!$F$5-Assumptions!$D$5)/3.29)*44</f>
        <v>2009438.0142400397</v>
      </c>
      <c r="D36" s="9">
        <f ca="1">_xlfn.NORM.INV(RAND(),AVERAGE(Assumptions!$D$6,Assumptions!$F$6),(Assumptions!$F$6-Assumptions!$D$6)/3.29)*RANDBETWEEN(2,5)</f>
        <v>3432114.1538071968</v>
      </c>
      <c r="E36" s="12">
        <f ca="1">_xlfn.NORM.INV(RAND(),AVERAGE(Assumptions!$D$17,Assumptions!$F$17),(Assumptions!$F$17-Assumptions!$D$17)/3.29)*8</f>
        <v>807614.28526540683</v>
      </c>
      <c r="F36" s="15">
        <f ca="1">_xlfn.NORM.INV(RAND(),AVERAGE(Assumptions!$D$7,Assumptions!$F$7),(Assumptions!$F$7-Assumptions!$D$7)/3.29)*RANDBETWEEN(1,3)</f>
        <v>9619635.3743661772</v>
      </c>
      <c r="G36" s="3">
        <f ca="1">_xlfn.NORM.INV(RAND(),AVERAGE(Assumptions!$D$8,Assumptions!$F$8),(Assumptions!$F$8-Assumptions!$D$8)/3.29)*44</f>
        <v>1707126.3589006595</v>
      </c>
      <c r="H36" s="6">
        <f ca="1">_xlfn.NORM.INV(RAND(),AVERAGE(Assumptions!$D$9,Assumptions!$F$9),(Assumptions!$F$9-Assumptions!$D$9)/3.29)*21</f>
        <v>4052392.1295562019</v>
      </c>
      <c r="I36" s="9">
        <f ca="1">_xlfn.NORM.INV(RAND(),AVERAGE(Assumptions!$D$10,Assumptions!$F$10),(Assumptions!$F$10-Assumptions!$D$10)/3.29)*21</f>
        <v>637910.89657942427</v>
      </c>
      <c r="J36" s="12">
        <f ca="1">NORMINV(RAND(),AVERAGE(Assumptions!$D$11,Assumptions!$F$11),(Assumptions!$F$11-Assumptions!$D$11)/3.29)*44</f>
        <v>3171652.0468699625</v>
      </c>
      <c r="K36" s="15">
        <f ca="1">_xlfn.NORM.INV(RAND(),AVERAGE(Assumptions!$D$12,Assumptions!$F$12),(Assumptions!$F$12-Assumptions!$D$12)/3.29)*44</f>
        <v>9519241.1019678172</v>
      </c>
      <c r="L36" s="3">
        <f ca="1">_xlfn.NORM.INV(RAND(),AVERAGE(Assumptions!$D$13,Assumptions!$F$13),(Assumptions!$F$13-Assumptions!$D$13)/3.29)*44</f>
        <v>17585785.139846217</v>
      </c>
      <c r="M36" s="6">
        <f ca="1">_xlfn.NORM.INV(RAND(),AVERAGE(Assumptions!$D$14,Assumptions!$F$14),(Assumptions!$F$14-Assumptions!$D$14)/3.29)*44</f>
        <v>6702832.0435091471</v>
      </c>
      <c r="N36" s="9">
        <f ca="1">_xlfn.NORM.INV(RAND(),AVERAGE(Assumptions!$D$16,Assumptions!$F$16),(Assumptions!$F$16-Assumptions!$D$16)/3.29)*44</f>
        <v>7166437.2855457114</v>
      </c>
      <c r="O36" s="12">
        <f ca="1">_xlfn.NORM.INV(RAND(),AVERAGE(Assumptions!$D$15,Assumptions!$F$15),(Assumptions!$F$15-Assumptions!$D$15)/3.29)*44</f>
        <v>66015663.606519848</v>
      </c>
      <c r="P36" s="15">
        <f>Assumptions!$D$18</f>
        <v>14641750.345627395</v>
      </c>
      <c r="Q36" s="3">
        <f t="shared" ca="1" si="0"/>
        <v>-1508745.3413368613</v>
      </c>
      <c r="R36" s="6">
        <f t="shared" ca="1" si="1"/>
        <v>13133005.004290534</v>
      </c>
    </row>
    <row r="37" spans="1:18">
      <c r="A37" s="20">
        <v>36</v>
      </c>
      <c r="B37" s="3">
        <f ca="1">_xlfn.NORM.INV(RAND(),AVERAGE(Assumptions!$D$4,Assumptions!$F$4),(Assumptions!$F$4-Assumptions!$D$4)/3.29)*44</f>
        <v>1199226.5786729497</v>
      </c>
      <c r="C37" s="6">
        <f ca="1">_xlfn.NORM.INV(RAND(),AVERAGE(Assumptions!$D$5,Assumptions!$F$5),(Assumptions!$F$5-Assumptions!$D$5)/3.29)*44</f>
        <v>2049825.599865187</v>
      </c>
      <c r="D37" s="9">
        <f ca="1">_xlfn.NORM.INV(RAND(),AVERAGE(Assumptions!$D$6,Assumptions!$F$6),(Assumptions!$F$6-Assumptions!$D$6)/3.29)*RANDBETWEEN(2,5)</f>
        <v>5332976.1181737697</v>
      </c>
      <c r="E37" s="12">
        <f ca="1">_xlfn.NORM.INV(RAND(),AVERAGE(Assumptions!$D$17,Assumptions!$F$17),(Assumptions!$F$17-Assumptions!$D$17)/3.29)*8</f>
        <v>818452.64798743045</v>
      </c>
      <c r="F37" s="15">
        <f ca="1">_xlfn.NORM.INV(RAND(),AVERAGE(Assumptions!$D$7,Assumptions!$F$7),(Assumptions!$F$7-Assumptions!$D$7)/3.29)*RANDBETWEEN(1,3)</f>
        <v>4160245.2405330595</v>
      </c>
      <c r="G37" s="3">
        <f ca="1">_xlfn.NORM.INV(RAND(),AVERAGE(Assumptions!$D$8,Assumptions!$F$8),(Assumptions!$F$8-Assumptions!$D$8)/3.29)*44</f>
        <v>1110587.8982845861</v>
      </c>
      <c r="H37" s="6">
        <f ca="1">_xlfn.NORM.INV(RAND(),AVERAGE(Assumptions!$D$9,Assumptions!$F$9),(Assumptions!$F$9-Assumptions!$D$9)/3.29)*21</f>
        <v>2498590.9247070625</v>
      </c>
      <c r="I37" s="9">
        <f ca="1">_xlfn.NORM.INV(RAND(),AVERAGE(Assumptions!$D$10,Assumptions!$F$10),(Assumptions!$F$10-Assumptions!$D$10)/3.29)*21</f>
        <v>817169.37111250742</v>
      </c>
      <c r="J37" s="12">
        <f ca="1">NORMINV(RAND(),AVERAGE(Assumptions!$D$11,Assumptions!$F$11),(Assumptions!$F$11-Assumptions!$D$11)/3.29)*44</f>
        <v>1951397.5504466938</v>
      </c>
      <c r="K37" s="15">
        <f ca="1">_xlfn.NORM.INV(RAND(),AVERAGE(Assumptions!$D$12,Assumptions!$F$12),(Assumptions!$F$12-Assumptions!$D$12)/3.29)*44</f>
        <v>8416245.1613471434</v>
      </c>
      <c r="L37" s="3">
        <f ca="1">_xlfn.NORM.INV(RAND(),AVERAGE(Assumptions!$D$13,Assumptions!$F$13),(Assumptions!$F$13-Assumptions!$D$13)/3.29)*44</f>
        <v>17463938.1488459</v>
      </c>
      <c r="M37" s="6">
        <f ca="1">_xlfn.NORM.INV(RAND(),AVERAGE(Assumptions!$D$14,Assumptions!$F$14),(Assumptions!$F$14-Assumptions!$D$14)/3.29)*44</f>
        <v>8003856.6083135772</v>
      </c>
      <c r="N37" s="9">
        <f ca="1">_xlfn.NORM.INV(RAND(),AVERAGE(Assumptions!$D$16,Assumptions!$F$16),(Assumptions!$F$16-Assumptions!$D$16)/3.29)*44</f>
        <v>12011098.894354142</v>
      </c>
      <c r="O37" s="12">
        <f ca="1">_xlfn.NORM.INV(RAND(),AVERAGE(Assumptions!$D$15,Assumptions!$F$15),(Assumptions!$F$15-Assumptions!$D$15)/3.29)*44</f>
        <v>192817944.92338401</v>
      </c>
      <c r="P37" s="15">
        <f>Assumptions!$D$18</f>
        <v>14641750.345627395</v>
      </c>
      <c r="Q37" s="3">
        <f t="shared" ca="1" si="0"/>
        <v>126984334.18074</v>
      </c>
      <c r="R37" s="6">
        <f t="shared" ca="1" si="1"/>
        <v>141626084.5263674</v>
      </c>
    </row>
    <row r="38" spans="1:18">
      <c r="A38" s="20">
        <v>37</v>
      </c>
      <c r="B38" s="3">
        <f ca="1">_xlfn.NORM.INV(RAND(),AVERAGE(Assumptions!$D$4,Assumptions!$F$4),(Assumptions!$F$4-Assumptions!$D$4)/3.29)*44</f>
        <v>1274610.3033604017</v>
      </c>
      <c r="C38" s="6">
        <f ca="1">_xlfn.NORM.INV(RAND(),AVERAGE(Assumptions!$D$5,Assumptions!$F$5),(Assumptions!$F$5-Assumptions!$D$5)/3.29)*44</f>
        <v>2145822.645675099</v>
      </c>
      <c r="D38" s="9">
        <f ca="1">_xlfn.NORM.INV(RAND(),AVERAGE(Assumptions!$D$6,Assumptions!$F$6),(Assumptions!$F$6-Assumptions!$D$6)/3.29)*RANDBETWEEN(2,5)</f>
        <v>2950568.1929497924</v>
      </c>
      <c r="E38" s="12">
        <f ca="1">_xlfn.NORM.INV(RAND(),AVERAGE(Assumptions!$D$17,Assumptions!$F$17),(Assumptions!$F$17-Assumptions!$D$17)/3.29)*8</f>
        <v>1021882.8769302057</v>
      </c>
      <c r="F38" s="15">
        <f ca="1">_xlfn.NORM.INV(RAND(),AVERAGE(Assumptions!$D$7,Assumptions!$F$7),(Assumptions!$F$7-Assumptions!$D$7)/3.29)*RANDBETWEEN(1,3)</f>
        <v>8908840.2884003799</v>
      </c>
      <c r="G38" s="3">
        <f ca="1">_xlfn.NORM.INV(RAND(),AVERAGE(Assumptions!$D$8,Assumptions!$F$8),(Assumptions!$F$8-Assumptions!$D$8)/3.29)*44</f>
        <v>937313.19629376242</v>
      </c>
      <c r="H38" s="6">
        <f ca="1">_xlfn.NORM.INV(RAND(),AVERAGE(Assumptions!$D$9,Assumptions!$F$9),(Assumptions!$F$9-Assumptions!$D$9)/3.29)*21</f>
        <v>5613230.1435903553</v>
      </c>
      <c r="I38" s="9">
        <f ca="1">_xlfn.NORM.INV(RAND(),AVERAGE(Assumptions!$D$10,Assumptions!$F$10),(Assumptions!$F$10-Assumptions!$D$10)/3.29)*21</f>
        <v>740745.79091547302</v>
      </c>
      <c r="J38" s="12">
        <f ca="1">NORMINV(RAND(),AVERAGE(Assumptions!$D$11,Assumptions!$F$11),(Assumptions!$F$11-Assumptions!$D$11)/3.29)*44</f>
        <v>1090731.094773381</v>
      </c>
      <c r="K38" s="15">
        <f ca="1">_xlfn.NORM.INV(RAND(),AVERAGE(Assumptions!$D$12,Assumptions!$F$12),(Assumptions!$F$12-Assumptions!$D$12)/3.29)*44</f>
        <v>5502199.8072537826</v>
      </c>
      <c r="L38" s="3">
        <f ca="1">_xlfn.NORM.INV(RAND(),AVERAGE(Assumptions!$D$13,Assumptions!$F$13),(Assumptions!$F$13-Assumptions!$D$13)/3.29)*44</f>
        <v>9849702.4483698327</v>
      </c>
      <c r="M38" s="6">
        <f ca="1">_xlfn.NORM.INV(RAND(),AVERAGE(Assumptions!$D$14,Assumptions!$F$14),(Assumptions!$F$14-Assumptions!$D$14)/3.29)*44</f>
        <v>3391775.5727215055</v>
      </c>
      <c r="N38" s="9">
        <f ca="1">_xlfn.NORM.INV(RAND(),AVERAGE(Assumptions!$D$16,Assumptions!$F$16),(Assumptions!$F$16-Assumptions!$D$16)/3.29)*44</f>
        <v>9253529.3359002098</v>
      </c>
      <c r="O38" s="12">
        <f ca="1">_xlfn.NORM.INV(RAND(),AVERAGE(Assumptions!$D$15,Assumptions!$F$15),(Assumptions!$F$15-Assumptions!$D$15)/3.29)*44</f>
        <v>165723144.28649998</v>
      </c>
      <c r="P38" s="15">
        <f>Assumptions!$D$18</f>
        <v>14641750.345627395</v>
      </c>
      <c r="Q38" s="3">
        <f t="shared" ca="1" si="0"/>
        <v>113042192.5893658</v>
      </c>
      <c r="R38" s="6">
        <f t="shared" ca="1" si="1"/>
        <v>127683942.93499319</v>
      </c>
    </row>
    <row r="39" spans="1:18">
      <c r="A39" s="20">
        <v>38</v>
      </c>
      <c r="B39" s="3">
        <f ca="1">_xlfn.NORM.INV(RAND(),AVERAGE(Assumptions!$D$4,Assumptions!$F$4),(Assumptions!$F$4-Assumptions!$D$4)/3.29)*44</f>
        <v>1235919.871377232</v>
      </c>
      <c r="C39" s="6">
        <f ca="1">_xlfn.NORM.INV(RAND(),AVERAGE(Assumptions!$D$5,Assumptions!$F$5),(Assumptions!$F$5-Assumptions!$D$5)/3.29)*44</f>
        <v>1897290.6400083255</v>
      </c>
      <c r="D39" s="9">
        <f ca="1">_xlfn.NORM.INV(RAND(),AVERAGE(Assumptions!$D$6,Assumptions!$F$6),(Assumptions!$F$6-Assumptions!$D$6)/3.29)*RANDBETWEEN(2,5)</f>
        <v>4303588.4944980973</v>
      </c>
      <c r="E39" s="12">
        <f ca="1">_xlfn.NORM.INV(RAND(),AVERAGE(Assumptions!$D$17,Assumptions!$F$17),(Assumptions!$F$17-Assumptions!$D$17)/3.29)*8</f>
        <v>752632.6969222395</v>
      </c>
      <c r="F39" s="15">
        <f ca="1">_xlfn.NORM.INV(RAND(),AVERAGE(Assumptions!$D$7,Assumptions!$F$7),(Assumptions!$F$7-Assumptions!$D$7)/3.29)*RANDBETWEEN(1,3)</f>
        <v>3086741.5181515943</v>
      </c>
      <c r="G39" s="3">
        <f ca="1">_xlfn.NORM.INV(RAND(),AVERAGE(Assumptions!$D$8,Assumptions!$F$8),(Assumptions!$F$8-Assumptions!$D$8)/3.29)*44</f>
        <v>1318009.0735648491</v>
      </c>
      <c r="H39" s="6">
        <f ca="1">_xlfn.NORM.INV(RAND(),AVERAGE(Assumptions!$D$9,Assumptions!$F$9),(Assumptions!$F$9-Assumptions!$D$9)/3.29)*21</f>
        <v>3996151.5453251409</v>
      </c>
      <c r="I39" s="9">
        <f ca="1">_xlfn.NORM.INV(RAND(),AVERAGE(Assumptions!$D$10,Assumptions!$F$10),(Assumptions!$F$10-Assumptions!$D$10)/3.29)*21</f>
        <v>1064862.1882095886</v>
      </c>
      <c r="J39" s="12">
        <f ca="1">NORMINV(RAND(),AVERAGE(Assumptions!$D$11,Assumptions!$F$11),(Assumptions!$F$11-Assumptions!$D$11)/3.29)*44</f>
        <v>5133859.2491189856</v>
      </c>
      <c r="K39" s="15">
        <f ca="1">_xlfn.NORM.INV(RAND(),AVERAGE(Assumptions!$D$12,Assumptions!$F$12),(Assumptions!$F$12-Assumptions!$D$12)/3.29)*44</f>
        <v>8879925.7596728653</v>
      </c>
      <c r="L39" s="3">
        <f ca="1">_xlfn.NORM.INV(RAND(),AVERAGE(Assumptions!$D$13,Assumptions!$F$13),(Assumptions!$F$13-Assumptions!$D$13)/3.29)*44</f>
        <v>17079016.2343182</v>
      </c>
      <c r="M39" s="6">
        <f ca="1">_xlfn.NORM.INV(RAND(),AVERAGE(Assumptions!$D$14,Assumptions!$F$14),(Assumptions!$F$14-Assumptions!$D$14)/3.29)*44</f>
        <v>5461808.7686523842</v>
      </c>
      <c r="N39" s="9">
        <f ca="1">_xlfn.NORM.INV(RAND(),AVERAGE(Assumptions!$D$16,Assumptions!$F$16),(Assumptions!$F$16-Assumptions!$D$16)/3.29)*44</f>
        <v>13739380.413967818</v>
      </c>
      <c r="O39" s="12">
        <f ca="1">_xlfn.NORM.INV(RAND(),AVERAGE(Assumptions!$D$15,Assumptions!$F$15),(Assumptions!$F$15-Assumptions!$D$15)/3.29)*44</f>
        <v>110452925.42631145</v>
      </c>
      <c r="P39" s="15">
        <f>Assumptions!$D$18</f>
        <v>14641750.345627395</v>
      </c>
      <c r="Q39" s="3">
        <f t="shared" ca="1" si="0"/>
        <v>42503738.972524121</v>
      </c>
      <c r="R39" s="6">
        <f t="shared" ca="1" si="1"/>
        <v>57145489.318151519</v>
      </c>
    </row>
    <row r="40" spans="1:18">
      <c r="A40" s="20">
        <v>39</v>
      </c>
      <c r="B40" s="3">
        <f ca="1">_xlfn.NORM.INV(RAND(),AVERAGE(Assumptions!$D$4,Assumptions!$F$4),(Assumptions!$F$4-Assumptions!$D$4)/3.29)*44</f>
        <v>1131236.8278459285</v>
      </c>
      <c r="C40" s="6">
        <f ca="1">_xlfn.NORM.INV(RAND(),AVERAGE(Assumptions!$D$5,Assumptions!$F$5),(Assumptions!$F$5-Assumptions!$D$5)/3.29)*44</f>
        <v>1724007.8542071464</v>
      </c>
      <c r="D40" s="9">
        <f ca="1">_xlfn.NORM.INV(RAND(),AVERAGE(Assumptions!$D$6,Assumptions!$F$6),(Assumptions!$F$6-Assumptions!$D$6)/3.29)*RANDBETWEEN(2,5)</f>
        <v>6349301.3694557082</v>
      </c>
      <c r="E40" s="12">
        <f ca="1">_xlfn.NORM.INV(RAND(),AVERAGE(Assumptions!$D$17,Assumptions!$F$17),(Assumptions!$F$17-Assumptions!$D$17)/3.29)*8</f>
        <v>1102979.4140623554</v>
      </c>
      <c r="F40" s="15">
        <f ca="1">_xlfn.NORM.INV(RAND(),AVERAGE(Assumptions!$D$7,Assumptions!$F$7),(Assumptions!$F$7-Assumptions!$D$7)/3.29)*RANDBETWEEN(1,3)</f>
        <v>3008244.2905170936</v>
      </c>
      <c r="G40" s="3">
        <f ca="1">_xlfn.NORM.INV(RAND(),AVERAGE(Assumptions!$D$8,Assumptions!$F$8),(Assumptions!$F$8-Assumptions!$D$8)/3.29)*44</f>
        <v>1174170.3909427626</v>
      </c>
      <c r="H40" s="6">
        <f ca="1">_xlfn.NORM.INV(RAND(),AVERAGE(Assumptions!$D$9,Assumptions!$F$9),(Assumptions!$F$9-Assumptions!$D$9)/3.29)*21</f>
        <v>3025044.7868267936</v>
      </c>
      <c r="I40" s="9">
        <f ca="1">_xlfn.NORM.INV(RAND(),AVERAGE(Assumptions!$D$10,Assumptions!$F$10),(Assumptions!$F$10-Assumptions!$D$10)/3.29)*21</f>
        <v>1256746.1635820779</v>
      </c>
      <c r="J40" s="12">
        <f ca="1">NORMINV(RAND(),AVERAGE(Assumptions!$D$11,Assumptions!$F$11),(Assumptions!$F$11-Assumptions!$D$11)/3.29)*44</f>
        <v>4294383.6740871007</v>
      </c>
      <c r="K40" s="15">
        <f ca="1">_xlfn.NORM.INV(RAND(),AVERAGE(Assumptions!$D$12,Assumptions!$F$12),(Assumptions!$F$12-Assumptions!$D$12)/3.29)*44</f>
        <v>8488802.0912149604</v>
      </c>
      <c r="L40" s="3">
        <f ca="1">_xlfn.NORM.INV(RAND(),AVERAGE(Assumptions!$D$13,Assumptions!$F$13),(Assumptions!$F$13-Assumptions!$D$13)/3.29)*44</f>
        <v>15858710.942071889</v>
      </c>
      <c r="M40" s="6">
        <f ca="1">_xlfn.NORM.INV(RAND(),AVERAGE(Assumptions!$D$14,Assumptions!$F$14),(Assumptions!$F$14-Assumptions!$D$14)/3.29)*44</f>
        <v>8743542.6369833406</v>
      </c>
      <c r="N40" s="9">
        <f ca="1">_xlfn.NORM.INV(RAND(),AVERAGE(Assumptions!$D$16,Assumptions!$F$16),(Assumptions!$F$16-Assumptions!$D$16)/3.29)*44</f>
        <v>7853063.0018238556</v>
      </c>
      <c r="O40" s="12">
        <f ca="1">_xlfn.NORM.INV(RAND(),AVERAGE(Assumptions!$D$15,Assumptions!$F$15),(Assumptions!$F$15-Assumptions!$D$15)/3.29)*44</f>
        <v>129625529.66955779</v>
      </c>
      <c r="P40" s="15">
        <f>Assumptions!$D$18</f>
        <v>14641750.345627395</v>
      </c>
      <c r="Q40" s="3">
        <f t="shared" ca="1" si="0"/>
        <v>65615296.22593677</v>
      </c>
      <c r="R40" s="6">
        <f t="shared" ca="1" si="1"/>
        <v>80257046.571564168</v>
      </c>
    </row>
    <row r="41" spans="1:18">
      <c r="A41" s="20">
        <v>40</v>
      </c>
      <c r="B41" s="3">
        <f ca="1">_xlfn.NORM.INV(RAND(),AVERAGE(Assumptions!$D$4,Assumptions!$F$4),(Assumptions!$F$4-Assumptions!$D$4)/3.29)*44</f>
        <v>1151920.1352881608</v>
      </c>
      <c r="C41" s="6">
        <f ca="1">_xlfn.NORM.INV(RAND(),AVERAGE(Assumptions!$D$5,Assumptions!$F$5),(Assumptions!$F$5-Assumptions!$D$5)/3.29)*44</f>
        <v>1863981.6453636368</v>
      </c>
      <c r="D41" s="9">
        <f ca="1">_xlfn.NORM.INV(RAND(),AVERAGE(Assumptions!$D$6,Assumptions!$F$6),(Assumptions!$F$6-Assumptions!$D$6)/3.29)*RANDBETWEEN(2,5)</f>
        <v>2717736.223515816</v>
      </c>
      <c r="E41" s="12">
        <f ca="1">_xlfn.NORM.INV(RAND(),AVERAGE(Assumptions!$D$17,Assumptions!$F$17),(Assumptions!$F$17-Assumptions!$D$17)/3.29)*8</f>
        <v>1005464.7976658925</v>
      </c>
      <c r="F41" s="15">
        <f ca="1">_xlfn.NORM.INV(RAND(),AVERAGE(Assumptions!$D$7,Assumptions!$F$7),(Assumptions!$F$7-Assumptions!$D$7)/3.29)*RANDBETWEEN(1,3)</f>
        <v>11727408.535421005</v>
      </c>
      <c r="G41" s="3">
        <f ca="1">_xlfn.NORM.INV(RAND(),AVERAGE(Assumptions!$D$8,Assumptions!$F$8),(Assumptions!$F$8-Assumptions!$D$8)/3.29)*44</f>
        <v>1335371.7137640226</v>
      </c>
      <c r="H41" s="6">
        <f ca="1">_xlfn.NORM.INV(RAND(),AVERAGE(Assumptions!$D$9,Assumptions!$F$9),(Assumptions!$F$9-Assumptions!$D$9)/3.29)*21</f>
        <v>3872446.005962458</v>
      </c>
      <c r="I41" s="9">
        <f ca="1">_xlfn.NORM.INV(RAND(),AVERAGE(Assumptions!$D$10,Assumptions!$F$10),(Assumptions!$F$10-Assumptions!$D$10)/3.29)*21</f>
        <v>1252505.7347135039</v>
      </c>
      <c r="J41" s="12">
        <f ca="1">NORMINV(RAND(),AVERAGE(Assumptions!$D$11,Assumptions!$F$11),(Assumptions!$F$11-Assumptions!$D$11)/3.29)*44</f>
        <v>2406661.8654493</v>
      </c>
      <c r="K41" s="15">
        <f ca="1">_xlfn.NORM.INV(RAND(),AVERAGE(Assumptions!$D$12,Assumptions!$F$12),(Assumptions!$F$12-Assumptions!$D$12)/3.29)*44</f>
        <v>10432801.159051562</v>
      </c>
      <c r="L41" s="3">
        <f ca="1">_xlfn.NORM.INV(RAND(),AVERAGE(Assumptions!$D$13,Assumptions!$F$13),(Assumptions!$F$13-Assumptions!$D$13)/3.29)*44</f>
        <v>18545678.940130334</v>
      </c>
      <c r="M41" s="6">
        <f ca="1">_xlfn.NORM.INV(RAND(),AVERAGE(Assumptions!$D$14,Assumptions!$F$14),(Assumptions!$F$14-Assumptions!$D$14)/3.29)*44</f>
        <v>6384870.7576839458</v>
      </c>
      <c r="N41" s="9">
        <f ca="1">_xlfn.NORM.INV(RAND(),AVERAGE(Assumptions!$D$16,Assumptions!$F$16),(Assumptions!$F$16-Assumptions!$D$16)/3.29)*44</f>
        <v>12484715.843282826</v>
      </c>
      <c r="O41" s="12">
        <f ca="1">_xlfn.NORM.INV(RAND(),AVERAGE(Assumptions!$D$15,Assumptions!$F$15),(Assumptions!$F$15-Assumptions!$D$15)/3.29)*44</f>
        <v>60967033.059997089</v>
      </c>
      <c r="P41" s="15">
        <f>Assumptions!$D$18</f>
        <v>14641750.345627395</v>
      </c>
      <c r="Q41" s="3">
        <f t="shared" ca="1" si="0"/>
        <v>-14214530.297295384</v>
      </c>
      <c r="R41" s="6">
        <f t="shared" ca="1" si="1"/>
        <v>427220.04833201133</v>
      </c>
    </row>
    <row r="42" spans="1:18">
      <c r="A42" s="20">
        <v>41</v>
      </c>
      <c r="B42" s="3">
        <f ca="1">_xlfn.NORM.INV(RAND(),AVERAGE(Assumptions!$D$4,Assumptions!$F$4),(Assumptions!$F$4-Assumptions!$D$4)/3.29)*44</f>
        <v>1323785.8171623708</v>
      </c>
      <c r="C42" s="6">
        <f ca="1">_xlfn.NORM.INV(RAND(),AVERAGE(Assumptions!$D$5,Assumptions!$F$5),(Assumptions!$F$5-Assumptions!$D$5)/3.29)*44</f>
        <v>1776956.7428512848</v>
      </c>
      <c r="D42" s="9">
        <f ca="1">_xlfn.NORM.INV(RAND(),AVERAGE(Assumptions!$D$6,Assumptions!$F$6),(Assumptions!$F$6-Assumptions!$D$6)/3.29)*RANDBETWEEN(2,5)</f>
        <v>5254858.0489986222</v>
      </c>
      <c r="E42" s="12">
        <f ca="1">_xlfn.NORM.INV(RAND(),AVERAGE(Assumptions!$D$17,Assumptions!$F$17),(Assumptions!$F$17-Assumptions!$D$17)/3.29)*8</f>
        <v>965683.03990481712</v>
      </c>
      <c r="F42" s="15">
        <f ca="1">_xlfn.NORM.INV(RAND(),AVERAGE(Assumptions!$D$7,Assumptions!$F$7),(Assumptions!$F$7-Assumptions!$D$7)/3.29)*RANDBETWEEN(1,3)</f>
        <v>2517732.4328900818</v>
      </c>
      <c r="G42" s="3">
        <f ca="1">_xlfn.NORM.INV(RAND(),AVERAGE(Assumptions!$D$8,Assumptions!$F$8),(Assumptions!$F$8-Assumptions!$D$8)/3.29)*44</f>
        <v>1734917.4955098834</v>
      </c>
      <c r="H42" s="6">
        <f ca="1">_xlfn.NORM.INV(RAND(),AVERAGE(Assumptions!$D$9,Assumptions!$F$9),(Assumptions!$F$9-Assumptions!$D$9)/3.29)*21</f>
        <v>4559306.6904001115</v>
      </c>
      <c r="I42" s="9">
        <f ca="1">_xlfn.NORM.INV(RAND(),AVERAGE(Assumptions!$D$10,Assumptions!$F$10),(Assumptions!$F$10-Assumptions!$D$10)/3.29)*21</f>
        <v>900888.16378180531</v>
      </c>
      <c r="J42" s="12">
        <f ca="1">NORMINV(RAND(),AVERAGE(Assumptions!$D$11,Assumptions!$F$11),(Assumptions!$F$11-Assumptions!$D$11)/3.29)*44</f>
        <v>1397834.8145621452</v>
      </c>
      <c r="K42" s="15">
        <f ca="1">_xlfn.NORM.INV(RAND(),AVERAGE(Assumptions!$D$12,Assumptions!$F$12),(Assumptions!$F$12-Assumptions!$D$12)/3.29)*44</f>
        <v>6039384.5219962299</v>
      </c>
      <c r="L42" s="3">
        <f ca="1">_xlfn.NORM.INV(RAND(),AVERAGE(Assumptions!$D$13,Assumptions!$F$13),(Assumptions!$F$13-Assumptions!$D$13)/3.29)*44</f>
        <v>11537955.450620875</v>
      </c>
      <c r="M42" s="6">
        <f ca="1">_xlfn.NORM.INV(RAND(),AVERAGE(Assumptions!$D$14,Assumptions!$F$14),(Assumptions!$F$14-Assumptions!$D$14)/3.29)*44</f>
        <v>5405543.6519011958</v>
      </c>
      <c r="N42" s="9">
        <f ca="1">_xlfn.NORM.INV(RAND(),AVERAGE(Assumptions!$D$16,Assumptions!$F$16),(Assumptions!$F$16-Assumptions!$D$16)/3.29)*44</f>
        <v>13149188.257101126</v>
      </c>
      <c r="O42" s="12">
        <f ca="1">_xlfn.NORM.INV(RAND(),AVERAGE(Assumptions!$D$15,Assumptions!$F$15),(Assumptions!$F$15-Assumptions!$D$15)/3.29)*44</f>
        <v>99735354.783094719</v>
      </c>
      <c r="P42" s="15">
        <f>Assumptions!$D$18</f>
        <v>14641750.345627395</v>
      </c>
      <c r="Q42" s="3">
        <f t="shared" ca="1" si="0"/>
        <v>43171319.655414172</v>
      </c>
      <c r="R42" s="6">
        <f t="shared" ca="1" si="1"/>
        <v>57813070.001041569</v>
      </c>
    </row>
    <row r="43" spans="1:18">
      <c r="A43" s="20">
        <v>42</v>
      </c>
      <c r="B43" s="3">
        <f ca="1">_xlfn.NORM.INV(RAND(),AVERAGE(Assumptions!$D$4,Assumptions!$F$4),(Assumptions!$F$4-Assumptions!$D$4)/3.29)*44</f>
        <v>1204569.2434494332</v>
      </c>
      <c r="C43" s="6">
        <f ca="1">_xlfn.NORM.INV(RAND(),AVERAGE(Assumptions!$D$5,Assumptions!$F$5),(Assumptions!$F$5-Assumptions!$D$5)/3.29)*44</f>
        <v>1925303.3816291313</v>
      </c>
      <c r="D43" s="9">
        <f ca="1">_xlfn.NORM.INV(RAND(),AVERAGE(Assumptions!$D$6,Assumptions!$F$6),(Assumptions!$F$6-Assumptions!$D$6)/3.29)*RANDBETWEEN(2,5)</f>
        <v>1096285.5819515751</v>
      </c>
      <c r="E43" s="12">
        <f ca="1">_xlfn.NORM.INV(RAND(),AVERAGE(Assumptions!$D$17,Assumptions!$F$17),(Assumptions!$F$17-Assumptions!$D$17)/3.29)*8</f>
        <v>917298.47374885855</v>
      </c>
      <c r="F43" s="15">
        <f ca="1">_xlfn.NORM.INV(RAND(),AVERAGE(Assumptions!$D$7,Assumptions!$F$7),(Assumptions!$F$7-Assumptions!$D$7)/3.29)*RANDBETWEEN(1,3)</f>
        <v>7251516.9717404954</v>
      </c>
      <c r="G43" s="3">
        <f ca="1">_xlfn.NORM.INV(RAND(),AVERAGE(Assumptions!$D$8,Assumptions!$F$8),(Assumptions!$F$8-Assumptions!$D$8)/3.29)*44</f>
        <v>578460.3703985163</v>
      </c>
      <c r="H43" s="6">
        <f ca="1">_xlfn.NORM.INV(RAND(),AVERAGE(Assumptions!$D$9,Assumptions!$F$9),(Assumptions!$F$9-Assumptions!$D$9)/3.29)*21</f>
        <v>4602934.8203033162</v>
      </c>
      <c r="I43" s="9">
        <f ca="1">_xlfn.NORM.INV(RAND(),AVERAGE(Assumptions!$D$10,Assumptions!$F$10),(Assumptions!$F$10-Assumptions!$D$10)/3.29)*21</f>
        <v>935512.94730830088</v>
      </c>
      <c r="J43" s="12">
        <f ca="1">NORMINV(RAND(),AVERAGE(Assumptions!$D$11,Assumptions!$F$11),(Assumptions!$F$11-Assumptions!$D$11)/3.29)*44</f>
        <v>2181466.946225462</v>
      </c>
      <c r="K43" s="15">
        <f ca="1">_xlfn.NORM.INV(RAND(),AVERAGE(Assumptions!$D$12,Assumptions!$F$12),(Assumptions!$F$12-Assumptions!$D$12)/3.29)*44</f>
        <v>9680961.0161431767</v>
      </c>
      <c r="L43" s="3">
        <f ca="1">_xlfn.NORM.INV(RAND(),AVERAGE(Assumptions!$D$13,Assumptions!$F$13),(Assumptions!$F$13-Assumptions!$D$13)/3.29)*44</f>
        <v>8301314.2626674306</v>
      </c>
      <c r="M43" s="6">
        <f ca="1">_xlfn.NORM.INV(RAND(),AVERAGE(Assumptions!$D$14,Assumptions!$F$14),(Assumptions!$F$14-Assumptions!$D$14)/3.29)*44</f>
        <v>6205059.3902769284</v>
      </c>
      <c r="N43" s="9">
        <f ca="1">_xlfn.NORM.INV(RAND(),AVERAGE(Assumptions!$D$16,Assumptions!$F$16),(Assumptions!$F$16-Assumptions!$D$16)/3.29)*44</f>
        <v>8570245.1482756138</v>
      </c>
      <c r="O43" s="12">
        <f ca="1">_xlfn.NORM.INV(RAND(),AVERAGE(Assumptions!$D$15,Assumptions!$F$15),(Assumptions!$F$15-Assumptions!$D$15)/3.29)*44</f>
        <v>54122657.011186756</v>
      </c>
      <c r="P43" s="15">
        <f>Assumptions!$D$18</f>
        <v>14641750.345627395</v>
      </c>
      <c r="Q43" s="3">
        <f t="shared" ca="1" si="0"/>
        <v>671728.4570685178</v>
      </c>
      <c r="R43" s="6">
        <f t="shared" ca="1" si="1"/>
        <v>15313478.802695913</v>
      </c>
    </row>
    <row r="44" spans="1:18">
      <c r="A44" s="20">
        <v>43</v>
      </c>
      <c r="B44" s="3">
        <f ca="1">_xlfn.NORM.INV(RAND(),AVERAGE(Assumptions!$D$4,Assumptions!$F$4),(Assumptions!$F$4-Assumptions!$D$4)/3.29)*44</f>
        <v>1346900.8127614909</v>
      </c>
      <c r="C44" s="6">
        <f ca="1">_xlfn.NORM.INV(RAND(),AVERAGE(Assumptions!$D$5,Assumptions!$F$5),(Assumptions!$F$5-Assumptions!$D$5)/3.29)*44</f>
        <v>1880679.3847716099</v>
      </c>
      <c r="D44" s="9">
        <f ca="1">_xlfn.NORM.INV(RAND(),AVERAGE(Assumptions!$D$6,Assumptions!$F$6),(Assumptions!$F$6-Assumptions!$D$6)/3.29)*RANDBETWEEN(2,5)</f>
        <v>3817547.4796273559</v>
      </c>
      <c r="E44" s="12">
        <f ca="1">_xlfn.NORM.INV(RAND(),AVERAGE(Assumptions!$D$17,Assumptions!$F$17),(Assumptions!$F$17-Assumptions!$D$17)/3.29)*8</f>
        <v>922319.49257067067</v>
      </c>
      <c r="F44" s="15">
        <f ca="1">_xlfn.NORM.INV(RAND(),AVERAGE(Assumptions!$D$7,Assumptions!$F$7),(Assumptions!$F$7-Assumptions!$D$7)/3.29)*RANDBETWEEN(1,3)</f>
        <v>9079457.8392596357</v>
      </c>
      <c r="G44" s="3">
        <f ca="1">_xlfn.NORM.INV(RAND(),AVERAGE(Assumptions!$D$8,Assumptions!$F$8),(Assumptions!$F$8-Assumptions!$D$8)/3.29)*44</f>
        <v>797577.53634487046</v>
      </c>
      <c r="H44" s="6">
        <f ca="1">_xlfn.NORM.INV(RAND(),AVERAGE(Assumptions!$D$9,Assumptions!$F$9),(Assumptions!$F$9-Assumptions!$D$9)/3.29)*21</f>
        <v>3597903.5217196406</v>
      </c>
      <c r="I44" s="9">
        <f ca="1">_xlfn.NORM.INV(RAND(),AVERAGE(Assumptions!$D$10,Assumptions!$F$10),(Assumptions!$F$10-Assumptions!$D$10)/3.29)*21</f>
        <v>1051310.6448917801</v>
      </c>
      <c r="J44" s="12">
        <f ca="1">NORMINV(RAND(),AVERAGE(Assumptions!$D$11,Assumptions!$F$11),(Assumptions!$F$11-Assumptions!$D$11)/3.29)*44</f>
        <v>3703840.6311541251</v>
      </c>
      <c r="K44" s="15">
        <f ca="1">_xlfn.NORM.INV(RAND(),AVERAGE(Assumptions!$D$12,Assumptions!$F$12),(Assumptions!$F$12-Assumptions!$D$12)/3.29)*44</f>
        <v>8761444.445634773</v>
      </c>
      <c r="L44" s="3">
        <f ca="1">_xlfn.NORM.INV(RAND(),AVERAGE(Assumptions!$D$13,Assumptions!$F$13),(Assumptions!$F$13-Assumptions!$D$13)/3.29)*44</f>
        <v>10488408.361345692</v>
      </c>
      <c r="M44" s="6">
        <f ca="1">_xlfn.NORM.INV(RAND(),AVERAGE(Assumptions!$D$14,Assumptions!$F$14),(Assumptions!$F$14-Assumptions!$D$14)/3.29)*44</f>
        <v>6570099.8504278408</v>
      </c>
      <c r="N44" s="9">
        <f ca="1">_xlfn.NORM.INV(RAND(),AVERAGE(Assumptions!$D$16,Assumptions!$F$16),(Assumptions!$F$16-Assumptions!$D$16)/3.29)*44</f>
        <v>18270893.415352691</v>
      </c>
      <c r="O44" s="12">
        <f ca="1">_xlfn.NORM.INV(RAND(),AVERAGE(Assumptions!$D$15,Assumptions!$F$15),(Assumptions!$F$15-Assumptions!$D$15)/3.29)*44</f>
        <v>22972194.046253711</v>
      </c>
      <c r="P44" s="15">
        <f>Assumptions!$D$18</f>
        <v>14641750.345627395</v>
      </c>
      <c r="Q44" s="3">
        <f t="shared" ca="1" si="0"/>
        <v>-47316189.369608462</v>
      </c>
      <c r="R44" s="6">
        <f t="shared" ca="1" si="1"/>
        <v>-32674439.023981065</v>
      </c>
    </row>
    <row r="45" spans="1:18">
      <c r="A45" s="20">
        <v>44</v>
      </c>
      <c r="B45" s="3">
        <f ca="1">_xlfn.NORM.INV(RAND(),AVERAGE(Assumptions!$D$4,Assumptions!$F$4),(Assumptions!$F$4-Assumptions!$D$4)/3.29)*44</f>
        <v>1274524.80474695</v>
      </c>
      <c r="C45" s="6">
        <f ca="1">_xlfn.NORM.INV(RAND(),AVERAGE(Assumptions!$D$5,Assumptions!$F$5),(Assumptions!$F$5-Assumptions!$D$5)/3.29)*44</f>
        <v>1916064.2085766855</v>
      </c>
      <c r="D45" s="9">
        <f ca="1">_xlfn.NORM.INV(RAND(),AVERAGE(Assumptions!$D$6,Assumptions!$F$6),(Assumptions!$F$6-Assumptions!$D$6)/3.29)*RANDBETWEEN(2,5)</f>
        <v>938329.14646419603</v>
      </c>
      <c r="E45" s="12">
        <f ca="1">_xlfn.NORM.INV(RAND(),AVERAGE(Assumptions!$D$17,Assumptions!$F$17),(Assumptions!$F$17-Assumptions!$D$17)/3.29)*8</f>
        <v>961904.52466969157</v>
      </c>
      <c r="F45" s="15">
        <f ca="1">_xlfn.NORM.INV(RAND(),AVERAGE(Assumptions!$D$7,Assumptions!$F$7),(Assumptions!$F$7-Assumptions!$D$7)/3.29)*RANDBETWEEN(1,3)</f>
        <v>10769247.196176477</v>
      </c>
      <c r="G45" s="3">
        <f ca="1">_xlfn.NORM.INV(RAND(),AVERAGE(Assumptions!$D$8,Assumptions!$F$8),(Assumptions!$F$8-Assumptions!$D$8)/3.29)*44</f>
        <v>1594569.1253372312</v>
      </c>
      <c r="H45" s="6">
        <f ca="1">_xlfn.NORM.INV(RAND(),AVERAGE(Assumptions!$D$9,Assumptions!$F$9),(Assumptions!$F$9-Assumptions!$D$9)/3.29)*21</f>
        <v>6675481.6502604028</v>
      </c>
      <c r="I45" s="9">
        <f ca="1">_xlfn.NORM.INV(RAND(),AVERAGE(Assumptions!$D$10,Assumptions!$F$10),(Assumptions!$F$10-Assumptions!$D$10)/3.29)*21</f>
        <v>762020.45699878293</v>
      </c>
      <c r="J45" s="12">
        <f ca="1">NORMINV(RAND(),AVERAGE(Assumptions!$D$11,Assumptions!$F$11),(Assumptions!$F$11-Assumptions!$D$11)/3.29)*44</f>
        <v>2451554.5575203793</v>
      </c>
      <c r="K45" s="15">
        <f ca="1">_xlfn.NORM.INV(RAND(),AVERAGE(Assumptions!$D$12,Assumptions!$F$12),(Assumptions!$F$12-Assumptions!$D$12)/3.29)*44</f>
        <v>9757061.3732074406</v>
      </c>
      <c r="L45" s="3">
        <f ca="1">_xlfn.NORM.INV(RAND(),AVERAGE(Assumptions!$D$13,Assumptions!$F$13),(Assumptions!$F$13-Assumptions!$D$13)/3.29)*44</f>
        <v>5176784.426127525</v>
      </c>
      <c r="M45" s="6">
        <f ca="1">_xlfn.NORM.INV(RAND(),AVERAGE(Assumptions!$D$14,Assumptions!$F$14),(Assumptions!$F$14-Assumptions!$D$14)/3.29)*44</f>
        <v>5451861.6827117596</v>
      </c>
      <c r="N45" s="9">
        <f ca="1">_xlfn.NORM.INV(RAND(),AVERAGE(Assumptions!$D$16,Assumptions!$F$16),(Assumptions!$F$16-Assumptions!$D$16)/3.29)*44</f>
        <v>16489436.856666433</v>
      </c>
      <c r="O45" s="12">
        <f ca="1">_xlfn.NORM.INV(RAND(),AVERAGE(Assumptions!$D$15,Assumptions!$F$15),(Assumptions!$F$15-Assumptions!$D$15)/3.29)*44</f>
        <v>139251821.00688905</v>
      </c>
      <c r="P45" s="15">
        <f>Assumptions!$D$18</f>
        <v>14641750.345627395</v>
      </c>
      <c r="Q45" s="3">
        <f t="shared" ca="1" si="0"/>
        <v>75032980.997425094</v>
      </c>
      <c r="R45" s="6">
        <f t="shared" ca="1" si="1"/>
        <v>89674731.343052492</v>
      </c>
    </row>
    <row r="46" spans="1:18">
      <c r="A46" s="20">
        <v>45</v>
      </c>
      <c r="B46" s="3">
        <f ca="1">_xlfn.NORM.INV(RAND(),AVERAGE(Assumptions!$D$4,Assumptions!$F$4),(Assumptions!$F$4-Assumptions!$D$4)/3.29)*44</f>
        <v>1233652.9825112601</v>
      </c>
      <c r="C46" s="6">
        <f ca="1">_xlfn.NORM.INV(RAND(),AVERAGE(Assumptions!$D$5,Assumptions!$F$5),(Assumptions!$F$5-Assumptions!$D$5)/3.29)*44</f>
        <v>1828296.2167837773</v>
      </c>
      <c r="D46" s="9">
        <f ca="1">_xlfn.NORM.INV(RAND(),AVERAGE(Assumptions!$D$6,Assumptions!$F$6),(Assumptions!$F$6-Assumptions!$D$6)/3.29)*RANDBETWEEN(2,5)</f>
        <v>3064697.1438684268</v>
      </c>
      <c r="E46" s="12">
        <f ca="1">_xlfn.NORM.INV(RAND(),AVERAGE(Assumptions!$D$17,Assumptions!$F$17),(Assumptions!$F$17-Assumptions!$D$17)/3.29)*8</f>
        <v>851275.48102637392</v>
      </c>
      <c r="F46" s="15">
        <f ca="1">_xlfn.NORM.INV(RAND(),AVERAGE(Assumptions!$D$7,Assumptions!$F$7),(Assumptions!$F$7-Assumptions!$D$7)/3.29)*RANDBETWEEN(1,3)</f>
        <v>1534211.9572857677</v>
      </c>
      <c r="G46" s="3">
        <f ca="1">_xlfn.NORM.INV(RAND(),AVERAGE(Assumptions!$D$8,Assumptions!$F$8),(Assumptions!$F$8-Assumptions!$D$8)/3.29)*44</f>
        <v>1359636.3747550736</v>
      </c>
      <c r="H46" s="6">
        <f ca="1">_xlfn.NORM.INV(RAND(),AVERAGE(Assumptions!$D$9,Assumptions!$F$9),(Assumptions!$F$9-Assumptions!$D$9)/3.29)*21</f>
        <v>3676287.3433171255</v>
      </c>
      <c r="I46" s="9">
        <f ca="1">_xlfn.NORM.INV(RAND(),AVERAGE(Assumptions!$D$10,Assumptions!$F$10),(Assumptions!$F$10-Assumptions!$D$10)/3.29)*21</f>
        <v>1009535.9618207474</v>
      </c>
      <c r="J46" s="12">
        <f ca="1">NORMINV(RAND(),AVERAGE(Assumptions!$D$11,Assumptions!$F$11),(Assumptions!$F$11-Assumptions!$D$11)/3.29)*44</f>
        <v>3572492.1516284514</v>
      </c>
      <c r="K46" s="15">
        <f ca="1">_xlfn.NORM.INV(RAND(),AVERAGE(Assumptions!$D$12,Assumptions!$F$12),(Assumptions!$F$12-Assumptions!$D$12)/3.29)*44</f>
        <v>9234764.5165150687</v>
      </c>
      <c r="L46" s="3">
        <f ca="1">_xlfn.NORM.INV(RAND(),AVERAGE(Assumptions!$D$13,Assumptions!$F$13),(Assumptions!$F$13-Assumptions!$D$13)/3.29)*44</f>
        <v>24522053.019792758</v>
      </c>
      <c r="M46" s="6">
        <f ca="1">_xlfn.NORM.INV(RAND(),AVERAGE(Assumptions!$D$14,Assumptions!$F$14),(Assumptions!$F$14-Assumptions!$D$14)/3.29)*44</f>
        <v>6914332.8719108505</v>
      </c>
      <c r="N46" s="9">
        <f ca="1">_xlfn.NORM.INV(RAND(),AVERAGE(Assumptions!$D$16,Assumptions!$F$16),(Assumptions!$F$16-Assumptions!$D$16)/3.29)*44</f>
        <v>13064688.639777511</v>
      </c>
      <c r="O46" s="12">
        <f ca="1">_xlfn.NORM.INV(RAND(),AVERAGE(Assumptions!$D$15,Assumptions!$F$15),(Assumptions!$F$15-Assumptions!$D$15)/3.29)*44</f>
        <v>144155482.25789806</v>
      </c>
      <c r="P46" s="15">
        <f>Assumptions!$D$18</f>
        <v>14641750.345627395</v>
      </c>
      <c r="Q46" s="3">
        <f t="shared" ca="1" si="0"/>
        <v>72289557.596904874</v>
      </c>
      <c r="R46" s="6">
        <f t="shared" ca="1" si="1"/>
        <v>86931307.942532271</v>
      </c>
    </row>
    <row r="47" spans="1:18">
      <c r="A47" s="20">
        <v>46</v>
      </c>
      <c r="B47" s="3">
        <f ca="1">_xlfn.NORM.INV(RAND(),AVERAGE(Assumptions!$D$4,Assumptions!$F$4),(Assumptions!$F$4-Assumptions!$D$4)/3.29)*44</f>
        <v>1198781.2024099352</v>
      </c>
      <c r="C47" s="6">
        <f ca="1">_xlfn.NORM.INV(RAND(),AVERAGE(Assumptions!$D$5,Assumptions!$F$5),(Assumptions!$F$5-Assumptions!$D$5)/3.29)*44</f>
        <v>1982538.1298831971</v>
      </c>
      <c r="D47" s="9">
        <f ca="1">_xlfn.NORM.INV(RAND(),AVERAGE(Assumptions!$D$6,Assumptions!$F$6),(Assumptions!$F$6-Assumptions!$D$6)/3.29)*RANDBETWEEN(2,5)</f>
        <v>4896601.721047922</v>
      </c>
      <c r="E47" s="12">
        <f ca="1">_xlfn.NORM.INV(RAND(),AVERAGE(Assumptions!$D$17,Assumptions!$F$17),(Assumptions!$F$17-Assumptions!$D$17)/3.29)*8</f>
        <v>898425.31840309524</v>
      </c>
      <c r="F47" s="15">
        <f ca="1">_xlfn.NORM.INV(RAND(),AVERAGE(Assumptions!$D$7,Assumptions!$F$7),(Assumptions!$F$7-Assumptions!$D$7)/3.29)*RANDBETWEEN(1,3)</f>
        <v>2940929.9957687259</v>
      </c>
      <c r="G47" s="3">
        <f ca="1">_xlfn.NORM.INV(RAND(),AVERAGE(Assumptions!$D$8,Assumptions!$F$8),(Assumptions!$F$8-Assumptions!$D$8)/3.29)*44</f>
        <v>1681529.96259284</v>
      </c>
      <c r="H47" s="6">
        <f ca="1">_xlfn.NORM.INV(RAND(),AVERAGE(Assumptions!$D$9,Assumptions!$F$9),(Assumptions!$F$9-Assumptions!$D$9)/3.29)*21</f>
        <v>3320458.1666753688</v>
      </c>
      <c r="I47" s="9">
        <f ca="1">_xlfn.NORM.INV(RAND(),AVERAGE(Assumptions!$D$10,Assumptions!$F$10),(Assumptions!$F$10-Assumptions!$D$10)/3.29)*21</f>
        <v>1056793.0900075084</v>
      </c>
      <c r="J47" s="12">
        <f ca="1">NORMINV(RAND(),AVERAGE(Assumptions!$D$11,Assumptions!$F$11),(Assumptions!$F$11-Assumptions!$D$11)/3.29)*44</f>
        <v>3457979.8850764502</v>
      </c>
      <c r="K47" s="15">
        <f ca="1">_xlfn.NORM.INV(RAND(),AVERAGE(Assumptions!$D$12,Assumptions!$F$12),(Assumptions!$F$12-Assumptions!$D$12)/3.29)*44</f>
        <v>6129269.9387505492</v>
      </c>
      <c r="L47" s="3">
        <f ca="1">_xlfn.NORM.INV(RAND(),AVERAGE(Assumptions!$D$13,Assumptions!$F$13),(Assumptions!$F$13-Assumptions!$D$13)/3.29)*44</f>
        <v>10343193.416537922</v>
      </c>
      <c r="M47" s="6">
        <f ca="1">_xlfn.NORM.INV(RAND(),AVERAGE(Assumptions!$D$14,Assumptions!$F$14),(Assumptions!$F$14-Assumptions!$D$14)/3.29)*44</f>
        <v>7247462.8318762667</v>
      </c>
      <c r="N47" s="9">
        <f ca="1">_xlfn.NORM.INV(RAND(),AVERAGE(Assumptions!$D$16,Assumptions!$F$16),(Assumptions!$F$16-Assumptions!$D$16)/3.29)*44</f>
        <v>7906140.489342073</v>
      </c>
      <c r="O47" s="12">
        <f ca="1">_xlfn.NORM.INV(RAND(),AVERAGE(Assumptions!$D$15,Assumptions!$F$15),(Assumptions!$F$15-Assumptions!$D$15)/3.29)*44</f>
        <v>78615780.623168305</v>
      </c>
      <c r="P47" s="15">
        <f>Assumptions!$D$18</f>
        <v>14641750.345627395</v>
      </c>
      <c r="Q47" s="3">
        <f t="shared" ca="1" si="0"/>
        <v>25555676.474796452</v>
      </c>
      <c r="R47" s="6">
        <f t="shared" ca="1" si="1"/>
        <v>40197426.820423849</v>
      </c>
    </row>
    <row r="48" spans="1:18">
      <c r="A48" s="20">
        <v>47</v>
      </c>
      <c r="B48" s="3">
        <f ca="1">_xlfn.NORM.INV(RAND(),AVERAGE(Assumptions!$D$4,Assumptions!$F$4),(Assumptions!$F$4-Assumptions!$D$4)/3.29)*44</f>
        <v>1212203.406367287</v>
      </c>
      <c r="C48" s="6">
        <f ca="1">_xlfn.NORM.INV(RAND(),AVERAGE(Assumptions!$D$5,Assumptions!$F$5),(Assumptions!$F$5-Assumptions!$D$5)/3.29)*44</f>
        <v>2030183.6754987156</v>
      </c>
      <c r="D48" s="9">
        <f ca="1">_xlfn.NORM.INV(RAND(),AVERAGE(Assumptions!$D$6,Assumptions!$F$6),(Assumptions!$F$6-Assumptions!$D$6)/3.29)*RANDBETWEEN(2,5)</f>
        <v>7767796.8906599414</v>
      </c>
      <c r="E48" s="12">
        <f ca="1">_xlfn.NORM.INV(RAND(),AVERAGE(Assumptions!$D$17,Assumptions!$F$17),(Assumptions!$F$17-Assumptions!$D$17)/3.29)*8</f>
        <v>1052132.5135735245</v>
      </c>
      <c r="F48" s="15">
        <f ca="1">_xlfn.NORM.INV(RAND(),AVERAGE(Assumptions!$D$7,Assumptions!$F$7),(Assumptions!$F$7-Assumptions!$D$7)/3.29)*RANDBETWEEN(1,3)</f>
        <v>9448605.7090525497</v>
      </c>
      <c r="G48" s="3">
        <f ca="1">_xlfn.NORM.INV(RAND(),AVERAGE(Assumptions!$D$8,Assumptions!$F$8),(Assumptions!$F$8-Assumptions!$D$8)/3.29)*44</f>
        <v>1318465.1913918941</v>
      </c>
      <c r="H48" s="6">
        <f ca="1">_xlfn.NORM.INV(RAND(),AVERAGE(Assumptions!$D$9,Assumptions!$F$9),(Assumptions!$F$9-Assumptions!$D$9)/3.29)*21</f>
        <v>5832300.1368025504</v>
      </c>
      <c r="I48" s="9">
        <f ca="1">_xlfn.NORM.INV(RAND(),AVERAGE(Assumptions!$D$10,Assumptions!$F$10),(Assumptions!$F$10-Assumptions!$D$10)/3.29)*21</f>
        <v>1166599.9911373574</v>
      </c>
      <c r="J48" s="12">
        <f ca="1">NORMINV(RAND(),AVERAGE(Assumptions!$D$11,Assumptions!$F$11),(Assumptions!$F$11-Assumptions!$D$11)/3.29)*44</f>
        <v>3526288.9489131346</v>
      </c>
      <c r="K48" s="15">
        <f ca="1">_xlfn.NORM.INV(RAND(),AVERAGE(Assumptions!$D$12,Assumptions!$F$12),(Assumptions!$F$12-Assumptions!$D$12)/3.29)*44</f>
        <v>9447209.3069432341</v>
      </c>
      <c r="L48" s="3">
        <f ca="1">_xlfn.NORM.INV(RAND(),AVERAGE(Assumptions!$D$13,Assumptions!$F$13),(Assumptions!$F$13-Assumptions!$D$13)/3.29)*44</f>
        <v>13209169.686169833</v>
      </c>
      <c r="M48" s="6">
        <f ca="1">_xlfn.NORM.INV(RAND(),AVERAGE(Assumptions!$D$14,Assumptions!$F$14),(Assumptions!$F$14-Assumptions!$D$14)/3.29)*44</f>
        <v>8370033.9112972002</v>
      </c>
      <c r="N48" s="9">
        <f ca="1">_xlfn.NORM.INV(RAND(),AVERAGE(Assumptions!$D$16,Assumptions!$F$16),(Assumptions!$F$16-Assumptions!$D$16)/3.29)*44</f>
        <v>4350551.3947505523</v>
      </c>
      <c r="O48" s="12">
        <f ca="1">_xlfn.NORM.INV(RAND(),AVERAGE(Assumptions!$D$15,Assumptions!$F$15),(Assumptions!$F$15-Assumptions!$D$15)/3.29)*44</f>
        <v>128548453.65976062</v>
      </c>
      <c r="P48" s="15">
        <f>Assumptions!$D$18</f>
        <v>14641750.345627395</v>
      </c>
      <c r="Q48" s="3">
        <f t="shared" ca="1" si="0"/>
        <v>59816912.897202849</v>
      </c>
      <c r="R48" s="6">
        <f t="shared" ca="1" si="1"/>
        <v>74458663.242830247</v>
      </c>
    </row>
    <row r="49" spans="1:18">
      <c r="A49" s="20">
        <v>48</v>
      </c>
      <c r="B49" s="3">
        <f ca="1">_xlfn.NORM.INV(RAND(),AVERAGE(Assumptions!$D$4,Assumptions!$F$4),(Assumptions!$F$4-Assumptions!$D$4)/3.29)*44</f>
        <v>1254042.2100237149</v>
      </c>
      <c r="C49" s="6">
        <f ca="1">_xlfn.NORM.INV(RAND(),AVERAGE(Assumptions!$D$5,Assumptions!$F$5),(Assumptions!$F$5-Assumptions!$D$5)/3.29)*44</f>
        <v>1900019.6540557053</v>
      </c>
      <c r="D49" s="9">
        <f ca="1">_xlfn.NORM.INV(RAND(),AVERAGE(Assumptions!$D$6,Assumptions!$F$6),(Assumptions!$F$6-Assumptions!$D$6)/3.29)*RANDBETWEEN(2,5)</f>
        <v>5358779.4741922533</v>
      </c>
      <c r="E49" s="12">
        <f ca="1">_xlfn.NORM.INV(RAND(),AVERAGE(Assumptions!$D$17,Assumptions!$F$17),(Assumptions!$F$17-Assumptions!$D$17)/3.29)*8</f>
        <v>925359.37082849222</v>
      </c>
      <c r="F49" s="15">
        <f ca="1">_xlfn.NORM.INV(RAND(),AVERAGE(Assumptions!$D$7,Assumptions!$F$7),(Assumptions!$F$7-Assumptions!$D$7)/3.29)*RANDBETWEEN(1,3)</f>
        <v>6934625.6123080626</v>
      </c>
      <c r="G49" s="3">
        <f ca="1">_xlfn.NORM.INV(RAND(),AVERAGE(Assumptions!$D$8,Assumptions!$F$8),(Assumptions!$F$8-Assumptions!$D$8)/3.29)*44</f>
        <v>809243.38272044028</v>
      </c>
      <c r="H49" s="6">
        <f ca="1">_xlfn.NORM.INV(RAND(),AVERAGE(Assumptions!$D$9,Assumptions!$F$9),(Assumptions!$F$9-Assumptions!$D$9)/3.29)*21</f>
        <v>3495143.9128388525</v>
      </c>
      <c r="I49" s="9">
        <f ca="1">_xlfn.NORM.INV(RAND(),AVERAGE(Assumptions!$D$10,Assumptions!$F$10),(Assumptions!$F$10-Assumptions!$D$10)/3.29)*21</f>
        <v>677323.0109926411</v>
      </c>
      <c r="J49" s="12">
        <f ca="1">NORMINV(RAND(),AVERAGE(Assumptions!$D$11,Assumptions!$F$11),(Assumptions!$F$11-Assumptions!$D$11)/3.29)*44</f>
        <v>4759391.7607441386</v>
      </c>
      <c r="K49" s="15">
        <f ca="1">_xlfn.NORM.INV(RAND(),AVERAGE(Assumptions!$D$12,Assumptions!$F$12),(Assumptions!$F$12-Assumptions!$D$12)/3.29)*44</f>
        <v>8263937.6026104828</v>
      </c>
      <c r="L49" s="3">
        <f ca="1">_xlfn.NORM.INV(RAND(),AVERAGE(Assumptions!$D$13,Assumptions!$F$13),(Assumptions!$F$13-Assumptions!$D$13)/3.29)*44</f>
        <v>13453743.096527345</v>
      </c>
      <c r="M49" s="6">
        <f ca="1">_xlfn.NORM.INV(RAND(),AVERAGE(Assumptions!$D$14,Assumptions!$F$14),(Assumptions!$F$14-Assumptions!$D$14)/3.29)*44</f>
        <v>6903985.0426717913</v>
      </c>
      <c r="N49" s="9">
        <f ca="1">_xlfn.NORM.INV(RAND(),AVERAGE(Assumptions!$D$16,Assumptions!$F$16),(Assumptions!$F$16-Assumptions!$D$16)/3.29)*44</f>
        <v>14776490.335940246</v>
      </c>
      <c r="O49" s="12">
        <f ca="1">_xlfn.NORM.INV(RAND(),AVERAGE(Assumptions!$D$15,Assumptions!$F$15),(Assumptions!$F$15-Assumptions!$D$15)/3.29)*44</f>
        <v>75263469.018680483</v>
      </c>
      <c r="P49" s="15">
        <f>Assumptions!$D$18</f>
        <v>14641750.345627395</v>
      </c>
      <c r="Q49" s="3">
        <f t="shared" ca="1" si="0"/>
        <v>5751384.552226305</v>
      </c>
      <c r="R49" s="6">
        <f t="shared" ca="1" si="1"/>
        <v>20393134.897853702</v>
      </c>
    </row>
    <row r="50" spans="1:18">
      <c r="A50" s="20">
        <v>49</v>
      </c>
      <c r="B50" s="3">
        <f ca="1">_xlfn.NORM.INV(RAND(),AVERAGE(Assumptions!$D$4,Assumptions!$F$4),(Assumptions!$F$4-Assumptions!$D$4)/3.29)*44</f>
        <v>1160207.7516503367</v>
      </c>
      <c r="C50" s="6">
        <f ca="1">_xlfn.NORM.INV(RAND(),AVERAGE(Assumptions!$D$5,Assumptions!$F$5),(Assumptions!$F$5-Assumptions!$D$5)/3.29)*44</f>
        <v>1878719.5460802016</v>
      </c>
      <c r="D50" s="9">
        <f ca="1">_xlfn.NORM.INV(RAND(),AVERAGE(Assumptions!$D$6,Assumptions!$F$6),(Assumptions!$F$6-Assumptions!$D$6)/3.29)*RANDBETWEEN(2,5)</f>
        <v>1645449.9664185988</v>
      </c>
      <c r="E50" s="12">
        <f ca="1">_xlfn.NORM.INV(RAND(),AVERAGE(Assumptions!$D$17,Assumptions!$F$17),(Assumptions!$F$17-Assumptions!$D$17)/3.29)*8</f>
        <v>1089636.2782867651</v>
      </c>
      <c r="F50" s="15">
        <f ca="1">_xlfn.NORM.INV(RAND(),AVERAGE(Assumptions!$D$7,Assumptions!$F$7),(Assumptions!$F$7-Assumptions!$D$7)/3.29)*RANDBETWEEN(1,3)</f>
        <v>10254022.333700793</v>
      </c>
      <c r="G50" s="3">
        <f ca="1">_xlfn.NORM.INV(RAND(),AVERAGE(Assumptions!$D$8,Assumptions!$F$8),(Assumptions!$F$8-Assumptions!$D$8)/3.29)*44</f>
        <v>992777.39257802267</v>
      </c>
      <c r="H50" s="6">
        <f ca="1">_xlfn.NORM.INV(RAND(),AVERAGE(Assumptions!$D$9,Assumptions!$F$9),(Assumptions!$F$9-Assumptions!$D$9)/3.29)*21</f>
        <v>5643412.0093395282</v>
      </c>
      <c r="I50" s="9">
        <f ca="1">_xlfn.NORM.INV(RAND(),AVERAGE(Assumptions!$D$10,Assumptions!$F$10),(Assumptions!$F$10-Assumptions!$D$10)/3.29)*21</f>
        <v>377256.7342316623</v>
      </c>
      <c r="J50" s="12">
        <f ca="1">NORMINV(RAND(),AVERAGE(Assumptions!$D$11,Assumptions!$F$11),(Assumptions!$F$11-Assumptions!$D$11)/3.29)*44</f>
        <v>2385140.0255289404</v>
      </c>
      <c r="K50" s="15">
        <f ca="1">_xlfn.NORM.INV(RAND(),AVERAGE(Assumptions!$D$12,Assumptions!$F$12),(Assumptions!$F$12-Assumptions!$D$12)/3.29)*44</f>
        <v>7906043.8178282399</v>
      </c>
      <c r="L50" s="3">
        <f ca="1">_xlfn.NORM.INV(RAND(),AVERAGE(Assumptions!$D$13,Assumptions!$F$13),(Assumptions!$F$13-Assumptions!$D$13)/3.29)*44</f>
        <v>17491029.56403115</v>
      </c>
      <c r="M50" s="6">
        <f ca="1">_xlfn.NORM.INV(RAND(),AVERAGE(Assumptions!$D$14,Assumptions!$F$14),(Assumptions!$F$14-Assumptions!$D$14)/3.29)*44</f>
        <v>5084186.5225450899</v>
      </c>
      <c r="N50" s="9">
        <f ca="1">_xlfn.NORM.INV(RAND(),AVERAGE(Assumptions!$D$16,Assumptions!$F$16),(Assumptions!$F$16-Assumptions!$D$16)/3.29)*44</f>
        <v>10985505.442956999</v>
      </c>
      <c r="O50" s="12">
        <f ca="1">_xlfn.NORM.INV(RAND(),AVERAGE(Assumptions!$D$15,Assumptions!$F$15),(Assumptions!$F$15-Assumptions!$D$15)/3.29)*44</f>
        <v>31301472.984486595</v>
      </c>
      <c r="P50" s="15">
        <f>Assumptions!$D$18</f>
        <v>14641750.345627395</v>
      </c>
      <c r="Q50" s="3">
        <f t="shared" ca="1" si="0"/>
        <v>-35591914.400689736</v>
      </c>
      <c r="R50" s="6">
        <f t="shared" ca="1" si="1"/>
        <v>-20950164.055062339</v>
      </c>
    </row>
    <row r="51" spans="1:18">
      <c r="A51" s="20">
        <v>50</v>
      </c>
      <c r="B51" s="3">
        <f ca="1">_xlfn.NORM.INV(RAND(),AVERAGE(Assumptions!$D$4,Assumptions!$F$4),(Assumptions!$F$4-Assumptions!$D$4)/3.29)*44</f>
        <v>1297901.7208896603</v>
      </c>
      <c r="C51" s="6">
        <f ca="1">_xlfn.NORM.INV(RAND(),AVERAGE(Assumptions!$D$5,Assumptions!$F$5),(Assumptions!$F$5-Assumptions!$D$5)/3.29)*44</f>
        <v>1878978.4180812202</v>
      </c>
      <c r="D51" s="9">
        <f ca="1">_xlfn.NORM.INV(RAND(),AVERAGE(Assumptions!$D$6,Assumptions!$F$6),(Assumptions!$F$6-Assumptions!$D$6)/3.29)*RANDBETWEEN(2,5)</f>
        <v>3796629.8096659938</v>
      </c>
      <c r="E51" s="12">
        <f ca="1">_xlfn.NORM.INV(RAND(),AVERAGE(Assumptions!$D$17,Assumptions!$F$17),(Assumptions!$F$17-Assumptions!$D$17)/3.29)*8</f>
        <v>816763.57177496562</v>
      </c>
      <c r="F51" s="15">
        <f ca="1">_xlfn.NORM.INV(RAND(),AVERAGE(Assumptions!$D$7,Assumptions!$F$7),(Assumptions!$F$7-Assumptions!$D$7)/3.29)*RANDBETWEEN(1,3)</f>
        <v>7796616.9211031888</v>
      </c>
      <c r="G51" s="3">
        <f ca="1">_xlfn.NORM.INV(RAND(),AVERAGE(Assumptions!$D$8,Assumptions!$F$8),(Assumptions!$F$8-Assumptions!$D$8)/3.29)*44</f>
        <v>1022295.4793985281</v>
      </c>
      <c r="H51" s="6">
        <f ca="1">_xlfn.NORM.INV(RAND(),AVERAGE(Assumptions!$D$9,Assumptions!$F$9),(Assumptions!$F$9-Assumptions!$D$9)/3.29)*21</f>
        <v>3728296.7172802477</v>
      </c>
      <c r="I51" s="9">
        <f ca="1">_xlfn.NORM.INV(RAND(),AVERAGE(Assumptions!$D$10,Assumptions!$F$10),(Assumptions!$F$10-Assumptions!$D$10)/3.29)*21</f>
        <v>685715.1703411265</v>
      </c>
      <c r="J51" s="12">
        <f ca="1">NORMINV(RAND(),AVERAGE(Assumptions!$D$11,Assumptions!$F$11),(Assumptions!$F$11-Assumptions!$D$11)/3.29)*44</f>
        <v>3043794.3074159245</v>
      </c>
      <c r="K51" s="15">
        <f ca="1">_xlfn.NORM.INV(RAND(),AVERAGE(Assumptions!$D$12,Assumptions!$F$12),(Assumptions!$F$12-Assumptions!$D$12)/3.29)*44</f>
        <v>8882875.0747450329</v>
      </c>
      <c r="L51" s="3">
        <f ca="1">_xlfn.NORM.INV(RAND(),AVERAGE(Assumptions!$D$13,Assumptions!$F$13),(Assumptions!$F$13-Assumptions!$D$13)/3.29)*44</f>
        <v>19790752.608010814</v>
      </c>
      <c r="M51" s="6">
        <f ca="1">_xlfn.NORM.INV(RAND(),AVERAGE(Assumptions!$D$14,Assumptions!$F$14),(Assumptions!$F$14-Assumptions!$D$14)/3.29)*44</f>
        <v>3929242.3253404079</v>
      </c>
      <c r="N51" s="9">
        <f ca="1">_xlfn.NORM.INV(RAND(),AVERAGE(Assumptions!$D$16,Assumptions!$F$16),(Assumptions!$F$16-Assumptions!$D$16)/3.29)*44</f>
        <v>12093600.17742699</v>
      </c>
      <c r="O51" s="12">
        <f ca="1">_xlfn.NORM.INV(RAND(),AVERAGE(Assumptions!$D$15,Assumptions!$F$15),(Assumptions!$F$15-Assumptions!$D$15)/3.29)*44</f>
        <v>98769864.127287835</v>
      </c>
      <c r="P51" s="15">
        <f>Assumptions!$D$18</f>
        <v>14641750.345627395</v>
      </c>
      <c r="Q51" s="3">
        <f t="shared" ca="1" si="0"/>
        <v>30006401.82581374</v>
      </c>
      <c r="R51" s="6">
        <f t="shared" ca="1" si="1"/>
        <v>44648152.171441138</v>
      </c>
    </row>
    <row r="52" spans="1:18">
      <c r="A52" s="20">
        <v>51</v>
      </c>
      <c r="B52" s="3">
        <f ca="1">_xlfn.NORM.INV(RAND(),AVERAGE(Assumptions!$D$4,Assumptions!$F$4),(Assumptions!$F$4-Assumptions!$D$4)/3.29)*44</f>
        <v>1203888.6299561996</v>
      </c>
      <c r="C52" s="6">
        <f ca="1">_xlfn.NORM.INV(RAND(),AVERAGE(Assumptions!$D$5,Assumptions!$F$5),(Assumptions!$F$5-Assumptions!$D$5)/3.29)*44</f>
        <v>1953766.9234744292</v>
      </c>
      <c r="D52" s="9">
        <f ca="1">_xlfn.NORM.INV(RAND(),AVERAGE(Assumptions!$D$6,Assumptions!$F$6),(Assumptions!$F$6-Assumptions!$D$6)/3.29)*RANDBETWEEN(2,5)</f>
        <v>2473561.781386056</v>
      </c>
      <c r="E52" s="12">
        <f ca="1">_xlfn.NORM.INV(RAND(),AVERAGE(Assumptions!$D$17,Assumptions!$F$17),(Assumptions!$F$17-Assumptions!$D$17)/3.29)*8</f>
        <v>739485.67866095563</v>
      </c>
      <c r="F52" s="15">
        <f ca="1">_xlfn.NORM.INV(RAND(),AVERAGE(Assumptions!$D$7,Assumptions!$F$7),(Assumptions!$F$7-Assumptions!$D$7)/3.29)*RANDBETWEEN(1,3)</f>
        <v>2487672.8971085488</v>
      </c>
      <c r="G52" s="3">
        <f ca="1">_xlfn.NORM.INV(RAND(),AVERAGE(Assumptions!$D$8,Assumptions!$F$8),(Assumptions!$F$8-Assumptions!$D$8)/3.29)*44</f>
        <v>1172762.8857852113</v>
      </c>
      <c r="H52" s="6">
        <f ca="1">_xlfn.NORM.INV(RAND(),AVERAGE(Assumptions!$D$9,Assumptions!$F$9),(Assumptions!$F$9-Assumptions!$D$9)/3.29)*21</f>
        <v>6216811.1540319808</v>
      </c>
      <c r="I52" s="9">
        <f ca="1">_xlfn.NORM.INV(RAND(),AVERAGE(Assumptions!$D$10,Assumptions!$F$10),(Assumptions!$F$10-Assumptions!$D$10)/3.29)*21</f>
        <v>1006874.969020404</v>
      </c>
      <c r="J52" s="12">
        <f ca="1">NORMINV(RAND(),AVERAGE(Assumptions!$D$11,Assumptions!$F$11),(Assumptions!$F$11-Assumptions!$D$11)/3.29)*44</f>
        <v>4710389.8752145842</v>
      </c>
      <c r="K52" s="15">
        <f ca="1">_xlfn.NORM.INV(RAND(),AVERAGE(Assumptions!$D$12,Assumptions!$F$12),(Assumptions!$F$12-Assumptions!$D$12)/3.29)*44</f>
        <v>9255610.2943312582</v>
      </c>
      <c r="L52" s="3">
        <f ca="1">_xlfn.NORM.INV(RAND(),AVERAGE(Assumptions!$D$13,Assumptions!$F$13),(Assumptions!$F$13-Assumptions!$D$13)/3.29)*44</f>
        <v>7397678.2987418715</v>
      </c>
      <c r="M52" s="6">
        <f ca="1">_xlfn.NORM.INV(RAND(),AVERAGE(Assumptions!$D$14,Assumptions!$F$14),(Assumptions!$F$14-Assumptions!$D$14)/3.29)*44</f>
        <v>6424451.4111618567</v>
      </c>
      <c r="N52" s="9">
        <f ca="1">_xlfn.NORM.INV(RAND(),AVERAGE(Assumptions!$D$16,Assumptions!$F$16),(Assumptions!$F$16-Assumptions!$D$16)/3.29)*44</f>
        <v>12106095.220079672</v>
      </c>
      <c r="O52" s="12">
        <f ca="1">_xlfn.NORM.INV(RAND(),AVERAGE(Assumptions!$D$15,Assumptions!$F$15),(Assumptions!$F$15-Assumptions!$D$15)/3.29)*44</f>
        <v>93639238.754109472</v>
      </c>
      <c r="P52" s="15">
        <f>Assumptions!$D$18</f>
        <v>14641750.345627395</v>
      </c>
      <c r="Q52" s="3">
        <f t="shared" ca="1" si="0"/>
        <v>36490188.735156447</v>
      </c>
      <c r="R52" s="6">
        <f t="shared" ca="1" si="1"/>
        <v>51131939.080783844</v>
      </c>
    </row>
    <row r="53" spans="1:18">
      <c r="A53" s="20">
        <v>52</v>
      </c>
      <c r="B53" s="3">
        <f ca="1">_xlfn.NORM.INV(RAND(),AVERAGE(Assumptions!$D$4,Assumptions!$F$4),(Assumptions!$F$4-Assumptions!$D$4)/3.29)*44</f>
        <v>1256656.9630472218</v>
      </c>
      <c r="C53" s="6">
        <f ca="1">_xlfn.NORM.INV(RAND(),AVERAGE(Assumptions!$D$5,Assumptions!$F$5),(Assumptions!$F$5-Assumptions!$D$5)/3.29)*44</f>
        <v>1883674.8869030685</v>
      </c>
      <c r="D53" s="9">
        <f ca="1">_xlfn.NORM.INV(RAND(),AVERAGE(Assumptions!$D$6,Assumptions!$F$6),(Assumptions!$F$6-Assumptions!$D$6)/3.29)*RANDBETWEEN(2,5)</f>
        <v>3231067.5198699832</v>
      </c>
      <c r="E53" s="12">
        <f ca="1">_xlfn.NORM.INV(RAND(),AVERAGE(Assumptions!$D$17,Assumptions!$F$17),(Assumptions!$F$17-Assumptions!$D$17)/3.29)*8</f>
        <v>962353.96528659877</v>
      </c>
      <c r="F53" s="15">
        <f ca="1">_xlfn.NORM.INV(RAND(),AVERAGE(Assumptions!$D$7,Assumptions!$F$7),(Assumptions!$F$7-Assumptions!$D$7)/3.29)*RANDBETWEEN(1,3)</f>
        <v>1279190.0315154188</v>
      </c>
      <c r="G53" s="3">
        <f ca="1">_xlfn.NORM.INV(RAND(),AVERAGE(Assumptions!$D$8,Assumptions!$F$8),(Assumptions!$F$8-Assumptions!$D$8)/3.29)*44</f>
        <v>963792.54558829044</v>
      </c>
      <c r="H53" s="6">
        <f ca="1">_xlfn.NORM.INV(RAND(),AVERAGE(Assumptions!$D$9,Assumptions!$F$9),(Assumptions!$F$9-Assumptions!$D$9)/3.29)*21</f>
        <v>3708196.0537007572</v>
      </c>
      <c r="I53" s="9">
        <f ca="1">_xlfn.NORM.INV(RAND(),AVERAGE(Assumptions!$D$10,Assumptions!$F$10),(Assumptions!$F$10-Assumptions!$D$10)/3.29)*21</f>
        <v>968644.73068720684</v>
      </c>
      <c r="J53" s="12">
        <f ca="1">NORMINV(RAND(),AVERAGE(Assumptions!$D$11,Assumptions!$F$11),(Assumptions!$F$11-Assumptions!$D$11)/3.29)*44</f>
        <v>4747566.2603450064</v>
      </c>
      <c r="K53" s="15">
        <f ca="1">_xlfn.NORM.INV(RAND(),AVERAGE(Assumptions!$D$12,Assumptions!$F$12),(Assumptions!$F$12-Assumptions!$D$12)/3.29)*44</f>
        <v>6133618.9638772262</v>
      </c>
      <c r="L53" s="3">
        <f ca="1">_xlfn.NORM.INV(RAND(),AVERAGE(Assumptions!$D$13,Assumptions!$F$13),(Assumptions!$F$13-Assumptions!$D$13)/3.29)*44</f>
        <v>25180461.625076346</v>
      </c>
      <c r="M53" s="6">
        <f ca="1">_xlfn.NORM.INV(RAND(),AVERAGE(Assumptions!$D$14,Assumptions!$F$14),(Assumptions!$F$14-Assumptions!$D$14)/3.29)*44</f>
        <v>5702536.584662131</v>
      </c>
      <c r="N53" s="9">
        <f ca="1">_xlfn.NORM.INV(RAND(),AVERAGE(Assumptions!$D$16,Assumptions!$F$16),(Assumptions!$F$16-Assumptions!$D$16)/3.29)*44</f>
        <v>16426810.388459576</v>
      </c>
      <c r="O53" s="12">
        <f ca="1">_xlfn.NORM.INV(RAND(),AVERAGE(Assumptions!$D$15,Assumptions!$F$15),(Assumptions!$F$15-Assumptions!$D$15)/3.29)*44</f>
        <v>141329432.51535475</v>
      </c>
      <c r="P53" s="15">
        <f>Assumptions!$D$18</f>
        <v>14641750.345627395</v>
      </c>
      <c r="Q53" s="3">
        <f t="shared" ca="1" si="0"/>
        <v>68884861.996335924</v>
      </c>
      <c r="R53" s="6">
        <f t="shared" ca="1" si="1"/>
        <v>83526612.341963321</v>
      </c>
    </row>
    <row r="54" spans="1:18">
      <c r="A54" s="20">
        <v>53</v>
      </c>
      <c r="B54" s="3">
        <f ca="1">_xlfn.NORM.INV(RAND(),AVERAGE(Assumptions!$D$4,Assumptions!$F$4),(Assumptions!$F$4-Assumptions!$D$4)/3.29)*44</f>
        <v>1192768.4227014319</v>
      </c>
      <c r="C54" s="6">
        <f ca="1">_xlfn.NORM.INV(RAND(),AVERAGE(Assumptions!$D$5,Assumptions!$F$5),(Assumptions!$F$5-Assumptions!$D$5)/3.29)*44</f>
        <v>1758859.3414584189</v>
      </c>
      <c r="D54" s="9">
        <f ca="1">_xlfn.NORM.INV(RAND(),AVERAGE(Assumptions!$D$6,Assumptions!$F$6),(Assumptions!$F$6-Assumptions!$D$6)/3.29)*RANDBETWEEN(2,5)</f>
        <v>3560836.9076459464</v>
      </c>
      <c r="E54" s="12">
        <f ca="1">_xlfn.NORM.INV(RAND(),AVERAGE(Assumptions!$D$17,Assumptions!$F$17),(Assumptions!$F$17-Assumptions!$D$17)/3.29)*8</f>
        <v>812623.23363739275</v>
      </c>
      <c r="F54" s="15">
        <f ca="1">_xlfn.NORM.INV(RAND(),AVERAGE(Assumptions!$D$7,Assumptions!$F$7),(Assumptions!$F$7-Assumptions!$D$7)/3.29)*RANDBETWEEN(1,3)</f>
        <v>11381337.80515705</v>
      </c>
      <c r="G54" s="3">
        <f ca="1">_xlfn.NORM.INV(RAND(),AVERAGE(Assumptions!$D$8,Assumptions!$F$8),(Assumptions!$F$8-Assumptions!$D$8)/3.29)*44</f>
        <v>1188680.3963143453</v>
      </c>
      <c r="H54" s="6">
        <f ca="1">_xlfn.NORM.INV(RAND(),AVERAGE(Assumptions!$D$9,Assumptions!$F$9),(Assumptions!$F$9-Assumptions!$D$9)/3.29)*21</f>
        <v>4064170.5717901415</v>
      </c>
      <c r="I54" s="9">
        <f ca="1">_xlfn.NORM.INV(RAND(),AVERAGE(Assumptions!$D$10,Assumptions!$F$10),(Assumptions!$F$10-Assumptions!$D$10)/3.29)*21</f>
        <v>885880.35434181045</v>
      </c>
      <c r="J54" s="12">
        <f ca="1">NORMINV(RAND(),AVERAGE(Assumptions!$D$11,Assumptions!$F$11),(Assumptions!$F$11-Assumptions!$D$11)/3.29)*44</f>
        <v>1757155.7004290156</v>
      </c>
      <c r="K54" s="15">
        <f ca="1">_xlfn.NORM.INV(RAND(),AVERAGE(Assumptions!$D$12,Assumptions!$F$12),(Assumptions!$F$12-Assumptions!$D$12)/3.29)*44</f>
        <v>10080001.120063521</v>
      </c>
      <c r="L54" s="3">
        <f ca="1">_xlfn.NORM.INV(RAND(),AVERAGE(Assumptions!$D$13,Assumptions!$F$13),(Assumptions!$F$13-Assumptions!$D$13)/3.29)*44</f>
        <v>16067972.265334785</v>
      </c>
      <c r="M54" s="6">
        <f ca="1">_xlfn.NORM.INV(RAND(),AVERAGE(Assumptions!$D$14,Assumptions!$F$14),(Assumptions!$F$14-Assumptions!$D$14)/3.29)*44</f>
        <v>4228216.7118836828</v>
      </c>
      <c r="N54" s="9">
        <f ca="1">_xlfn.NORM.INV(RAND(),AVERAGE(Assumptions!$D$16,Assumptions!$F$16),(Assumptions!$F$16-Assumptions!$D$16)/3.29)*44</f>
        <v>2077525.9767033812</v>
      </c>
      <c r="O54" s="12">
        <f ca="1">_xlfn.NORM.INV(RAND(),AVERAGE(Assumptions!$D$15,Assumptions!$F$15),(Assumptions!$F$15-Assumptions!$D$15)/3.29)*44</f>
        <v>110332553.13917051</v>
      </c>
      <c r="P54" s="15">
        <f>Assumptions!$D$18</f>
        <v>14641750.345627395</v>
      </c>
      <c r="Q54" s="3">
        <f t="shared" ca="1" si="0"/>
        <v>51276524.331709586</v>
      </c>
      <c r="R54" s="6">
        <f t="shared" ca="1" si="1"/>
        <v>65918274.677336983</v>
      </c>
    </row>
    <row r="55" spans="1:18">
      <c r="A55" s="20">
        <v>54</v>
      </c>
      <c r="B55" s="3">
        <f ca="1">_xlfn.NORM.INV(RAND(),AVERAGE(Assumptions!$D$4,Assumptions!$F$4),(Assumptions!$F$4-Assumptions!$D$4)/3.29)*44</f>
        <v>1325443.0295850758</v>
      </c>
      <c r="C55" s="6">
        <f ca="1">_xlfn.NORM.INV(RAND(),AVERAGE(Assumptions!$D$5,Assumptions!$F$5),(Assumptions!$F$5-Assumptions!$D$5)/3.29)*44</f>
        <v>1765326.4321186659</v>
      </c>
      <c r="D55" s="9">
        <f ca="1">_xlfn.NORM.INV(RAND(),AVERAGE(Assumptions!$D$6,Assumptions!$F$6),(Assumptions!$F$6-Assumptions!$D$6)/3.29)*RANDBETWEEN(2,5)</f>
        <v>3413554.0977156637</v>
      </c>
      <c r="E55" s="12">
        <f ca="1">_xlfn.NORM.INV(RAND(),AVERAGE(Assumptions!$D$17,Assumptions!$F$17),(Assumptions!$F$17-Assumptions!$D$17)/3.29)*8</f>
        <v>1104619.0004879527</v>
      </c>
      <c r="F55" s="15">
        <f ca="1">_xlfn.NORM.INV(RAND(),AVERAGE(Assumptions!$D$7,Assumptions!$F$7),(Assumptions!$F$7-Assumptions!$D$7)/3.29)*RANDBETWEEN(1,3)</f>
        <v>2693628.3707917449</v>
      </c>
      <c r="G55" s="3">
        <f ca="1">_xlfn.NORM.INV(RAND(),AVERAGE(Assumptions!$D$8,Assumptions!$F$8),(Assumptions!$F$8-Assumptions!$D$8)/3.29)*44</f>
        <v>1072929.421234146</v>
      </c>
      <c r="H55" s="6">
        <f ca="1">_xlfn.NORM.INV(RAND(),AVERAGE(Assumptions!$D$9,Assumptions!$F$9),(Assumptions!$F$9-Assumptions!$D$9)/3.29)*21</f>
        <v>4182244.3849761607</v>
      </c>
      <c r="I55" s="9">
        <f ca="1">_xlfn.NORM.INV(RAND(),AVERAGE(Assumptions!$D$10,Assumptions!$F$10),(Assumptions!$F$10-Assumptions!$D$10)/3.29)*21</f>
        <v>910076.60291808099</v>
      </c>
      <c r="J55" s="12">
        <f ca="1">NORMINV(RAND(),AVERAGE(Assumptions!$D$11,Assumptions!$F$11),(Assumptions!$F$11-Assumptions!$D$11)/3.29)*44</f>
        <v>4315809.7052687323</v>
      </c>
      <c r="K55" s="15">
        <f ca="1">_xlfn.NORM.INV(RAND(),AVERAGE(Assumptions!$D$12,Assumptions!$F$12),(Assumptions!$F$12-Assumptions!$D$12)/3.29)*44</f>
        <v>8934494.4698621463</v>
      </c>
      <c r="L55" s="3">
        <f ca="1">_xlfn.NORM.INV(RAND(),AVERAGE(Assumptions!$D$13,Assumptions!$F$13),(Assumptions!$F$13-Assumptions!$D$13)/3.29)*44</f>
        <v>8124548.2349803448</v>
      </c>
      <c r="M55" s="6">
        <f ca="1">_xlfn.NORM.INV(RAND(),AVERAGE(Assumptions!$D$14,Assumptions!$F$14),(Assumptions!$F$14-Assumptions!$D$14)/3.29)*44</f>
        <v>6521987.8056575097</v>
      </c>
      <c r="N55" s="9">
        <f ca="1">_xlfn.NORM.INV(RAND(),AVERAGE(Assumptions!$D$16,Assumptions!$F$16),(Assumptions!$F$16-Assumptions!$D$16)/3.29)*44</f>
        <v>8115422.0024200268</v>
      </c>
      <c r="O55" s="12">
        <f ca="1">_xlfn.NORM.INV(RAND(),AVERAGE(Assumptions!$D$15,Assumptions!$F$15),(Assumptions!$F$15-Assumptions!$D$15)/3.29)*44</f>
        <v>93654538.263716787</v>
      </c>
      <c r="P55" s="15">
        <f>Assumptions!$D$18</f>
        <v>14641750.345627395</v>
      </c>
      <c r="Q55" s="3">
        <f t="shared" ca="1" si="0"/>
        <v>41174454.705700532</v>
      </c>
      <c r="R55" s="6">
        <f t="shared" ca="1" si="1"/>
        <v>55816205.051327929</v>
      </c>
    </row>
    <row r="56" spans="1:18">
      <c r="A56" s="20">
        <v>55</v>
      </c>
      <c r="B56" s="3">
        <f ca="1">_xlfn.NORM.INV(RAND(),AVERAGE(Assumptions!$D$4,Assumptions!$F$4),(Assumptions!$F$4-Assumptions!$D$4)/3.29)*44</f>
        <v>1126457.7735313319</v>
      </c>
      <c r="C56" s="6">
        <f ca="1">_xlfn.NORM.INV(RAND(),AVERAGE(Assumptions!$D$5,Assumptions!$F$5),(Assumptions!$F$5-Assumptions!$D$5)/3.29)*44</f>
        <v>1984192.4743477395</v>
      </c>
      <c r="D56" s="9">
        <f ca="1">_xlfn.NORM.INV(RAND(),AVERAGE(Assumptions!$D$6,Assumptions!$F$6),(Assumptions!$F$6-Assumptions!$D$6)/3.29)*RANDBETWEEN(2,5)</f>
        <v>2456571.1957364427</v>
      </c>
      <c r="E56" s="12">
        <f ca="1">_xlfn.NORM.INV(RAND(),AVERAGE(Assumptions!$D$17,Assumptions!$F$17),(Assumptions!$F$17-Assumptions!$D$17)/3.29)*8</f>
        <v>949773.57636688498</v>
      </c>
      <c r="F56" s="15">
        <f ca="1">_xlfn.NORM.INV(RAND(),AVERAGE(Assumptions!$D$7,Assumptions!$F$7),(Assumptions!$F$7-Assumptions!$D$7)/3.29)*RANDBETWEEN(1,3)</f>
        <v>7935148.880139593</v>
      </c>
      <c r="G56" s="3">
        <f ca="1">_xlfn.NORM.INV(RAND(),AVERAGE(Assumptions!$D$8,Assumptions!$F$8),(Assumptions!$F$8-Assumptions!$D$8)/3.29)*44</f>
        <v>1149655.8992394218</v>
      </c>
      <c r="H56" s="6">
        <f ca="1">_xlfn.NORM.INV(RAND(),AVERAGE(Assumptions!$D$9,Assumptions!$F$9),(Assumptions!$F$9-Assumptions!$D$9)/3.29)*21</f>
        <v>2474350.5377618931</v>
      </c>
      <c r="I56" s="9">
        <f ca="1">_xlfn.NORM.INV(RAND(),AVERAGE(Assumptions!$D$10,Assumptions!$F$10),(Assumptions!$F$10-Assumptions!$D$10)/3.29)*21</f>
        <v>469010.88654744514</v>
      </c>
      <c r="J56" s="12">
        <f ca="1">NORMINV(RAND(),AVERAGE(Assumptions!$D$11,Assumptions!$F$11),(Assumptions!$F$11-Assumptions!$D$11)/3.29)*44</f>
        <v>5579048.6874154778</v>
      </c>
      <c r="K56" s="15">
        <f ca="1">_xlfn.NORM.INV(RAND(),AVERAGE(Assumptions!$D$12,Assumptions!$F$12),(Assumptions!$F$12-Assumptions!$D$12)/3.29)*44</f>
        <v>8455185.3284865953</v>
      </c>
      <c r="L56" s="3">
        <f ca="1">_xlfn.NORM.INV(RAND(),AVERAGE(Assumptions!$D$13,Assumptions!$F$13),(Assumptions!$F$13-Assumptions!$D$13)/3.29)*44</f>
        <v>12732815.900684398</v>
      </c>
      <c r="M56" s="6">
        <f ca="1">_xlfn.NORM.INV(RAND(),AVERAGE(Assumptions!$D$14,Assumptions!$F$14),(Assumptions!$F$14-Assumptions!$D$14)/3.29)*44</f>
        <v>4763516.0882027317</v>
      </c>
      <c r="N56" s="9">
        <f ca="1">_xlfn.NORM.INV(RAND(),AVERAGE(Assumptions!$D$16,Assumptions!$F$16),(Assumptions!$F$16-Assumptions!$D$16)/3.29)*44</f>
        <v>15572796.709841667</v>
      </c>
      <c r="O56" s="12">
        <f ca="1">_xlfn.NORM.INV(RAND(),AVERAGE(Assumptions!$D$15,Assumptions!$F$15),(Assumptions!$F$15-Assumptions!$D$15)/3.29)*44</f>
        <v>111966811.8800377</v>
      </c>
      <c r="P56" s="15">
        <f>Assumptions!$D$18</f>
        <v>14641750.345627395</v>
      </c>
      <c r="Q56" s="3">
        <f t="shared" ca="1" si="0"/>
        <v>46318287.941736072</v>
      </c>
      <c r="R56" s="6">
        <f t="shared" ca="1" si="1"/>
        <v>60960038.28736347</v>
      </c>
    </row>
    <row r="57" spans="1:18">
      <c r="A57" s="20">
        <v>56</v>
      </c>
      <c r="B57" s="3">
        <f ca="1">_xlfn.NORM.INV(RAND(),AVERAGE(Assumptions!$D$4,Assumptions!$F$4),(Assumptions!$F$4-Assumptions!$D$4)/3.29)*44</f>
        <v>1253841.8440927113</v>
      </c>
      <c r="C57" s="6">
        <f ca="1">_xlfn.NORM.INV(RAND(),AVERAGE(Assumptions!$D$5,Assumptions!$F$5),(Assumptions!$F$5-Assumptions!$D$5)/3.29)*44</f>
        <v>2273227.0106760133</v>
      </c>
      <c r="D57" s="9">
        <f ca="1">_xlfn.NORM.INV(RAND(),AVERAGE(Assumptions!$D$6,Assumptions!$F$6),(Assumptions!$F$6-Assumptions!$D$6)/3.29)*RANDBETWEEN(2,5)</f>
        <v>3820138.4453988867</v>
      </c>
      <c r="E57" s="12">
        <f ca="1">_xlfn.NORM.INV(RAND(),AVERAGE(Assumptions!$D$17,Assumptions!$F$17),(Assumptions!$F$17-Assumptions!$D$17)/3.29)*8</f>
        <v>918509.66199365479</v>
      </c>
      <c r="F57" s="15">
        <f ca="1">_xlfn.NORM.INV(RAND(),AVERAGE(Assumptions!$D$7,Assumptions!$F$7),(Assumptions!$F$7-Assumptions!$D$7)/3.29)*RANDBETWEEN(1,3)</f>
        <v>2666485.2880494227</v>
      </c>
      <c r="G57" s="3">
        <f ca="1">_xlfn.NORM.INV(RAND(),AVERAGE(Assumptions!$D$8,Assumptions!$F$8),(Assumptions!$F$8-Assumptions!$D$8)/3.29)*44</f>
        <v>1179747.485718596</v>
      </c>
      <c r="H57" s="6">
        <f ca="1">_xlfn.NORM.INV(RAND(),AVERAGE(Assumptions!$D$9,Assumptions!$F$9),(Assumptions!$F$9-Assumptions!$D$9)/3.29)*21</f>
        <v>5036175.6560631944</v>
      </c>
      <c r="I57" s="9">
        <f ca="1">_xlfn.NORM.INV(RAND(),AVERAGE(Assumptions!$D$10,Assumptions!$F$10),(Assumptions!$F$10-Assumptions!$D$10)/3.29)*21</f>
        <v>1289871.6503034453</v>
      </c>
      <c r="J57" s="12">
        <f ca="1">NORMINV(RAND(),AVERAGE(Assumptions!$D$11,Assumptions!$F$11),(Assumptions!$F$11-Assumptions!$D$11)/3.29)*44</f>
        <v>3294532.3970815344</v>
      </c>
      <c r="K57" s="15">
        <f ca="1">_xlfn.NORM.INV(RAND(),AVERAGE(Assumptions!$D$12,Assumptions!$F$12),(Assumptions!$F$12-Assumptions!$D$12)/3.29)*44</f>
        <v>6520301.7038105102</v>
      </c>
      <c r="L57" s="3">
        <f ca="1">_xlfn.NORM.INV(RAND(),AVERAGE(Assumptions!$D$13,Assumptions!$F$13),(Assumptions!$F$13-Assumptions!$D$13)/3.29)*44</f>
        <v>13289981.047658972</v>
      </c>
      <c r="M57" s="6">
        <f ca="1">_xlfn.NORM.INV(RAND(),AVERAGE(Assumptions!$D$14,Assumptions!$F$14),(Assumptions!$F$14-Assumptions!$D$14)/3.29)*44</f>
        <v>5706085.8811799735</v>
      </c>
      <c r="N57" s="9">
        <f ca="1">_xlfn.NORM.INV(RAND(),AVERAGE(Assumptions!$D$16,Assumptions!$F$16),(Assumptions!$F$16-Assumptions!$D$16)/3.29)*44</f>
        <v>12414548.692954922</v>
      </c>
      <c r="O57" s="12">
        <f ca="1">_xlfn.NORM.INV(RAND(),AVERAGE(Assumptions!$D$15,Assumptions!$F$15),(Assumptions!$F$15-Assumptions!$D$15)/3.29)*44</f>
        <v>121701877.16782463</v>
      </c>
      <c r="P57" s="15">
        <f>Assumptions!$D$18</f>
        <v>14641750.345627395</v>
      </c>
      <c r="Q57" s="3">
        <f t="shared" ca="1" si="0"/>
        <v>62038430.402842797</v>
      </c>
      <c r="R57" s="6">
        <f t="shared" ca="1" si="1"/>
        <v>76680180.748470187</v>
      </c>
    </row>
    <row r="58" spans="1:18">
      <c r="A58" s="20">
        <v>57</v>
      </c>
      <c r="B58" s="3">
        <f ca="1">_xlfn.NORM.INV(RAND(),AVERAGE(Assumptions!$D$4,Assumptions!$F$4),(Assumptions!$F$4-Assumptions!$D$4)/3.29)*44</f>
        <v>1177821.3104032546</v>
      </c>
      <c r="C58" s="6">
        <f ca="1">_xlfn.NORM.INV(RAND(),AVERAGE(Assumptions!$D$5,Assumptions!$F$5),(Assumptions!$F$5-Assumptions!$D$5)/3.29)*44</f>
        <v>2042408.136412512</v>
      </c>
      <c r="D58" s="9">
        <f ca="1">_xlfn.NORM.INV(RAND(),AVERAGE(Assumptions!$D$6,Assumptions!$F$6),(Assumptions!$F$6-Assumptions!$D$6)/3.29)*RANDBETWEEN(2,5)</f>
        <v>8332494.0730836326</v>
      </c>
      <c r="E58" s="12">
        <f ca="1">_xlfn.NORM.INV(RAND(),AVERAGE(Assumptions!$D$17,Assumptions!$F$17),(Assumptions!$F$17-Assumptions!$D$17)/3.29)*8</f>
        <v>1019623.8495708511</v>
      </c>
      <c r="F58" s="15">
        <f ca="1">_xlfn.NORM.INV(RAND(),AVERAGE(Assumptions!$D$7,Assumptions!$F$7),(Assumptions!$F$7-Assumptions!$D$7)/3.29)*RANDBETWEEN(1,3)</f>
        <v>2574666.8276223489</v>
      </c>
      <c r="G58" s="3">
        <f ca="1">_xlfn.NORM.INV(RAND(),AVERAGE(Assumptions!$D$8,Assumptions!$F$8),(Assumptions!$F$8-Assumptions!$D$8)/3.29)*44</f>
        <v>1004737.1854671622</v>
      </c>
      <c r="H58" s="6">
        <f ca="1">_xlfn.NORM.INV(RAND(),AVERAGE(Assumptions!$D$9,Assumptions!$F$9),(Assumptions!$F$9-Assumptions!$D$9)/3.29)*21</f>
        <v>3924958.3038714151</v>
      </c>
      <c r="I58" s="9">
        <f ca="1">_xlfn.NORM.INV(RAND(),AVERAGE(Assumptions!$D$10,Assumptions!$F$10),(Assumptions!$F$10-Assumptions!$D$10)/3.29)*21</f>
        <v>713708.34495517716</v>
      </c>
      <c r="J58" s="12">
        <f ca="1">NORMINV(RAND(),AVERAGE(Assumptions!$D$11,Assumptions!$F$11),(Assumptions!$F$11-Assumptions!$D$11)/3.29)*44</f>
        <v>5088733.1996634416</v>
      </c>
      <c r="K58" s="15">
        <f ca="1">_xlfn.NORM.INV(RAND(),AVERAGE(Assumptions!$D$12,Assumptions!$F$12),(Assumptions!$F$12-Assumptions!$D$12)/3.29)*44</f>
        <v>8260329.4014162067</v>
      </c>
      <c r="L58" s="3">
        <f ca="1">_xlfn.NORM.INV(RAND(),AVERAGE(Assumptions!$D$13,Assumptions!$F$13),(Assumptions!$F$13-Assumptions!$D$13)/3.29)*44</f>
        <v>24189993.330559231</v>
      </c>
      <c r="M58" s="6">
        <f ca="1">_xlfn.NORM.INV(RAND(),AVERAGE(Assumptions!$D$14,Assumptions!$F$14),(Assumptions!$F$14-Assumptions!$D$14)/3.29)*44</f>
        <v>5724968.6361741964</v>
      </c>
      <c r="N58" s="9">
        <f ca="1">_xlfn.NORM.INV(RAND(),AVERAGE(Assumptions!$D$16,Assumptions!$F$16),(Assumptions!$F$16-Assumptions!$D$16)/3.29)*44</f>
        <v>6376830.3675654903</v>
      </c>
      <c r="O58" s="12">
        <f ca="1">_xlfn.NORM.INV(RAND(),AVERAGE(Assumptions!$D$15,Assumptions!$F$15),(Assumptions!$F$15-Assumptions!$D$15)/3.29)*44</f>
        <v>162647138.87286007</v>
      </c>
      <c r="P58" s="15">
        <f>Assumptions!$D$18</f>
        <v>14641750.345627395</v>
      </c>
      <c r="Q58" s="3">
        <f t="shared" ca="1" si="0"/>
        <v>92215865.906095162</v>
      </c>
      <c r="R58" s="6">
        <f t="shared" ca="1" si="1"/>
        <v>106857616.25172256</v>
      </c>
    </row>
    <row r="59" spans="1:18">
      <c r="A59" s="20">
        <v>58</v>
      </c>
      <c r="B59" s="3">
        <f ca="1">_xlfn.NORM.INV(RAND(),AVERAGE(Assumptions!$D$4,Assumptions!$F$4),(Assumptions!$F$4-Assumptions!$D$4)/3.29)*44</f>
        <v>1175763.583216154</v>
      </c>
      <c r="C59" s="6">
        <f ca="1">_xlfn.NORM.INV(RAND(),AVERAGE(Assumptions!$D$5,Assumptions!$F$5),(Assumptions!$F$5-Assumptions!$D$5)/3.29)*44</f>
        <v>1643134.3319580548</v>
      </c>
      <c r="D59" s="9">
        <f ca="1">_xlfn.NORM.INV(RAND(),AVERAGE(Assumptions!$D$6,Assumptions!$F$6),(Assumptions!$F$6-Assumptions!$D$6)/3.29)*RANDBETWEEN(2,5)</f>
        <v>1525846.5647956925</v>
      </c>
      <c r="E59" s="12">
        <f ca="1">_xlfn.NORM.INV(RAND(),AVERAGE(Assumptions!$D$17,Assumptions!$F$17),(Assumptions!$F$17-Assumptions!$D$17)/3.29)*8</f>
        <v>900270.0071650343</v>
      </c>
      <c r="F59" s="15">
        <f ca="1">_xlfn.NORM.INV(RAND(),AVERAGE(Assumptions!$D$7,Assumptions!$F$7),(Assumptions!$F$7-Assumptions!$D$7)/3.29)*RANDBETWEEN(1,3)</f>
        <v>8271286.2437843643</v>
      </c>
      <c r="G59" s="3">
        <f ca="1">_xlfn.NORM.INV(RAND(),AVERAGE(Assumptions!$D$8,Assumptions!$F$8),(Assumptions!$F$8-Assumptions!$D$8)/3.29)*44</f>
        <v>1103674.7927012835</v>
      </c>
      <c r="H59" s="6">
        <f ca="1">_xlfn.NORM.INV(RAND(),AVERAGE(Assumptions!$D$9,Assumptions!$F$9),(Assumptions!$F$9-Assumptions!$D$9)/3.29)*21</f>
        <v>6086893.5339914514</v>
      </c>
      <c r="I59" s="9">
        <f ca="1">_xlfn.NORM.INV(RAND(),AVERAGE(Assumptions!$D$10,Assumptions!$F$10),(Assumptions!$F$10-Assumptions!$D$10)/3.29)*21</f>
        <v>639819.86704013962</v>
      </c>
      <c r="J59" s="12">
        <f ca="1">NORMINV(RAND(),AVERAGE(Assumptions!$D$11,Assumptions!$F$11),(Assumptions!$F$11-Assumptions!$D$11)/3.29)*44</f>
        <v>2219301.3077940778</v>
      </c>
      <c r="K59" s="15">
        <f ca="1">_xlfn.NORM.INV(RAND(),AVERAGE(Assumptions!$D$12,Assumptions!$F$12),(Assumptions!$F$12-Assumptions!$D$12)/3.29)*44</f>
        <v>10113481.990928603</v>
      </c>
      <c r="L59" s="3">
        <f ca="1">_xlfn.NORM.INV(RAND(),AVERAGE(Assumptions!$D$13,Assumptions!$F$13),(Assumptions!$F$13-Assumptions!$D$13)/3.29)*44</f>
        <v>16437993.359416699</v>
      </c>
      <c r="M59" s="6">
        <f ca="1">_xlfn.NORM.INV(RAND(),AVERAGE(Assumptions!$D$14,Assumptions!$F$14),(Assumptions!$F$14-Assumptions!$D$14)/3.29)*44</f>
        <v>7628173.6375068361</v>
      </c>
      <c r="N59" s="9">
        <f ca="1">_xlfn.NORM.INV(RAND(),AVERAGE(Assumptions!$D$16,Assumptions!$F$16),(Assumptions!$F$16-Assumptions!$D$16)/3.29)*44</f>
        <v>14048208.285234502</v>
      </c>
      <c r="O59" s="12">
        <f ca="1">_xlfn.NORM.INV(RAND(),AVERAGE(Assumptions!$D$15,Assumptions!$F$15),(Assumptions!$F$15-Assumptions!$D$15)/3.29)*44</f>
        <v>217115711.77986965</v>
      </c>
      <c r="P59" s="15">
        <f>Assumptions!$D$18</f>
        <v>14641750.345627395</v>
      </c>
      <c r="Q59" s="3">
        <f t="shared" ca="1" si="0"/>
        <v>145321864.27433676</v>
      </c>
      <c r="R59" s="6">
        <f t="shared" ca="1" si="1"/>
        <v>159963614.61996415</v>
      </c>
    </row>
    <row r="60" spans="1:18">
      <c r="A60" s="20">
        <v>59</v>
      </c>
      <c r="B60" s="3">
        <f ca="1">_xlfn.NORM.INV(RAND(),AVERAGE(Assumptions!$D$4,Assumptions!$F$4),(Assumptions!$F$4-Assumptions!$D$4)/3.29)*44</f>
        <v>1240474.1827043011</v>
      </c>
      <c r="C60" s="6">
        <f ca="1">_xlfn.NORM.INV(RAND(),AVERAGE(Assumptions!$D$5,Assumptions!$F$5),(Assumptions!$F$5-Assumptions!$D$5)/3.29)*44</f>
        <v>1843238.3581585991</v>
      </c>
      <c r="D60" s="9">
        <f ca="1">_xlfn.NORM.INV(RAND(),AVERAGE(Assumptions!$D$6,Assumptions!$F$6),(Assumptions!$F$6-Assumptions!$D$6)/3.29)*RANDBETWEEN(2,5)</f>
        <v>4799802.0073707774</v>
      </c>
      <c r="E60" s="12">
        <f ca="1">_xlfn.NORM.INV(RAND(),AVERAGE(Assumptions!$D$17,Assumptions!$F$17),(Assumptions!$F$17-Assumptions!$D$17)/3.29)*8</f>
        <v>1025465.0430403322</v>
      </c>
      <c r="F60" s="15">
        <f ca="1">_xlfn.NORM.INV(RAND(),AVERAGE(Assumptions!$D$7,Assumptions!$F$7),(Assumptions!$F$7-Assumptions!$D$7)/3.29)*RANDBETWEEN(1,3)</f>
        <v>2032269.4125635293</v>
      </c>
      <c r="G60" s="3">
        <f ca="1">_xlfn.NORM.INV(RAND(),AVERAGE(Assumptions!$D$8,Assumptions!$F$8),(Assumptions!$F$8-Assumptions!$D$8)/3.29)*44</f>
        <v>964575.81810284534</v>
      </c>
      <c r="H60" s="6">
        <f ca="1">_xlfn.NORM.INV(RAND(),AVERAGE(Assumptions!$D$9,Assumptions!$F$9),(Assumptions!$F$9-Assumptions!$D$9)/3.29)*21</f>
        <v>4155862.1551126484</v>
      </c>
      <c r="I60" s="9">
        <f ca="1">_xlfn.NORM.INV(RAND(),AVERAGE(Assumptions!$D$10,Assumptions!$F$10),(Assumptions!$F$10-Assumptions!$D$10)/3.29)*21</f>
        <v>1156288.5239963476</v>
      </c>
      <c r="J60" s="12">
        <f ca="1">NORMINV(RAND(),AVERAGE(Assumptions!$D$11,Assumptions!$F$11),(Assumptions!$F$11-Assumptions!$D$11)/3.29)*44</f>
        <v>4551402.4545345735</v>
      </c>
      <c r="K60" s="15">
        <f ca="1">_xlfn.NORM.INV(RAND(),AVERAGE(Assumptions!$D$12,Assumptions!$F$12),(Assumptions!$F$12-Assumptions!$D$12)/3.29)*44</f>
        <v>9019063.4780137204</v>
      </c>
      <c r="L60" s="3">
        <f ca="1">_xlfn.NORM.INV(RAND(),AVERAGE(Assumptions!$D$13,Assumptions!$F$13),(Assumptions!$F$13-Assumptions!$D$13)/3.29)*44</f>
        <v>5605540.2647499489</v>
      </c>
      <c r="M60" s="6">
        <f ca="1">_xlfn.NORM.INV(RAND(),AVERAGE(Assumptions!$D$14,Assumptions!$F$14),(Assumptions!$F$14-Assumptions!$D$14)/3.29)*44</f>
        <v>8257101.5381508498</v>
      </c>
      <c r="N60" s="9">
        <f ca="1">_xlfn.NORM.INV(RAND(),AVERAGE(Assumptions!$D$16,Assumptions!$F$16),(Assumptions!$F$16-Assumptions!$D$16)/3.29)*44</f>
        <v>10262403.336022874</v>
      </c>
      <c r="O60" s="12">
        <f ca="1">_xlfn.NORM.INV(RAND(),AVERAGE(Assumptions!$D$15,Assumptions!$F$15),(Assumptions!$F$15-Assumptions!$D$15)/3.29)*44</f>
        <v>119257585.8319217</v>
      </c>
      <c r="P60" s="15">
        <f>Assumptions!$D$18</f>
        <v>14641750.345627395</v>
      </c>
      <c r="Q60" s="3">
        <f t="shared" ca="1" si="0"/>
        <v>64344099.259400345</v>
      </c>
      <c r="R60" s="6">
        <f t="shared" ca="1" si="1"/>
        <v>78985849.605027735</v>
      </c>
    </row>
    <row r="61" spans="1:18">
      <c r="A61" s="20">
        <v>60</v>
      </c>
      <c r="B61" s="3">
        <f ca="1">_xlfn.NORM.INV(RAND(),AVERAGE(Assumptions!$D$4,Assumptions!$F$4),(Assumptions!$F$4-Assumptions!$D$4)/3.29)*44</f>
        <v>1205179.0662690247</v>
      </c>
      <c r="C61" s="6">
        <f ca="1">_xlfn.NORM.INV(RAND(),AVERAGE(Assumptions!$D$5,Assumptions!$F$5),(Assumptions!$F$5-Assumptions!$D$5)/3.29)*44</f>
        <v>1735664.3594036426</v>
      </c>
      <c r="D61" s="9">
        <f ca="1">_xlfn.NORM.INV(RAND(),AVERAGE(Assumptions!$D$6,Assumptions!$F$6),(Assumptions!$F$6-Assumptions!$D$6)/3.29)*RANDBETWEEN(2,5)</f>
        <v>4018178.9010709068</v>
      </c>
      <c r="E61" s="12">
        <f ca="1">_xlfn.NORM.INV(RAND(),AVERAGE(Assumptions!$D$17,Assumptions!$F$17),(Assumptions!$F$17-Assumptions!$D$17)/3.29)*8</f>
        <v>840708.74804937991</v>
      </c>
      <c r="F61" s="15">
        <f ca="1">_xlfn.NORM.INV(RAND(),AVERAGE(Assumptions!$D$7,Assumptions!$F$7),(Assumptions!$F$7-Assumptions!$D$7)/3.29)*RANDBETWEEN(1,3)</f>
        <v>3536000.4326467565</v>
      </c>
      <c r="G61" s="3">
        <f ca="1">_xlfn.NORM.INV(RAND(),AVERAGE(Assumptions!$D$8,Assumptions!$F$8),(Assumptions!$F$8-Assumptions!$D$8)/3.29)*44</f>
        <v>969315.69646093971</v>
      </c>
      <c r="H61" s="6">
        <f ca="1">_xlfn.NORM.INV(RAND(),AVERAGE(Assumptions!$D$9,Assumptions!$F$9),(Assumptions!$F$9-Assumptions!$D$9)/3.29)*21</f>
        <v>3299324.7406139886</v>
      </c>
      <c r="I61" s="9">
        <f ca="1">_xlfn.NORM.INV(RAND(),AVERAGE(Assumptions!$D$10,Assumptions!$F$10),(Assumptions!$F$10-Assumptions!$D$10)/3.29)*21</f>
        <v>849244.71889409632</v>
      </c>
      <c r="J61" s="12">
        <f ca="1">NORMINV(RAND(),AVERAGE(Assumptions!$D$11,Assumptions!$F$11),(Assumptions!$F$11-Assumptions!$D$11)/3.29)*44</f>
        <v>1948143.616339019</v>
      </c>
      <c r="K61" s="15">
        <f ca="1">_xlfn.NORM.INV(RAND(),AVERAGE(Assumptions!$D$12,Assumptions!$F$12),(Assumptions!$F$12-Assumptions!$D$12)/3.29)*44</f>
        <v>10323550.936203724</v>
      </c>
      <c r="L61" s="3">
        <f ca="1">_xlfn.NORM.INV(RAND(),AVERAGE(Assumptions!$D$13,Assumptions!$F$13),(Assumptions!$F$13-Assumptions!$D$13)/3.29)*44</f>
        <v>21292904.336449452</v>
      </c>
      <c r="M61" s="6">
        <f ca="1">_xlfn.NORM.INV(RAND(),AVERAGE(Assumptions!$D$14,Assumptions!$F$14),(Assumptions!$F$14-Assumptions!$D$14)/3.29)*44</f>
        <v>6171663.3943044879</v>
      </c>
      <c r="N61" s="9">
        <f ca="1">_xlfn.NORM.INV(RAND(),AVERAGE(Assumptions!$D$16,Assumptions!$F$16),(Assumptions!$F$16-Assumptions!$D$16)/3.29)*44</f>
        <v>10375301.038939523</v>
      </c>
      <c r="O61" s="12">
        <f ca="1">_xlfn.NORM.INV(RAND(),AVERAGE(Assumptions!$D$15,Assumptions!$F$15),(Assumptions!$F$15-Assumptions!$D$15)/3.29)*44</f>
        <v>34110050.285115995</v>
      </c>
      <c r="P61" s="15">
        <f>Assumptions!$D$18</f>
        <v>14641750.345627395</v>
      </c>
      <c r="Q61" s="3">
        <f t="shared" ca="1" si="0"/>
        <v>-32455129.700528942</v>
      </c>
      <c r="R61" s="6">
        <f t="shared" ca="1" si="1"/>
        <v>-17813379.354901545</v>
      </c>
    </row>
    <row r="62" spans="1:18">
      <c r="A62" s="20">
        <v>61</v>
      </c>
      <c r="B62" s="3">
        <f ca="1">_xlfn.NORM.INV(RAND(),AVERAGE(Assumptions!$D$4,Assumptions!$F$4),(Assumptions!$F$4-Assumptions!$D$4)/3.29)*44</f>
        <v>1136815.0122680559</v>
      </c>
      <c r="C62" s="6">
        <f ca="1">_xlfn.NORM.INV(RAND(),AVERAGE(Assumptions!$D$5,Assumptions!$F$5),(Assumptions!$F$5-Assumptions!$D$5)/3.29)*44</f>
        <v>1587070.9738915449</v>
      </c>
      <c r="D62" s="9">
        <f ca="1">_xlfn.NORM.INV(RAND(),AVERAGE(Assumptions!$D$6,Assumptions!$F$6),(Assumptions!$F$6-Assumptions!$D$6)/3.29)*RANDBETWEEN(2,5)</f>
        <v>2775432.0441747522</v>
      </c>
      <c r="E62" s="12">
        <f ca="1">_xlfn.NORM.INV(RAND(),AVERAGE(Assumptions!$D$17,Assumptions!$F$17),(Assumptions!$F$17-Assumptions!$D$17)/3.29)*8</f>
        <v>943855.42543560138</v>
      </c>
      <c r="F62" s="15">
        <f ca="1">_xlfn.NORM.INV(RAND(),AVERAGE(Assumptions!$D$7,Assumptions!$F$7),(Assumptions!$F$7-Assumptions!$D$7)/3.29)*RANDBETWEEN(1,3)</f>
        <v>9121596.0833188966</v>
      </c>
      <c r="G62" s="3">
        <f ca="1">_xlfn.NORM.INV(RAND(),AVERAGE(Assumptions!$D$8,Assumptions!$F$8),(Assumptions!$F$8-Assumptions!$D$8)/3.29)*44</f>
        <v>1666863.9823188612</v>
      </c>
      <c r="H62" s="6">
        <f ca="1">_xlfn.NORM.INV(RAND(),AVERAGE(Assumptions!$D$9,Assumptions!$F$9),(Assumptions!$F$9-Assumptions!$D$9)/3.29)*21</f>
        <v>3157761.2092695986</v>
      </c>
      <c r="I62" s="9">
        <f ca="1">_xlfn.NORM.INV(RAND(),AVERAGE(Assumptions!$D$10,Assumptions!$F$10),(Assumptions!$F$10-Assumptions!$D$10)/3.29)*21</f>
        <v>894687.81702681014</v>
      </c>
      <c r="J62" s="12">
        <f ca="1">NORMINV(RAND(),AVERAGE(Assumptions!$D$11,Assumptions!$F$11),(Assumptions!$F$11-Assumptions!$D$11)/3.29)*44</f>
        <v>3117036.7758613206</v>
      </c>
      <c r="K62" s="15">
        <f ca="1">_xlfn.NORM.INV(RAND(),AVERAGE(Assumptions!$D$12,Assumptions!$F$12),(Assumptions!$F$12-Assumptions!$D$12)/3.29)*44</f>
        <v>10209326.309331993</v>
      </c>
      <c r="L62" s="3">
        <f ca="1">_xlfn.NORM.INV(RAND(),AVERAGE(Assumptions!$D$13,Assumptions!$F$13),(Assumptions!$F$13-Assumptions!$D$13)/3.29)*44</f>
        <v>16747585.156584384</v>
      </c>
      <c r="M62" s="6">
        <f ca="1">_xlfn.NORM.INV(RAND(),AVERAGE(Assumptions!$D$14,Assumptions!$F$14),(Assumptions!$F$14-Assumptions!$D$14)/3.29)*44</f>
        <v>4184073.572946066</v>
      </c>
      <c r="N62" s="9">
        <f ca="1">_xlfn.NORM.INV(RAND(),AVERAGE(Assumptions!$D$16,Assumptions!$F$16),(Assumptions!$F$16-Assumptions!$D$16)/3.29)*44</f>
        <v>11979317.697843812</v>
      </c>
      <c r="O62" s="12">
        <f ca="1">_xlfn.NORM.INV(RAND(),AVERAGE(Assumptions!$D$15,Assumptions!$F$15),(Assumptions!$F$15-Assumptions!$D$15)/3.29)*44</f>
        <v>30588995.581518922</v>
      </c>
      <c r="P62" s="15">
        <f>Assumptions!$D$18</f>
        <v>14641750.345627395</v>
      </c>
      <c r="Q62" s="3">
        <f t="shared" ca="1" si="0"/>
        <v>-36932426.478752777</v>
      </c>
      <c r="R62" s="6">
        <f t="shared" ca="1" si="1"/>
        <v>-22290676.13312538</v>
      </c>
    </row>
    <row r="63" spans="1:18">
      <c r="A63" s="20">
        <v>62</v>
      </c>
      <c r="B63" s="3">
        <f ca="1">_xlfn.NORM.INV(RAND(),AVERAGE(Assumptions!$D$4,Assumptions!$F$4),(Assumptions!$F$4-Assumptions!$D$4)/3.29)*44</f>
        <v>1216461.204428762</v>
      </c>
      <c r="C63" s="6">
        <f ca="1">_xlfn.NORM.INV(RAND(),AVERAGE(Assumptions!$D$5,Assumptions!$F$5),(Assumptions!$F$5-Assumptions!$D$5)/3.29)*44</f>
        <v>1888074.4572962415</v>
      </c>
      <c r="D63" s="9">
        <f ca="1">_xlfn.NORM.INV(RAND(),AVERAGE(Assumptions!$D$6,Assumptions!$F$6),(Assumptions!$F$6-Assumptions!$D$6)/3.29)*RANDBETWEEN(2,5)</f>
        <v>1396037.7669255403</v>
      </c>
      <c r="E63" s="12">
        <f ca="1">_xlfn.NORM.INV(RAND(),AVERAGE(Assumptions!$D$17,Assumptions!$F$17),(Assumptions!$F$17-Assumptions!$D$17)/3.29)*8</f>
        <v>887631.90961428115</v>
      </c>
      <c r="F63" s="15">
        <f ca="1">_xlfn.NORM.INV(RAND(),AVERAGE(Assumptions!$D$7,Assumptions!$F$7),(Assumptions!$F$7-Assumptions!$D$7)/3.29)*RANDBETWEEN(1,3)</f>
        <v>9574843.257399153</v>
      </c>
      <c r="G63" s="3">
        <f ca="1">_xlfn.NORM.INV(RAND(),AVERAGE(Assumptions!$D$8,Assumptions!$F$8),(Assumptions!$F$8-Assumptions!$D$8)/3.29)*44</f>
        <v>1577725.4135005814</v>
      </c>
      <c r="H63" s="6">
        <f ca="1">_xlfn.NORM.INV(RAND(),AVERAGE(Assumptions!$D$9,Assumptions!$F$9),(Assumptions!$F$9-Assumptions!$D$9)/3.29)*21</f>
        <v>2865094.9878160963</v>
      </c>
      <c r="I63" s="9">
        <f ca="1">_xlfn.NORM.INV(RAND(),AVERAGE(Assumptions!$D$10,Assumptions!$F$10),(Assumptions!$F$10-Assumptions!$D$10)/3.29)*21</f>
        <v>835296.39311180252</v>
      </c>
      <c r="J63" s="12">
        <f ca="1">NORMINV(RAND(),AVERAGE(Assumptions!$D$11,Assumptions!$F$11),(Assumptions!$F$11-Assumptions!$D$11)/3.29)*44</f>
        <v>4837691.3543374734</v>
      </c>
      <c r="K63" s="15">
        <f ca="1">_xlfn.NORM.INV(RAND(),AVERAGE(Assumptions!$D$12,Assumptions!$F$12),(Assumptions!$F$12-Assumptions!$D$12)/3.29)*44</f>
        <v>9159646.7993000969</v>
      </c>
      <c r="L63" s="3">
        <f ca="1">_xlfn.NORM.INV(RAND(),AVERAGE(Assumptions!$D$13,Assumptions!$F$13),(Assumptions!$F$13-Assumptions!$D$13)/3.29)*44</f>
        <v>20126848.374219913</v>
      </c>
      <c r="M63" s="6">
        <f ca="1">_xlfn.NORM.INV(RAND(),AVERAGE(Assumptions!$D$14,Assumptions!$F$14),(Assumptions!$F$14-Assumptions!$D$14)/3.29)*44</f>
        <v>4710215.2537393477</v>
      </c>
      <c r="N63" s="9">
        <f ca="1">_xlfn.NORM.INV(RAND(),AVERAGE(Assumptions!$D$16,Assumptions!$F$16),(Assumptions!$F$16-Assumptions!$D$16)/3.29)*44</f>
        <v>11985073.808050204</v>
      </c>
      <c r="O63" s="12">
        <f ca="1">_xlfn.NORM.INV(RAND(),AVERAGE(Assumptions!$D$15,Assumptions!$F$15),(Assumptions!$F$15-Assumptions!$D$15)/3.29)*44</f>
        <v>93765002.018233955</v>
      </c>
      <c r="P63" s="15">
        <f>Assumptions!$D$18</f>
        <v>14641750.345627395</v>
      </c>
      <c r="Q63" s="3">
        <f t="shared" ca="1" si="0"/>
        <v>22704361.038494468</v>
      </c>
      <c r="R63" s="6">
        <f t="shared" ca="1" si="1"/>
        <v>37346111.384121865</v>
      </c>
    </row>
    <row r="64" spans="1:18">
      <c r="A64" s="20">
        <v>63</v>
      </c>
      <c r="B64" s="3">
        <f ca="1">_xlfn.NORM.INV(RAND(),AVERAGE(Assumptions!$D$4,Assumptions!$F$4),(Assumptions!$F$4-Assumptions!$D$4)/3.29)*44</f>
        <v>1073354.0085456979</v>
      </c>
      <c r="C64" s="6">
        <f ca="1">_xlfn.NORM.INV(RAND(),AVERAGE(Assumptions!$D$5,Assumptions!$F$5),(Assumptions!$F$5-Assumptions!$D$5)/3.29)*44</f>
        <v>1712728.4322576055</v>
      </c>
      <c r="D64" s="9">
        <f ca="1">_xlfn.NORM.INV(RAND(),AVERAGE(Assumptions!$D$6,Assumptions!$F$6),(Assumptions!$F$6-Assumptions!$D$6)/3.29)*RANDBETWEEN(2,5)</f>
        <v>2239708.4402941572</v>
      </c>
      <c r="E64" s="12">
        <f ca="1">_xlfn.NORM.INV(RAND(),AVERAGE(Assumptions!$D$17,Assumptions!$F$17),(Assumptions!$F$17-Assumptions!$D$17)/3.29)*8</f>
        <v>977027.40214478306</v>
      </c>
      <c r="F64" s="15">
        <f ca="1">_xlfn.NORM.INV(RAND(),AVERAGE(Assumptions!$D$7,Assumptions!$F$7),(Assumptions!$F$7-Assumptions!$D$7)/3.29)*RANDBETWEEN(1,3)</f>
        <v>2679249.2648408012</v>
      </c>
      <c r="G64" s="3">
        <f ca="1">_xlfn.NORM.INV(RAND(),AVERAGE(Assumptions!$D$8,Assumptions!$F$8),(Assumptions!$F$8-Assumptions!$D$8)/3.29)*44</f>
        <v>1256140.7162211775</v>
      </c>
      <c r="H64" s="6">
        <f ca="1">_xlfn.NORM.INV(RAND(),AVERAGE(Assumptions!$D$9,Assumptions!$F$9),(Assumptions!$F$9-Assumptions!$D$9)/3.29)*21</f>
        <v>4066646.7657903563</v>
      </c>
      <c r="I64" s="9">
        <f ca="1">_xlfn.NORM.INV(RAND(),AVERAGE(Assumptions!$D$10,Assumptions!$F$10),(Assumptions!$F$10-Assumptions!$D$10)/3.29)*21</f>
        <v>1231889.7251891715</v>
      </c>
      <c r="J64" s="12">
        <f ca="1">NORMINV(RAND(),AVERAGE(Assumptions!$D$11,Assumptions!$F$11),(Assumptions!$F$11-Assumptions!$D$11)/3.29)*44</f>
        <v>4349704.733708581</v>
      </c>
      <c r="K64" s="15">
        <f ca="1">_xlfn.NORM.INV(RAND(),AVERAGE(Assumptions!$D$12,Assumptions!$F$12),(Assumptions!$F$12-Assumptions!$D$12)/3.29)*44</f>
        <v>6511172.6476367209</v>
      </c>
      <c r="L64" s="3">
        <f ca="1">_xlfn.NORM.INV(RAND(),AVERAGE(Assumptions!$D$13,Assumptions!$F$13),(Assumptions!$F$13-Assumptions!$D$13)/3.29)*44</f>
        <v>16778911.989056401</v>
      </c>
      <c r="M64" s="6">
        <f ca="1">_xlfn.NORM.INV(RAND(),AVERAGE(Assumptions!$D$14,Assumptions!$F$14),(Assumptions!$F$14-Assumptions!$D$14)/3.29)*44</f>
        <v>7218244.7538307309</v>
      </c>
      <c r="N64" s="9">
        <f ca="1">_xlfn.NORM.INV(RAND(),AVERAGE(Assumptions!$D$16,Assumptions!$F$16),(Assumptions!$F$16-Assumptions!$D$16)/3.29)*44</f>
        <v>6905346.0815453948</v>
      </c>
      <c r="O64" s="12">
        <f ca="1">_xlfn.NORM.INV(RAND(),AVERAGE(Assumptions!$D$15,Assumptions!$F$15),(Assumptions!$F$15-Assumptions!$D$15)/3.29)*44</f>
        <v>19684575.225048706</v>
      </c>
      <c r="P64" s="15">
        <f>Assumptions!$D$18</f>
        <v>14641750.345627395</v>
      </c>
      <c r="Q64" s="3">
        <f t="shared" ca="1" si="0"/>
        <v>-37315549.736012876</v>
      </c>
      <c r="R64" s="6">
        <f t="shared" ca="1" si="1"/>
        <v>-22673799.390385479</v>
      </c>
    </row>
    <row r="65" spans="1:18">
      <c r="A65" s="20">
        <v>64</v>
      </c>
      <c r="B65" s="3">
        <f ca="1">_xlfn.NORM.INV(RAND(),AVERAGE(Assumptions!$D$4,Assumptions!$F$4),(Assumptions!$F$4-Assumptions!$D$4)/3.29)*44</f>
        <v>1274833.3704718405</v>
      </c>
      <c r="C65" s="6">
        <f ca="1">_xlfn.NORM.INV(RAND(),AVERAGE(Assumptions!$D$5,Assumptions!$F$5),(Assumptions!$F$5-Assumptions!$D$5)/3.29)*44</f>
        <v>1902708.1529129057</v>
      </c>
      <c r="D65" s="9">
        <f ca="1">_xlfn.NORM.INV(RAND(),AVERAGE(Assumptions!$D$6,Assumptions!$F$6),(Assumptions!$F$6-Assumptions!$D$6)/3.29)*RANDBETWEEN(2,5)</f>
        <v>4876735.7238966329</v>
      </c>
      <c r="E65" s="12">
        <f ca="1">_xlfn.NORM.INV(RAND(),AVERAGE(Assumptions!$D$17,Assumptions!$F$17),(Assumptions!$F$17-Assumptions!$D$17)/3.29)*8</f>
        <v>1101874.4646629035</v>
      </c>
      <c r="F65" s="15">
        <f ca="1">_xlfn.NORM.INV(RAND(),AVERAGE(Assumptions!$D$7,Assumptions!$F$7),(Assumptions!$F$7-Assumptions!$D$7)/3.29)*RANDBETWEEN(1,3)</f>
        <v>7517261.8478897326</v>
      </c>
      <c r="G65" s="3">
        <f ca="1">_xlfn.NORM.INV(RAND(),AVERAGE(Assumptions!$D$8,Assumptions!$F$8),(Assumptions!$F$8-Assumptions!$D$8)/3.29)*44</f>
        <v>1479367.8868510607</v>
      </c>
      <c r="H65" s="6">
        <f ca="1">_xlfn.NORM.INV(RAND(),AVERAGE(Assumptions!$D$9,Assumptions!$F$9),(Assumptions!$F$9-Assumptions!$D$9)/3.29)*21</f>
        <v>4043473.3121359088</v>
      </c>
      <c r="I65" s="9">
        <f ca="1">_xlfn.NORM.INV(RAND(),AVERAGE(Assumptions!$D$10,Assumptions!$F$10),(Assumptions!$F$10-Assumptions!$D$10)/3.29)*21</f>
        <v>753464.01603276725</v>
      </c>
      <c r="J65" s="12">
        <f ca="1">NORMINV(RAND(),AVERAGE(Assumptions!$D$11,Assumptions!$F$11),(Assumptions!$F$11-Assumptions!$D$11)/3.29)*44</f>
        <v>3006186.2010339033</v>
      </c>
      <c r="K65" s="15">
        <f ca="1">_xlfn.NORM.INV(RAND(),AVERAGE(Assumptions!$D$12,Assumptions!$F$12),(Assumptions!$F$12-Assumptions!$D$12)/3.29)*44</f>
        <v>7663611.7427322734</v>
      </c>
      <c r="L65" s="3">
        <f ca="1">_xlfn.NORM.INV(RAND(),AVERAGE(Assumptions!$D$13,Assumptions!$F$13),(Assumptions!$F$13-Assumptions!$D$13)/3.29)*44</f>
        <v>13766278.388780016</v>
      </c>
      <c r="M65" s="6">
        <f ca="1">_xlfn.NORM.INV(RAND(),AVERAGE(Assumptions!$D$14,Assumptions!$F$14),(Assumptions!$F$14-Assumptions!$D$14)/3.29)*44</f>
        <v>4835415.5056863353</v>
      </c>
      <c r="N65" s="9">
        <f ca="1">_xlfn.NORM.INV(RAND(),AVERAGE(Assumptions!$D$16,Assumptions!$F$16),(Assumptions!$F$16-Assumptions!$D$16)/3.29)*44</f>
        <v>12058941.027711261</v>
      </c>
      <c r="O65" s="12">
        <f ca="1">_xlfn.NORM.INV(RAND(),AVERAGE(Assumptions!$D$15,Assumptions!$F$15),(Assumptions!$F$15-Assumptions!$D$15)/3.29)*44</f>
        <v>213732952.73045117</v>
      </c>
      <c r="P65" s="15">
        <f>Assumptions!$D$18</f>
        <v>14641750.345627395</v>
      </c>
      <c r="Q65" s="3">
        <f t="shared" ca="1" si="0"/>
        <v>149452801.08965361</v>
      </c>
      <c r="R65" s="6">
        <f t="shared" ca="1" si="1"/>
        <v>164094551.43528101</v>
      </c>
    </row>
    <row r="66" spans="1:18">
      <c r="A66" s="20">
        <v>65</v>
      </c>
      <c r="B66" s="3">
        <f ca="1">_xlfn.NORM.INV(RAND(),AVERAGE(Assumptions!$D$4,Assumptions!$F$4),(Assumptions!$F$4-Assumptions!$D$4)/3.29)*44</f>
        <v>1276228.4257679263</v>
      </c>
      <c r="C66" s="6">
        <f ca="1">_xlfn.NORM.INV(RAND(),AVERAGE(Assumptions!$D$5,Assumptions!$F$5),(Assumptions!$F$5-Assumptions!$D$5)/3.29)*44</f>
        <v>1683650.6917836878</v>
      </c>
      <c r="D66" s="9">
        <f ca="1">_xlfn.NORM.INV(RAND(),AVERAGE(Assumptions!$D$6,Assumptions!$F$6),(Assumptions!$F$6-Assumptions!$D$6)/3.29)*RANDBETWEEN(2,5)</f>
        <v>7177707.4772906946</v>
      </c>
      <c r="E66" s="12">
        <f ca="1">_xlfn.NORM.INV(RAND(),AVERAGE(Assumptions!$D$17,Assumptions!$F$17),(Assumptions!$F$17-Assumptions!$D$17)/3.29)*8</f>
        <v>976131.29915590223</v>
      </c>
      <c r="F66" s="15">
        <f ca="1">_xlfn.NORM.INV(RAND(),AVERAGE(Assumptions!$D$7,Assumptions!$F$7),(Assumptions!$F$7-Assumptions!$D$7)/3.29)*RANDBETWEEN(1,3)</f>
        <v>1481306.3379108387</v>
      </c>
      <c r="G66" s="3">
        <f ca="1">_xlfn.NORM.INV(RAND(),AVERAGE(Assumptions!$D$8,Assumptions!$F$8),(Assumptions!$F$8-Assumptions!$D$8)/3.29)*44</f>
        <v>529289.05638317566</v>
      </c>
      <c r="H66" s="6">
        <f ca="1">_xlfn.NORM.INV(RAND(),AVERAGE(Assumptions!$D$9,Assumptions!$F$9),(Assumptions!$F$9-Assumptions!$D$9)/3.29)*21</f>
        <v>5312580.4868796365</v>
      </c>
      <c r="I66" s="9">
        <f ca="1">_xlfn.NORM.INV(RAND(),AVERAGE(Assumptions!$D$10,Assumptions!$F$10),(Assumptions!$F$10-Assumptions!$D$10)/3.29)*21</f>
        <v>944114.79283506074</v>
      </c>
      <c r="J66" s="12">
        <f ca="1">NORMINV(RAND(),AVERAGE(Assumptions!$D$11,Assumptions!$F$11),(Assumptions!$F$11-Assumptions!$D$11)/3.29)*44</f>
        <v>2059456.3088804907</v>
      </c>
      <c r="K66" s="15">
        <f ca="1">_xlfn.NORM.INV(RAND(),AVERAGE(Assumptions!$D$12,Assumptions!$F$12),(Assumptions!$F$12-Assumptions!$D$12)/3.29)*44</f>
        <v>6143312.1321640247</v>
      </c>
      <c r="L66" s="3">
        <f ca="1">_xlfn.NORM.INV(RAND(),AVERAGE(Assumptions!$D$13,Assumptions!$F$13),(Assumptions!$F$13-Assumptions!$D$13)/3.29)*44</f>
        <v>15960424.416691104</v>
      </c>
      <c r="M66" s="6">
        <f ca="1">_xlfn.NORM.INV(RAND(),AVERAGE(Assumptions!$D$14,Assumptions!$F$14),(Assumptions!$F$14-Assumptions!$D$14)/3.29)*44</f>
        <v>5607122.9146642797</v>
      </c>
      <c r="N66" s="9">
        <f ca="1">_xlfn.NORM.INV(RAND(),AVERAGE(Assumptions!$D$16,Assumptions!$F$16),(Assumptions!$F$16-Assumptions!$D$16)/3.29)*44</f>
        <v>5440563.5332449973</v>
      </c>
      <c r="O66" s="12">
        <f ca="1">_xlfn.NORM.INV(RAND(),AVERAGE(Assumptions!$D$15,Assumptions!$F$15),(Assumptions!$F$15-Assumptions!$D$15)/3.29)*44</f>
        <v>111927557.94501203</v>
      </c>
      <c r="P66" s="15">
        <f>Assumptions!$D$18</f>
        <v>14641750.345627395</v>
      </c>
      <c r="Q66" s="3">
        <f t="shared" ca="1" si="0"/>
        <v>57335670.071360216</v>
      </c>
      <c r="R66" s="6">
        <f t="shared" ca="1" si="1"/>
        <v>71977420.416987613</v>
      </c>
    </row>
    <row r="67" spans="1:18">
      <c r="A67" s="20">
        <v>66</v>
      </c>
      <c r="B67" s="3">
        <f ca="1">_xlfn.NORM.INV(RAND(),AVERAGE(Assumptions!$D$4,Assumptions!$F$4),(Assumptions!$F$4-Assumptions!$D$4)/3.29)*44</f>
        <v>1229174.6010475473</v>
      </c>
      <c r="C67" s="6">
        <f ca="1">_xlfn.NORM.INV(RAND(),AVERAGE(Assumptions!$D$5,Assumptions!$F$5),(Assumptions!$F$5-Assumptions!$D$5)/3.29)*44</f>
        <v>1787746.1591720378</v>
      </c>
      <c r="D67" s="9">
        <f ca="1">_xlfn.NORM.INV(RAND(),AVERAGE(Assumptions!$D$6,Assumptions!$F$6),(Assumptions!$F$6-Assumptions!$D$6)/3.29)*RANDBETWEEN(2,5)</f>
        <v>6723823.1173891779</v>
      </c>
      <c r="E67" s="12">
        <f ca="1">_xlfn.NORM.INV(RAND(),AVERAGE(Assumptions!$D$17,Assumptions!$F$17),(Assumptions!$F$17-Assumptions!$D$17)/3.29)*8</f>
        <v>891850.05610521033</v>
      </c>
      <c r="F67" s="15">
        <f ca="1">_xlfn.NORM.INV(RAND(),AVERAGE(Assumptions!$D$7,Assumptions!$F$7),(Assumptions!$F$7-Assumptions!$D$7)/3.29)*RANDBETWEEN(1,3)</f>
        <v>3016861.9708052855</v>
      </c>
      <c r="G67" s="3">
        <f ca="1">_xlfn.NORM.INV(RAND(),AVERAGE(Assumptions!$D$8,Assumptions!$F$8),(Assumptions!$F$8-Assumptions!$D$8)/3.29)*44</f>
        <v>830979.07811046299</v>
      </c>
      <c r="H67" s="6">
        <f ca="1">_xlfn.NORM.INV(RAND(),AVERAGE(Assumptions!$D$9,Assumptions!$F$9),(Assumptions!$F$9-Assumptions!$D$9)/3.29)*21</f>
        <v>4848109.3424879787</v>
      </c>
      <c r="I67" s="9">
        <f ca="1">_xlfn.NORM.INV(RAND(),AVERAGE(Assumptions!$D$10,Assumptions!$F$10),(Assumptions!$F$10-Assumptions!$D$10)/3.29)*21</f>
        <v>890315.36922373122</v>
      </c>
      <c r="J67" s="12">
        <f ca="1">NORMINV(RAND(),AVERAGE(Assumptions!$D$11,Assumptions!$F$11),(Assumptions!$F$11-Assumptions!$D$11)/3.29)*44</f>
        <v>4042058.2417321978</v>
      </c>
      <c r="K67" s="15">
        <f ca="1">_xlfn.NORM.INV(RAND(),AVERAGE(Assumptions!$D$12,Assumptions!$F$12),(Assumptions!$F$12-Assumptions!$D$12)/3.29)*44</f>
        <v>8830210.6718521267</v>
      </c>
      <c r="L67" s="3">
        <f ca="1">_xlfn.NORM.INV(RAND(),AVERAGE(Assumptions!$D$13,Assumptions!$F$13),(Assumptions!$F$13-Assumptions!$D$13)/3.29)*44</f>
        <v>14166127.21177567</v>
      </c>
      <c r="M67" s="6">
        <f ca="1">_xlfn.NORM.INV(RAND(),AVERAGE(Assumptions!$D$14,Assumptions!$F$14),(Assumptions!$F$14-Assumptions!$D$14)/3.29)*44</f>
        <v>4615833.1592892297</v>
      </c>
      <c r="N67" s="9">
        <f ca="1">_xlfn.NORM.INV(RAND(),AVERAGE(Assumptions!$D$16,Assumptions!$F$16),(Assumptions!$F$16-Assumptions!$D$16)/3.29)*44</f>
        <v>7774767.912960941</v>
      </c>
      <c r="O67" s="12">
        <f ca="1">_xlfn.NORM.INV(RAND(),AVERAGE(Assumptions!$D$15,Assumptions!$F$15),(Assumptions!$F$15-Assumptions!$D$15)/3.29)*44</f>
        <v>134543910.01094088</v>
      </c>
      <c r="P67" s="15">
        <f>Assumptions!$D$18</f>
        <v>14641750.345627395</v>
      </c>
      <c r="Q67" s="3">
        <f t="shared" ref="Q67:Q130" ca="1" si="2">O67-(B67+C67+D67+F67+G67+H67+I67+J67+K67+L67+M67+N67+E67)</f>
        <v>74896053.118989289</v>
      </c>
      <c r="R67" s="6">
        <f t="shared" ref="R67:R130" ca="1" si="3">Q67+P67</f>
        <v>89537803.464616686</v>
      </c>
    </row>
    <row r="68" spans="1:18">
      <c r="A68" s="20">
        <v>67</v>
      </c>
      <c r="B68" s="3">
        <f ca="1">_xlfn.NORM.INV(RAND(),AVERAGE(Assumptions!$D$4,Assumptions!$F$4),(Assumptions!$F$4-Assumptions!$D$4)/3.29)*44</f>
        <v>1229981.5429023646</v>
      </c>
      <c r="C68" s="6">
        <f ca="1">_xlfn.NORM.INV(RAND(),AVERAGE(Assumptions!$D$5,Assumptions!$F$5),(Assumptions!$F$5-Assumptions!$D$5)/3.29)*44</f>
        <v>1607104.1603194079</v>
      </c>
      <c r="D68" s="9">
        <f ca="1">_xlfn.NORM.INV(RAND(),AVERAGE(Assumptions!$D$6,Assumptions!$F$6),(Assumptions!$F$6-Assumptions!$D$6)/3.29)*RANDBETWEEN(2,5)</f>
        <v>2976154.33290393</v>
      </c>
      <c r="E68" s="12">
        <f ca="1">_xlfn.NORM.INV(RAND(),AVERAGE(Assumptions!$D$17,Assumptions!$F$17),(Assumptions!$F$17-Assumptions!$D$17)/3.29)*8</f>
        <v>899737.12713553605</v>
      </c>
      <c r="F68" s="15">
        <f ca="1">_xlfn.NORM.INV(RAND(),AVERAGE(Assumptions!$D$7,Assumptions!$F$7),(Assumptions!$F$7-Assumptions!$D$7)/3.29)*RANDBETWEEN(1,3)</f>
        <v>3513790.9879116933</v>
      </c>
      <c r="G68" s="3">
        <f ca="1">_xlfn.NORM.INV(RAND(),AVERAGE(Assumptions!$D$8,Assumptions!$F$8),(Assumptions!$F$8-Assumptions!$D$8)/3.29)*44</f>
        <v>1373887.3822023789</v>
      </c>
      <c r="H68" s="6">
        <f ca="1">_xlfn.NORM.INV(RAND(),AVERAGE(Assumptions!$D$9,Assumptions!$F$9),(Assumptions!$F$9-Assumptions!$D$9)/3.29)*21</f>
        <v>3847968.2245331141</v>
      </c>
      <c r="I68" s="9">
        <f ca="1">_xlfn.NORM.INV(RAND(),AVERAGE(Assumptions!$D$10,Assumptions!$F$10),(Assumptions!$F$10-Assumptions!$D$10)/3.29)*21</f>
        <v>1014984.9610098745</v>
      </c>
      <c r="J68" s="12">
        <f ca="1">NORMINV(RAND(),AVERAGE(Assumptions!$D$11,Assumptions!$F$11),(Assumptions!$F$11-Assumptions!$D$11)/3.29)*44</f>
        <v>3237878.2628451386</v>
      </c>
      <c r="K68" s="15">
        <f ca="1">_xlfn.NORM.INV(RAND(),AVERAGE(Assumptions!$D$12,Assumptions!$F$12),(Assumptions!$F$12-Assumptions!$D$12)/3.29)*44</f>
        <v>10879474.501212507</v>
      </c>
      <c r="L68" s="3">
        <f ca="1">_xlfn.NORM.INV(RAND(),AVERAGE(Assumptions!$D$13,Assumptions!$F$13),(Assumptions!$F$13-Assumptions!$D$13)/3.29)*44</f>
        <v>16909158.594267599</v>
      </c>
      <c r="M68" s="6">
        <f ca="1">_xlfn.NORM.INV(RAND(),AVERAGE(Assumptions!$D$14,Assumptions!$F$14),(Assumptions!$F$14-Assumptions!$D$14)/3.29)*44</f>
        <v>5866325.2201446146</v>
      </c>
      <c r="N68" s="9">
        <f ca="1">_xlfn.NORM.INV(RAND(),AVERAGE(Assumptions!$D$16,Assumptions!$F$16),(Assumptions!$F$16-Assumptions!$D$16)/3.29)*44</f>
        <v>3406795.1571863396</v>
      </c>
      <c r="O68" s="12">
        <f ca="1">_xlfn.NORM.INV(RAND(),AVERAGE(Assumptions!$D$15,Assumptions!$F$15),(Assumptions!$F$15-Assumptions!$D$15)/3.29)*44</f>
        <v>128712126.93892223</v>
      </c>
      <c r="P68" s="15">
        <f>Assumptions!$D$18</f>
        <v>14641750.345627395</v>
      </c>
      <c r="Q68" s="3">
        <f t="shared" ca="1" si="2"/>
        <v>71948886.484347731</v>
      </c>
      <c r="R68" s="6">
        <f t="shared" ca="1" si="3"/>
        <v>86590636.829975128</v>
      </c>
    </row>
    <row r="69" spans="1:18">
      <c r="A69" s="20">
        <v>68</v>
      </c>
      <c r="B69" s="3">
        <f ca="1">_xlfn.NORM.INV(RAND(),AVERAGE(Assumptions!$D$4,Assumptions!$F$4),(Assumptions!$F$4-Assumptions!$D$4)/3.29)*44</f>
        <v>1201454.5176381457</v>
      </c>
      <c r="C69" s="6">
        <f ca="1">_xlfn.NORM.INV(RAND(),AVERAGE(Assumptions!$D$5,Assumptions!$F$5),(Assumptions!$F$5-Assumptions!$D$5)/3.29)*44</f>
        <v>1750445.9182702003</v>
      </c>
      <c r="D69" s="9">
        <f ca="1">_xlfn.NORM.INV(RAND(),AVERAGE(Assumptions!$D$6,Assumptions!$F$6),(Assumptions!$F$6-Assumptions!$D$6)/3.29)*RANDBETWEEN(2,5)</f>
        <v>4082678.1234655534</v>
      </c>
      <c r="E69" s="12">
        <f ca="1">_xlfn.NORM.INV(RAND(),AVERAGE(Assumptions!$D$17,Assumptions!$F$17),(Assumptions!$F$17-Assumptions!$D$17)/3.29)*8</f>
        <v>1106489.248481805</v>
      </c>
      <c r="F69" s="15">
        <f ca="1">_xlfn.NORM.INV(RAND(),AVERAGE(Assumptions!$D$7,Assumptions!$F$7),(Assumptions!$F$7-Assumptions!$D$7)/3.29)*RANDBETWEEN(1,3)</f>
        <v>7089351.7320876746</v>
      </c>
      <c r="G69" s="3">
        <f ca="1">_xlfn.NORM.INV(RAND(),AVERAGE(Assumptions!$D$8,Assumptions!$F$8),(Assumptions!$F$8-Assumptions!$D$8)/3.29)*44</f>
        <v>1019526.6551411093</v>
      </c>
      <c r="H69" s="6">
        <f ca="1">_xlfn.NORM.INV(RAND(),AVERAGE(Assumptions!$D$9,Assumptions!$F$9),(Assumptions!$F$9-Assumptions!$D$9)/3.29)*21</f>
        <v>5123986.4322037511</v>
      </c>
      <c r="I69" s="9">
        <f ca="1">_xlfn.NORM.INV(RAND(),AVERAGE(Assumptions!$D$10,Assumptions!$F$10),(Assumptions!$F$10-Assumptions!$D$10)/3.29)*21</f>
        <v>997074.59863847459</v>
      </c>
      <c r="J69" s="12">
        <f ca="1">NORMINV(RAND(),AVERAGE(Assumptions!$D$11,Assumptions!$F$11),(Assumptions!$F$11-Assumptions!$D$11)/3.29)*44</f>
        <v>4729479.7676669648</v>
      </c>
      <c r="K69" s="15">
        <f ca="1">_xlfn.NORM.INV(RAND(),AVERAGE(Assumptions!$D$12,Assumptions!$F$12),(Assumptions!$F$12-Assumptions!$D$12)/3.29)*44</f>
        <v>10643635.493993707</v>
      </c>
      <c r="L69" s="3">
        <f ca="1">_xlfn.NORM.INV(RAND(),AVERAGE(Assumptions!$D$13,Assumptions!$F$13),(Assumptions!$F$13-Assumptions!$D$13)/3.29)*44</f>
        <v>20863977.878556401</v>
      </c>
      <c r="M69" s="6">
        <f ca="1">_xlfn.NORM.INV(RAND(),AVERAGE(Assumptions!$D$14,Assumptions!$F$14),(Assumptions!$F$14-Assumptions!$D$14)/3.29)*44</f>
        <v>6256575.3827290293</v>
      </c>
      <c r="N69" s="9">
        <f ca="1">_xlfn.NORM.INV(RAND(),AVERAGE(Assumptions!$D$16,Assumptions!$F$16),(Assumptions!$F$16-Assumptions!$D$16)/3.29)*44</f>
        <v>12163556.44008356</v>
      </c>
      <c r="O69" s="12">
        <f ca="1">_xlfn.NORM.INV(RAND(),AVERAGE(Assumptions!$D$15,Assumptions!$F$15),(Assumptions!$F$15-Assumptions!$D$15)/3.29)*44</f>
        <v>115504733.0364674</v>
      </c>
      <c r="P69" s="15">
        <f>Assumptions!$D$18</f>
        <v>14641750.345627395</v>
      </c>
      <c r="Q69" s="3">
        <f t="shared" ca="1" si="2"/>
        <v>38476500.847511023</v>
      </c>
      <c r="R69" s="6">
        <f t="shared" ca="1" si="3"/>
        <v>53118251.193138421</v>
      </c>
    </row>
    <row r="70" spans="1:18">
      <c r="A70" s="20">
        <v>69</v>
      </c>
      <c r="B70" s="3">
        <f ca="1">_xlfn.NORM.INV(RAND(),AVERAGE(Assumptions!$D$4,Assumptions!$F$4),(Assumptions!$F$4-Assumptions!$D$4)/3.29)*44</f>
        <v>1048686.3645168922</v>
      </c>
      <c r="C70" s="6">
        <f ca="1">_xlfn.NORM.INV(RAND(),AVERAGE(Assumptions!$D$5,Assumptions!$F$5),(Assumptions!$F$5-Assumptions!$D$5)/3.29)*44</f>
        <v>1925532.0605122091</v>
      </c>
      <c r="D70" s="9">
        <f ca="1">_xlfn.NORM.INV(RAND(),AVERAGE(Assumptions!$D$6,Assumptions!$F$6),(Assumptions!$F$6-Assumptions!$D$6)/3.29)*RANDBETWEEN(2,5)</f>
        <v>7154057.7786525935</v>
      </c>
      <c r="E70" s="12">
        <f ca="1">_xlfn.NORM.INV(RAND(),AVERAGE(Assumptions!$D$17,Assumptions!$F$17),(Assumptions!$F$17-Assumptions!$D$17)/3.29)*8</f>
        <v>927630.33918088872</v>
      </c>
      <c r="F70" s="15">
        <f ca="1">_xlfn.NORM.INV(RAND(),AVERAGE(Assumptions!$D$7,Assumptions!$F$7),(Assumptions!$F$7-Assumptions!$D$7)/3.29)*RANDBETWEEN(1,3)</f>
        <v>4789457.1406199662</v>
      </c>
      <c r="G70" s="3">
        <f ca="1">_xlfn.NORM.INV(RAND(),AVERAGE(Assumptions!$D$8,Assumptions!$F$8),(Assumptions!$F$8-Assumptions!$D$8)/3.29)*44</f>
        <v>1130750.7865083406</v>
      </c>
      <c r="H70" s="6">
        <f ca="1">_xlfn.NORM.INV(RAND(),AVERAGE(Assumptions!$D$9,Assumptions!$F$9),(Assumptions!$F$9-Assumptions!$D$9)/3.29)*21</f>
        <v>4682558.1649322044</v>
      </c>
      <c r="I70" s="9">
        <f ca="1">_xlfn.NORM.INV(RAND(),AVERAGE(Assumptions!$D$10,Assumptions!$F$10),(Assumptions!$F$10-Assumptions!$D$10)/3.29)*21</f>
        <v>1009321.3106154898</v>
      </c>
      <c r="J70" s="12">
        <f ca="1">NORMINV(RAND(),AVERAGE(Assumptions!$D$11,Assumptions!$F$11),(Assumptions!$F$11-Assumptions!$D$11)/3.29)*44</f>
        <v>3995752.811570927</v>
      </c>
      <c r="K70" s="15">
        <f ca="1">_xlfn.NORM.INV(RAND(),AVERAGE(Assumptions!$D$12,Assumptions!$F$12),(Assumptions!$F$12-Assumptions!$D$12)/3.29)*44</f>
        <v>9330246.8994780276</v>
      </c>
      <c r="L70" s="3">
        <f ca="1">_xlfn.NORM.INV(RAND(),AVERAGE(Assumptions!$D$13,Assumptions!$F$13),(Assumptions!$F$13-Assumptions!$D$13)/3.29)*44</f>
        <v>14835162.538306726</v>
      </c>
      <c r="M70" s="6">
        <f ca="1">_xlfn.NORM.INV(RAND(),AVERAGE(Assumptions!$D$14,Assumptions!$F$14),(Assumptions!$F$14-Assumptions!$D$14)/3.29)*44</f>
        <v>7532980.8008062877</v>
      </c>
      <c r="N70" s="9">
        <f ca="1">_xlfn.NORM.INV(RAND(),AVERAGE(Assumptions!$D$16,Assumptions!$F$16),(Assumptions!$F$16-Assumptions!$D$16)/3.29)*44</f>
        <v>8437699.1409417</v>
      </c>
      <c r="O70" s="12">
        <f ca="1">_xlfn.NORM.INV(RAND(),AVERAGE(Assumptions!$D$15,Assumptions!$F$15),(Assumptions!$F$15-Assumptions!$D$15)/3.29)*44</f>
        <v>23700111.247744266</v>
      </c>
      <c r="P70" s="15">
        <f>Assumptions!$D$18</f>
        <v>14641750.345627395</v>
      </c>
      <c r="Q70" s="3">
        <f t="shared" ca="1" si="2"/>
        <v>-43099724.888897985</v>
      </c>
      <c r="R70" s="6">
        <f t="shared" ca="1" si="3"/>
        <v>-28457974.543270588</v>
      </c>
    </row>
    <row r="71" spans="1:18">
      <c r="A71" s="20">
        <v>70</v>
      </c>
      <c r="B71" s="3">
        <f ca="1">_xlfn.NORM.INV(RAND(),AVERAGE(Assumptions!$D$4,Assumptions!$F$4),(Assumptions!$F$4-Assumptions!$D$4)/3.29)*44</f>
        <v>1159572.1888365638</v>
      </c>
      <c r="C71" s="6">
        <f ca="1">_xlfn.NORM.INV(RAND(),AVERAGE(Assumptions!$D$5,Assumptions!$F$5),(Assumptions!$F$5-Assumptions!$D$5)/3.29)*44</f>
        <v>1998351.4311240269</v>
      </c>
      <c r="D71" s="9">
        <f ca="1">_xlfn.NORM.INV(RAND(),AVERAGE(Assumptions!$D$6,Assumptions!$F$6),(Assumptions!$F$6-Assumptions!$D$6)/3.29)*RANDBETWEEN(2,5)</f>
        <v>2831482.5852435781</v>
      </c>
      <c r="E71" s="12">
        <f ca="1">_xlfn.NORM.INV(RAND(),AVERAGE(Assumptions!$D$17,Assumptions!$F$17),(Assumptions!$F$17-Assumptions!$D$17)/3.29)*8</f>
        <v>1080743.1830483396</v>
      </c>
      <c r="F71" s="15">
        <f ca="1">_xlfn.NORM.INV(RAND(),AVERAGE(Assumptions!$D$7,Assumptions!$F$7),(Assumptions!$F$7-Assumptions!$D$7)/3.29)*RANDBETWEEN(1,3)</f>
        <v>4955511.5014318656</v>
      </c>
      <c r="G71" s="3">
        <f ca="1">_xlfn.NORM.INV(RAND(),AVERAGE(Assumptions!$D$8,Assumptions!$F$8),(Assumptions!$F$8-Assumptions!$D$8)/3.29)*44</f>
        <v>1261913.306557796</v>
      </c>
      <c r="H71" s="6">
        <f ca="1">_xlfn.NORM.INV(RAND(),AVERAGE(Assumptions!$D$9,Assumptions!$F$9),(Assumptions!$F$9-Assumptions!$D$9)/3.29)*21</f>
        <v>2587356.8331287643</v>
      </c>
      <c r="I71" s="9">
        <f ca="1">_xlfn.NORM.INV(RAND(),AVERAGE(Assumptions!$D$10,Assumptions!$F$10),(Assumptions!$F$10-Assumptions!$D$10)/3.29)*21</f>
        <v>845362.42911720963</v>
      </c>
      <c r="J71" s="12">
        <f ca="1">NORMINV(RAND(),AVERAGE(Assumptions!$D$11,Assumptions!$F$11),(Assumptions!$F$11-Assumptions!$D$11)/3.29)*44</f>
        <v>2408502.1081150719</v>
      </c>
      <c r="K71" s="15">
        <f ca="1">_xlfn.NORM.INV(RAND(),AVERAGE(Assumptions!$D$12,Assumptions!$F$12),(Assumptions!$F$12-Assumptions!$D$12)/3.29)*44</f>
        <v>5808577.2703047087</v>
      </c>
      <c r="L71" s="3">
        <f ca="1">_xlfn.NORM.INV(RAND(),AVERAGE(Assumptions!$D$13,Assumptions!$F$13),(Assumptions!$F$13-Assumptions!$D$13)/3.29)*44</f>
        <v>15161670.491567913</v>
      </c>
      <c r="M71" s="6">
        <f ca="1">_xlfn.NORM.INV(RAND(),AVERAGE(Assumptions!$D$14,Assumptions!$F$14),(Assumptions!$F$14-Assumptions!$D$14)/3.29)*44</f>
        <v>6241904.5430217208</v>
      </c>
      <c r="N71" s="9">
        <f ca="1">_xlfn.NORM.INV(RAND(),AVERAGE(Assumptions!$D$16,Assumptions!$F$16),(Assumptions!$F$16-Assumptions!$D$16)/3.29)*44</f>
        <v>6654329.6590253366</v>
      </c>
      <c r="O71" s="12">
        <f ca="1">_xlfn.NORM.INV(RAND(),AVERAGE(Assumptions!$D$15,Assumptions!$F$15),(Assumptions!$F$15-Assumptions!$D$15)/3.29)*44</f>
        <v>66263210.031840138</v>
      </c>
      <c r="P71" s="15">
        <f>Assumptions!$D$18</f>
        <v>14641750.345627395</v>
      </c>
      <c r="Q71" s="3">
        <f t="shared" ca="1" si="2"/>
        <v>13267932.50131724</v>
      </c>
      <c r="R71" s="6">
        <f t="shared" ca="1" si="3"/>
        <v>27909682.846944638</v>
      </c>
    </row>
    <row r="72" spans="1:18">
      <c r="A72" s="20">
        <v>71</v>
      </c>
      <c r="B72" s="3">
        <f ca="1">_xlfn.NORM.INV(RAND(),AVERAGE(Assumptions!$D$4,Assumptions!$F$4),(Assumptions!$F$4-Assumptions!$D$4)/3.29)*44</f>
        <v>1211381.8191991919</v>
      </c>
      <c r="C72" s="6">
        <f ca="1">_xlfn.NORM.INV(RAND(),AVERAGE(Assumptions!$D$5,Assumptions!$F$5),(Assumptions!$F$5-Assumptions!$D$5)/3.29)*44</f>
        <v>1701761.1212735488</v>
      </c>
      <c r="D72" s="9">
        <f ca="1">_xlfn.NORM.INV(RAND(),AVERAGE(Assumptions!$D$6,Assumptions!$F$6),(Assumptions!$F$6-Assumptions!$D$6)/3.29)*RANDBETWEEN(2,5)</f>
        <v>6654162.4586105775</v>
      </c>
      <c r="E72" s="12">
        <f ca="1">_xlfn.NORM.INV(RAND(),AVERAGE(Assumptions!$D$17,Assumptions!$F$17),(Assumptions!$F$17-Assumptions!$D$17)/3.29)*8</f>
        <v>862407.42818469123</v>
      </c>
      <c r="F72" s="15">
        <f ca="1">_xlfn.NORM.INV(RAND(),AVERAGE(Assumptions!$D$7,Assumptions!$F$7),(Assumptions!$F$7-Assumptions!$D$7)/3.29)*RANDBETWEEN(1,3)</f>
        <v>4707501.8762036841</v>
      </c>
      <c r="G72" s="3">
        <f ca="1">_xlfn.NORM.INV(RAND(),AVERAGE(Assumptions!$D$8,Assumptions!$F$8),(Assumptions!$F$8-Assumptions!$D$8)/3.29)*44</f>
        <v>1241220.1044901495</v>
      </c>
      <c r="H72" s="6">
        <f ca="1">_xlfn.NORM.INV(RAND(),AVERAGE(Assumptions!$D$9,Assumptions!$F$9),(Assumptions!$F$9-Assumptions!$D$9)/3.29)*21</f>
        <v>7404748.8657639101</v>
      </c>
      <c r="I72" s="9">
        <f ca="1">_xlfn.NORM.INV(RAND(),AVERAGE(Assumptions!$D$10,Assumptions!$F$10),(Assumptions!$F$10-Assumptions!$D$10)/3.29)*21</f>
        <v>1098921.0235546369</v>
      </c>
      <c r="J72" s="12">
        <f ca="1">NORMINV(RAND(),AVERAGE(Assumptions!$D$11,Assumptions!$F$11),(Assumptions!$F$11-Assumptions!$D$11)/3.29)*44</f>
        <v>4688247.3705328619</v>
      </c>
      <c r="K72" s="15">
        <f ca="1">_xlfn.NORM.INV(RAND(),AVERAGE(Assumptions!$D$12,Assumptions!$F$12),(Assumptions!$F$12-Assumptions!$D$12)/3.29)*44</f>
        <v>11357210.179857399</v>
      </c>
      <c r="L72" s="3">
        <f ca="1">_xlfn.NORM.INV(RAND(),AVERAGE(Assumptions!$D$13,Assumptions!$F$13),(Assumptions!$F$13-Assumptions!$D$13)/3.29)*44</f>
        <v>18134174.243917324</v>
      </c>
      <c r="M72" s="6">
        <f ca="1">_xlfn.NORM.INV(RAND(),AVERAGE(Assumptions!$D$14,Assumptions!$F$14),(Assumptions!$F$14-Assumptions!$D$14)/3.29)*44</f>
        <v>5839361.8393550701</v>
      </c>
      <c r="N72" s="9">
        <f ca="1">_xlfn.NORM.INV(RAND(),AVERAGE(Assumptions!$D$16,Assumptions!$F$16),(Assumptions!$F$16-Assumptions!$D$16)/3.29)*44</f>
        <v>10909577.160946405</v>
      </c>
      <c r="O72" s="12">
        <f ca="1">_xlfn.NORM.INV(RAND(),AVERAGE(Assumptions!$D$15,Assumptions!$F$15),(Assumptions!$F$15-Assumptions!$D$15)/3.29)*44</f>
        <v>96947320.006503269</v>
      </c>
      <c r="P72" s="15">
        <f>Assumptions!$D$18</f>
        <v>14641750.345627395</v>
      </c>
      <c r="Q72" s="3">
        <f t="shared" ca="1" si="2"/>
        <v>21136644.514613822</v>
      </c>
      <c r="R72" s="6">
        <f t="shared" ca="1" si="3"/>
        <v>35778394.860241219</v>
      </c>
    </row>
    <row r="73" spans="1:18">
      <c r="A73" s="20">
        <v>72</v>
      </c>
      <c r="B73" s="3">
        <f ca="1">_xlfn.NORM.INV(RAND(),AVERAGE(Assumptions!$D$4,Assumptions!$F$4),(Assumptions!$F$4-Assumptions!$D$4)/3.29)*44</f>
        <v>1277931.6882247266</v>
      </c>
      <c r="C73" s="6">
        <f ca="1">_xlfn.NORM.INV(RAND(),AVERAGE(Assumptions!$D$5,Assumptions!$F$5),(Assumptions!$F$5-Assumptions!$D$5)/3.29)*44</f>
        <v>1762562.4034339071</v>
      </c>
      <c r="D73" s="9">
        <f ca="1">_xlfn.NORM.INV(RAND(),AVERAGE(Assumptions!$D$6,Assumptions!$F$6),(Assumptions!$F$6-Assumptions!$D$6)/3.29)*RANDBETWEEN(2,5)</f>
        <v>5016652.6547170226</v>
      </c>
      <c r="E73" s="12">
        <f ca="1">_xlfn.NORM.INV(RAND(),AVERAGE(Assumptions!$D$17,Assumptions!$F$17),(Assumptions!$F$17-Assumptions!$D$17)/3.29)*8</f>
        <v>1035757.157800328</v>
      </c>
      <c r="F73" s="15">
        <f ca="1">_xlfn.NORM.INV(RAND(),AVERAGE(Assumptions!$D$7,Assumptions!$F$7),(Assumptions!$F$7-Assumptions!$D$7)/3.29)*RANDBETWEEN(1,3)</f>
        <v>4702551.4915559972</v>
      </c>
      <c r="G73" s="3">
        <f ca="1">_xlfn.NORM.INV(RAND(),AVERAGE(Assumptions!$D$8,Assumptions!$F$8),(Assumptions!$F$8-Assumptions!$D$8)/3.29)*44</f>
        <v>1024991.7463368783</v>
      </c>
      <c r="H73" s="6">
        <f ca="1">_xlfn.NORM.INV(RAND(),AVERAGE(Assumptions!$D$9,Assumptions!$F$9),(Assumptions!$F$9-Assumptions!$D$9)/3.29)*21</f>
        <v>5132990.4332493041</v>
      </c>
      <c r="I73" s="9">
        <f ca="1">_xlfn.NORM.INV(RAND(),AVERAGE(Assumptions!$D$10,Assumptions!$F$10),(Assumptions!$F$10-Assumptions!$D$10)/3.29)*21</f>
        <v>1120115.8987746178</v>
      </c>
      <c r="J73" s="12">
        <f ca="1">NORMINV(RAND(),AVERAGE(Assumptions!$D$11,Assumptions!$F$11),(Assumptions!$F$11-Assumptions!$D$11)/3.29)*44</f>
        <v>3684011.127839677</v>
      </c>
      <c r="K73" s="15">
        <f ca="1">_xlfn.NORM.INV(RAND(),AVERAGE(Assumptions!$D$12,Assumptions!$F$12),(Assumptions!$F$12-Assumptions!$D$12)/3.29)*44</f>
        <v>9734470.4353186563</v>
      </c>
      <c r="L73" s="3">
        <f ca="1">_xlfn.NORM.INV(RAND(),AVERAGE(Assumptions!$D$13,Assumptions!$F$13),(Assumptions!$F$13-Assumptions!$D$13)/3.29)*44</f>
        <v>21236654.16077717</v>
      </c>
      <c r="M73" s="6">
        <f ca="1">_xlfn.NORM.INV(RAND(),AVERAGE(Assumptions!$D$14,Assumptions!$F$14),(Assumptions!$F$14-Assumptions!$D$14)/3.29)*44</f>
        <v>6587559.6561424145</v>
      </c>
      <c r="N73" s="9">
        <f ca="1">_xlfn.NORM.INV(RAND(),AVERAGE(Assumptions!$D$16,Assumptions!$F$16),(Assumptions!$F$16-Assumptions!$D$16)/3.29)*44</f>
        <v>2940224.6629047389</v>
      </c>
      <c r="O73" s="12">
        <f ca="1">_xlfn.NORM.INV(RAND(),AVERAGE(Assumptions!$D$15,Assumptions!$F$15),(Assumptions!$F$15-Assumptions!$D$15)/3.29)*44</f>
        <v>161201937.80691248</v>
      </c>
      <c r="P73" s="15">
        <f>Assumptions!$D$18</f>
        <v>14641750.345627395</v>
      </c>
      <c r="Q73" s="3">
        <f t="shared" ca="1" si="2"/>
        <v>95945464.289837047</v>
      </c>
      <c r="R73" s="6">
        <f t="shared" ca="1" si="3"/>
        <v>110587214.63546444</v>
      </c>
    </row>
    <row r="74" spans="1:18">
      <c r="A74" s="20">
        <v>73</v>
      </c>
      <c r="B74" s="3">
        <f ca="1">_xlfn.NORM.INV(RAND(),AVERAGE(Assumptions!$D$4,Assumptions!$F$4),(Assumptions!$F$4-Assumptions!$D$4)/3.29)*44</f>
        <v>1215744.691863457</v>
      </c>
      <c r="C74" s="6">
        <f ca="1">_xlfn.NORM.INV(RAND(),AVERAGE(Assumptions!$D$5,Assumptions!$F$5),(Assumptions!$F$5-Assumptions!$D$5)/3.29)*44</f>
        <v>1770190.9113410062</v>
      </c>
      <c r="D74" s="9">
        <f ca="1">_xlfn.NORM.INV(RAND(),AVERAGE(Assumptions!$D$6,Assumptions!$F$6),(Assumptions!$F$6-Assumptions!$D$6)/3.29)*RANDBETWEEN(2,5)</f>
        <v>3380056.1376726832</v>
      </c>
      <c r="E74" s="12">
        <f ca="1">_xlfn.NORM.INV(RAND(),AVERAGE(Assumptions!$D$17,Assumptions!$F$17),(Assumptions!$F$17-Assumptions!$D$17)/3.29)*8</f>
        <v>1083326.5333441186</v>
      </c>
      <c r="F74" s="15">
        <f ca="1">_xlfn.NORM.INV(RAND(),AVERAGE(Assumptions!$D$7,Assumptions!$F$7),(Assumptions!$F$7-Assumptions!$D$7)/3.29)*RANDBETWEEN(1,3)</f>
        <v>7365573.5503599681</v>
      </c>
      <c r="G74" s="3">
        <f ca="1">_xlfn.NORM.INV(RAND(),AVERAGE(Assumptions!$D$8,Assumptions!$F$8),(Assumptions!$F$8-Assumptions!$D$8)/3.29)*44</f>
        <v>1131150.3473983612</v>
      </c>
      <c r="H74" s="6">
        <f ca="1">_xlfn.NORM.INV(RAND(),AVERAGE(Assumptions!$D$9,Assumptions!$F$9),(Assumptions!$F$9-Assumptions!$D$9)/3.29)*21</f>
        <v>4063097.8326616543</v>
      </c>
      <c r="I74" s="9">
        <f ca="1">_xlfn.NORM.INV(RAND(),AVERAGE(Assumptions!$D$10,Assumptions!$F$10),(Assumptions!$F$10-Assumptions!$D$10)/3.29)*21</f>
        <v>901854.10283943452</v>
      </c>
      <c r="J74" s="12">
        <f ca="1">NORMINV(RAND(),AVERAGE(Assumptions!$D$11,Assumptions!$F$11),(Assumptions!$F$11-Assumptions!$D$11)/3.29)*44</f>
        <v>5506318.2943407241</v>
      </c>
      <c r="K74" s="15">
        <f ca="1">_xlfn.NORM.INV(RAND(),AVERAGE(Assumptions!$D$12,Assumptions!$F$12),(Assumptions!$F$12-Assumptions!$D$12)/3.29)*44</f>
        <v>10669147.218653046</v>
      </c>
      <c r="L74" s="3">
        <f ca="1">_xlfn.NORM.INV(RAND(),AVERAGE(Assumptions!$D$13,Assumptions!$F$13),(Assumptions!$F$13-Assumptions!$D$13)/3.29)*44</f>
        <v>12515680.461974647</v>
      </c>
      <c r="M74" s="6">
        <f ca="1">_xlfn.NORM.INV(RAND(),AVERAGE(Assumptions!$D$14,Assumptions!$F$14),(Assumptions!$F$14-Assumptions!$D$14)/3.29)*44</f>
        <v>6071499.6599704288</v>
      </c>
      <c r="N74" s="9">
        <f ca="1">_xlfn.NORM.INV(RAND(),AVERAGE(Assumptions!$D$16,Assumptions!$F$16),(Assumptions!$F$16-Assumptions!$D$16)/3.29)*44</f>
        <v>8622273.5757163968</v>
      </c>
      <c r="O74" s="12">
        <f ca="1">_xlfn.NORM.INV(RAND(),AVERAGE(Assumptions!$D$15,Assumptions!$F$15),(Assumptions!$F$15-Assumptions!$D$15)/3.29)*44</f>
        <v>60044116.790357754</v>
      </c>
      <c r="P74" s="15">
        <f>Assumptions!$D$18</f>
        <v>14641750.345627395</v>
      </c>
      <c r="Q74" s="3">
        <f t="shared" ca="1" si="2"/>
        <v>-4251796.527778171</v>
      </c>
      <c r="R74" s="6">
        <f t="shared" ca="1" si="3"/>
        <v>10389953.817849224</v>
      </c>
    </row>
    <row r="75" spans="1:18">
      <c r="A75" s="20">
        <v>74</v>
      </c>
      <c r="B75" s="3">
        <f ca="1">_xlfn.NORM.INV(RAND(),AVERAGE(Assumptions!$D$4,Assumptions!$F$4),(Assumptions!$F$4-Assumptions!$D$4)/3.29)*44</f>
        <v>1177208.39157893</v>
      </c>
      <c r="C75" s="6">
        <f ca="1">_xlfn.NORM.INV(RAND(),AVERAGE(Assumptions!$D$5,Assumptions!$F$5),(Assumptions!$F$5-Assumptions!$D$5)/3.29)*44</f>
        <v>1977418.0617998992</v>
      </c>
      <c r="D75" s="9">
        <f ca="1">_xlfn.NORM.INV(RAND(),AVERAGE(Assumptions!$D$6,Assumptions!$F$6),(Assumptions!$F$6-Assumptions!$D$6)/3.29)*RANDBETWEEN(2,5)</f>
        <v>6217220.8053380027</v>
      </c>
      <c r="E75" s="12">
        <f ca="1">_xlfn.NORM.INV(RAND(),AVERAGE(Assumptions!$D$17,Assumptions!$F$17),(Assumptions!$F$17-Assumptions!$D$17)/3.29)*8</f>
        <v>1058436.066359557</v>
      </c>
      <c r="F75" s="15">
        <f ca="1">_xlfn.NORM.INV(RAND(),AVERAGE(Assumptions!$D$7,Assumptions!$F$7),(Assumptions!$F$7-Assumptions!$D$7)/3.29)*RANDBETWEEN(1,3)</f>
        <v>2357858.7265446661</v>
      </c>
      <c r="G75" s="3">
        <f ca="1">_xlfn.NORM.INV(RAND(),AVERAGE(Assumptions!$D$8,Assumptions!$F$8),(Assumptions!$F$8-Assumptions!$D$8)/3.29)*44</f>
        <v>1140805.3976980299</v>
      </c>
      <c r="H75" s="6">
        <f ca="1">_xlfn.NORM.INV(RAND(),AVERAGE(Assumptions!$D$9,Assumptions!$F$9),(Assumptions!$F$9-Assumptions!$D$9)/3.29)*21</f>
        <v>5052973.8146940805</v>
      </c>
      <c r="I75" s="9">
        <f ca="1">_xlfn.NORM.INV(RAND(),AVERAGE(Assumptions!$D$10,Assumptions!$F$10),(Assumptions!$F$10-Assumptions!$D$10)/3.29)*21</f>
        <v>620327.29279353819</v>
      </c>
      <c r="J75" s="12">
        <f ca="1">NORMINV(RAND(),AVERAGE(Assumptions!$D$11,Assumptions!$F$11),(Assumptions!$F$11-Assumptions!$D$11)/3.29)*44</f>
        <v>2454163.3065443523</v>
      </c>
      <c r="K75" s="15">
        <f ca="1">_xlfn.NORM.INV(RAND(),AVERAGE(Assumptions!$D$12,Assumptions!$F$12),(Assumptions!$F$12-Assumptions!$D$12)/3.29)*44</f>
        <v>9540488.855183823</v>
      </c>
      <c r="L75" s="3">
        <f ca="1">_xlfn.NORM.INV(RAND(),AVERAGE(Assumptions!$D$13,Assumptions!$F$13),(Assumptions!$F$13-Assumptions!$D$13)/3.29)*44</f>
        <v>16608151.228049032</v>
      </c>
      <c r="M75" s="6">
        <f ca="1">_xlfn.NORM.INV(RAND(),AVERAGE(Assumptions!$D$14,Assumptions!$F$14),(Assumptions!$F$14-Assumptions!$D$14)/3.29)*44</f>
        <v>5776985.6402908247</v>
      </c>
      <c r="N75" s="9">
        <f ca="1">_xlfn.NORM.INV(RAND(),AVERAGE(Assumptions!$D$16,Assumptions!$F$16),(Assumptions!$F$16-Assumptions!$D$16)/3.29)*44</f>
        <v>9477650.3108766619</v>
      </c>
      <c r="O75" s="12">
        <f ca="1">_xlfn.NORM.INV(RAND(),AVERAGE(Assumptions!$D$15,Assumptions!$F$15),(Assumptions!$F$15-Assumptions!$D$15)/3.29)*44</f>
        <v>92479126.116593376</v>
      </c>
      <c r="P75" s="15">
        <f>Assumptions!$D$18</f>
        <v>14641750.345627395</v>
      </c>
      <c r="Q75" s="3">
        <f t="shared" ca="1" si="2"/>
        <v>29019438.218841977</v>
      </c>
      <c r="R75" s="6">
        <f t="shared" ca="1" si="3"/>
        <v>43661188.564469375</v>
      </c>
    </row>
    <row r="76" spans="1:18">
      <c r="A76" s="20">
        <v>75</v>
      </c>
      <c r="B76" s="3">
        <f ca="1">_xlfn.NORM.INV(RAND(),AVERAGE(Assumptions!$D$4,Assumptions!$F$4),(Assumptions!$F$4-Assumptions!$D$4)/3.29)*44</f>
        <v>1150309.130573363</v>
      </c>
      <c r="C76" s="6">
        <f ca="1">_xlfn.NORM.INV(RAND(),AVERAGE(Assumptions!$D$5,Assumptions!$F$5),(Assumptions!$F$5-Assumptions!$D$5)/3.29)*44</f>
        <v>1839740.8772793303</v>
      </c>
      <c r="D76" s="9">
        <f ca="1">_xlfn.NORM.INV(RAND(),AVERAGE(Assumptions!$D$6,Assumptions!$F$6),(Assumptions!$F$6-Assumptions!$D$6)/3.29)*RANDBETWEEN(2,5)</f>
        <v>3154022.3784678462</v>
      </c>
      <c r="E76" s="12">
        <f ca="1">_xlfn.NORM.INV(RAND(),AVERAGE(Assumptions!$D$17,Assumptions!$F$17),(Assumptions!$F$17-Assumptions!$D$17)/3.29)*8</f>
        <v>755523.31762059894</v>
      </c>
      <c r="F76" s="15">
        <f ca="1">_xlfn.NORM.INV(RAND(),AVERAGE(Assumptions!$D$7,Assumptions!$F$7),(Assumptions!$F$7-Assumptions!$D$7)/3.29)*RANDBETWEEN(1,3)</f>
        <v>4298105.2594004748</v>
      </c>
      <c r="G76" s="3">
        <f ca="1">_xlfn.NORM.INV(RAND(),AVERAGE(Assumptions!$D$8,Assumptions!$F$8),(Assumptions!$F$8-Assumptions!$D$8)/3.29)*44</f>
        <v>1149065.8020107588</v>
      </c>
      <c r="H76" s="6">
        <f ca="1">_xlfn.NORM.INV(RAND(),AVERAGE(Assumptions!$D$9,Assumptions!$F$9),(Assumptions!$F$9-Assumptions!$D$9)/3.29)*21</f>
        <v>5865857.5397056472</v>
      </c>
      <c r="I76" s="9">
        <f ca="1">_xlfn.NORM.INV(RAND(),AVERAGE(Assumptions!$D$10,Assumptions!$F$10),(Assumptions!$F$10-Assumptions!$D$10)/3.29)*21</f>
        <v>1273805.8431910879</v>
      </c>
      <c r="J76" s="12">
        <f ca="1">NORMINV(RAND(),AVERAGE(Assumptions!$D$11,Assumptions!$F$11),(Assumptions!$F$11-Assumptions!$D$11)/3.29)*44</f>
        <v>4886476.4190376904</v>
      </c>
      <c r="K76" s="15">
        <f ca="1">_xlfn.NORM.INV(RAND(),AVERAGE(Assumptions!$D$12,Assumptions!$F$12),(Assumptions!$F$12-Assumptions!$D$12)/3.29)*44</f>
        <v>10743412.208226014</v>
      </c>
      <c r="L76" s="3">
        <f ca="1">_xlfn.NORM.INV(RAND(),AVERAGE(Assumptions!$D$13,Assumptions!$F$13),(Assumptions!$F$13-Assumptions!$D$13)/3.29)*44</f>
        <v>13941440.981198987</v>
      </c>
      <c r="M76" s="6">
        <f ca="1">_xlfn.NORM.INV(RAND(),AVERAGE(Assumptions!$D$14,Assumptions!$F$14),(Assumptions!$F$14-Assumptions!$D$14)/3.29)*44</f>
        <v>7280996.2154201018</v>
      </c>
      <c r="N76" s="9">
        <f ca="1">_xlfn.NORM.INV(RAND(),AVERAGE(Assumptions!$D$16,Assumptions!$F$16),(Assumptions!$F$16-Assumptions!$D$16)/3.29)*44</f>
        <v>10716690.84327288</v>
      </c>
      <c r="O76" s="12">
        <f ca="1">_xlfn.NORM.INV(RAND(),AVERAGE(Assumptions!$D$15,Assumptions!$F$15),(Assumptions!$F$15-Assumptions!$D$15)/3.29)*44</f>
        <v>51519060.57131286</v>
      </c>
      <c r="P76" s="15">
        <f>Assumptions!$D$18</f>
        <v>14641750.345627395</v>
      </c>
      <c r="Q76" s="3">
        <f t="shared" ca="1" si="2"/>
        <v>-15536386.244091921</v>
      </c>
      <c r="R76" s="6">
        <f t="shared" ca="1" si="3"/>
        <v>-894635.89846452512</v>
      </c>
    </row>
    <row r="77" spans="1:18">
      <c r="A77" s="20">
        <v>76</v>
      </c>
      <c r="B77" s="3">
        <f ca="1">_xlfn.NORM.INV(RAND(),AVERAGE(Assumptions!$D$4,Assumptions!$F$4),(Assumptions!$F$4-Assumptions!$D$4)/3.29)*44</f>
        <v>1190388.6039896009</v>
      </c>
      <c r="C77" s="6">
        <f ca="1">_xlfn.NORM.INV(RAND(),AVERAGE(Assumptions!$D$5,Assumptions!$F$5),(Assumptions!$F$5-Assumptions!$D$5)/3.29)*44</f>
        <v>1909177.686547481</v>
      </c>
      <c r="D77" s="9">
        <f ca="1">_xlfn.NORM.INV(RAND(),AVERAGE(Assumptions!$D$6,Assumptions!$F$6),(Assumptions!$F$6-Assumptions!$D$6)/3.29)*RANDBETWEEN(2,5)</f>
        <v>5426828.2614682112</v>
      </c>
      <c r="E77" s="12">
        <f ca="1">_xlfn.NORM.INV(RAND(),AVERAGE(Assumptions!$D$17,Assumptions!$F$17),(Assumptions!$F$17-Assumptions!$D$17)/3.29)*8</f>
        <v>901327.50753721106</v>
      </c>
      <c r="F77" s="15">
        <f ca="1">_xlfn.NORM.INV(RAND(),AVERAGE(Assumptions!$D$7,Assumptions!$F$7),(Assumptions!$F$7-Assumptions!$D$7)/3.29)*RANDBETWEEN(1,3)</f>
        <v>2994605.7184406272</v>
      </c>
      <c r="G77" s="3">
        <f ca="1">_xlfn.NORM.INV(RAND(),AVERAGE(Assumptions!$D$8,Assumptions!$F$8),(Assumptions!$F$8-Assumptions!$D$8)/3.29)*44</f>
        <v>1194399.7777407025</v>
      </c>
      <c r="H77" s="6">
        <f ca="1">_xlfn.NORM.INV(RAND(),AVERAGE(Assumptions!$D$9,Assumptions!$F$9),(Assumptions!$F$9-Assumptions!$D$9)/3.29)*21</f>
        <v>4611107.7408729363</v>
      </c>
      <c r="I77" s="9">
        <f ca="1">_xlfn.NORM.INV(RAND(),AVERAGE(Assumptions!$D$10,Assumptions!$F$10),(Assumptions!$F$10-Assumptions!$D$10)/3.29)*21</f>
        <v>988735.43847688055</v>
      </c>
      <c r="J77" s="12">
        <f ca="1">NORMINV(RAND(),AVERAGE(Assumptions!$D$11,Assumptions!$F$11),(Assumptions!$F$11-Assumptions!$D$11)/3.29)*44</f>
        <v>2145500.6098494763</v>
      </c>
      <c r="K77" s="15">
        <f ca="1">_xlfn.NORM.INV(RAND(),AVERAGE(Assumptions!$D$12,Assumptions!$F$12),(Assumptions!$F$12-Assumptions!$D$12)/3.29)*44</f>
        <v>10103227.406677369</v>
      </c>
      <c r="L77" s="3">
        <f ca="1">_xlfn.NORM.INV(RAND(),AVERAGE(Assumptions!$D$13,Assumptions!$F$13),(Assumptions!$F$13-Assumptions!$D$13)/3.29)*44</f>
        <v>18918892.642725307</v>
      </c>
      <c r="M77" s="6">
        <f ca="1">_xlfn.NORM.INV(RAND(),AVERAGE(Assumptions!$D$14,Assumptions!$F$14),(Assumptions!$F$14-Assumptions!$D$14)/3.29)*44</f>
        <v>6452071.8822803041</v>
      </c>
      <c r="N77" s="9">
        <f ca="1">_xlfn.NORM.INV(RAND(),AVERAGE(Assumptions!$D$16,Assumptions!$F$16),(Assumptions!$F$16-Assumptions!$D$16)/3.29)*44</f>
        <v>7667837.3895062944</v>
      </c>
      <c r="O77" s="12">
        <f ca="1">_xlfn.NORM.INV(RAND(),AVERAGE(Assumptions!$D$15,Assumptions!$F$15),(Assumptions!$F$15-Assumptions!$D$15)/3.29)*44</f>
        <v>85125345.44353193</v>
      </c>
      <c r="P77" s="15">
        <f>Assumptions!$D$18</f>
        <v>14641750.345627395</v>
      </c>
      <c r="Q77" s="3">
        <f t="shared" ca="1" si="2"/>
        <v>20621244.77741953</v>
      </c>
      <c r="R77" s="6">
        <f t="shared" ca="1" si="3"/>
        <v>35262995.123046927</v>
      </c>
    </row>
    <row r="78" spans="1:18">
      <c r="A78" s="20">
        <v>77</v>
      </c>
      <c r="B78" s="3">
        <f ca="1">_xlfn.NORM.INV(RAND(),AVERAGE(Assumptions!$D$4,Assumptions!$F$4),(Assumptions!$F$4-Assumptions!$D$4)/3.29)*44</f>
        <v>1112516.5268952576</v>
      </c>
      <c r="C78" s="6">
        <f ca="1">_xlfn.NORM.INV(RAND(),AVERAGE(Assumptions!$D$5,Assumptions!$F$5),(Assumptions!$F$5-Assumptions!$D$5)/3.29)*44</f>
        <v>1778889.5820778115</v>
      </c>
      <c r="D78" s="9">
        <f ca="1">_xlfn.NORM.INV(RAND(),AVERAGE(Assumptions!$D$6,Assumptions!$F$6),(Assumptions!$F$6-Assumptions!$D$6)/3.29)*RANDBETWEEN(2,5)</f>
        <v>2029164.7986127061</v>
      </c>
      <c r="E78" s="12">
        <f ca="1">_xlfn.NORM.INV(RAND(),AVERAGE(Assumptions!$D$17,Assumptions!$F$17),(Assumptions!$F$17-Assumptions!$D$17)/3.29)*8</f>
        <v>858363.84104525449</v>
      </c>
      <c r="F78" s="15">
        <f ca="1">_xlfn.NORM.INV(RAND(),AVERAGE(Assumptions!$D$7,Assumptions!$F$7),(Assumptions!$F$7-Assumptions!$D$7)/3.29)*RANDBETWEEN(1,3)</f>
        <v>9573407.1382171642</v>
      </c>
      <c r="G78" s="3">
        <f ca="1">_xlfn.NORM.INV(RAND(),AVERAGE(Assumptions!$D$8,Assumptions!$F$8),(Assumptions!$F$8-Assumptions!$D$8)/3.29)*44</f>
        <v>1261719.7720653408</v>
      </c>
      <c r="H78" s="6">
        <f ca="1">_xlfn.NORM.INV(RAND(),AVERAGE(Assumptions!$D$9,Assumptions!$F$9),(Assumptions!$F$9-Assumptions!$D$9)/3.29)*21</f>
        <v>4699395.7097720252</v>
      </c>
      <c r="I78" s="9">
        <f ca="1">_xlfn.NORM.INV(RAND(),AVERAGE(Assumptions!$D$10,Assumptions!$F$10),(Assumptions!$F$10-Assumptions!$D$10)/3.29)*21</f>
        <v>587982.76967410429</v>
      </c>
      <c r="J78" s="12">
        <f ca="1">NORMINV(RAND(),AVERAGE(Assumptions!$D$11,Assumptions!$F$11),(Assumptions!$F$11-Assumptions!$D$11)/3.29)*44</f>
        <v>1736050.7402875964</v>
      </c>
      <c r="K78" s="15">
        <f ca="1">_xlfn.NORM.INV(RAND(),AVERAGE(Assumptions!$D$12,Assumptions!$F$12),(Assumptions!$F$12-Assumptions!$D$12)/3.29)*44</f>
        <v>9807095.732200589</v>
      </c>
      <c r="L78" s="3">
        <f ca="1">_xlfn.NORM.INV(RAND(),AVERAGE(Assumptions!$D$13,Assumptions!$F$13),(Assumptions!$F$13-Assumptions!$D$13)/3.29)*44</f>
        <v>18436718.064712521</v>
      </c>
      <c r="M78" s="6">
        <f ca="1">_xlfn.NORM.INV(RAND(),AVERAGE(Assumptions!$D$14,Assumptions!$F$14),(Assumptions!$F$14-Assumptions!$D$14)/3.29)*44</f>
        <v>5833416.7484031683</v>
      </c>
      <c r="N78" s="9">
        <f ca="1">_xlfn.NORM.INV(RAND(),AVERAGE(Assumptions!$D$16,Assumptions!$F$16),(Assumptions!$F$16-Assumptions!$D$16)/3.29)*44</f>
        <v>9993661.7997334823</v>
      </c>
      <c r="O78" s="12">
        <f ca="1">_xlfn.NORM.INV(RAND(),AVERAGE(Assumptions!$D$15,Assumptions!$F$15),(Assumptions!$F$15-Assumptions!$D$15)/3.29)*44</f>
        <v>130857556.93631271</v>
      </c>
      <c r="P78" s="15">
        <f>Assumptions!$D$18</f>
        <v>14641750.345627395</v>
      </c>
      <c r="Q78" s="3">
        <f t="shared" ca="1" si="2"/>
        <v>63149173.712615684</v>
      </c>
      <c r="R78" s="6">
        <f t="shared" ca="1" si="3"/>
        <v>77790924.058243081</v>
      </c>
    </row>
    <row r="79" spans="1:18">
      <c r="A79" s="20">
        <v>78</v>
      </c>
      <c r="B79" s="3">
        <f ca="1">_xlfn.NORM.INV(RAND(),AVERAGE(Assumptions!$D$4,Assumptions!$F$4),(Assumptions!$F$4-Assumptions!$D$4)/3.29)*44</f>
        <v>1179759.0721821182</v>
      </c>
      <c r="C79" s="6">
        <f ca="1">_xlfn.NORM.INV(RAND(),AVERAGE(Assumptions!$D$5,Assumptions!$F$5),(Assumptions!$F$5-Assumptions!$D$5)/3.29)*44</f>
        <v>1992857.7042783787</v>
      </c>
      <c r="D79" s="9">
        <f ca="1">_xlfn.NORM.INV(RAND(),AVERAGE(Assumptions!$D$6,Assumptions!$F$6),(Assumptions!$F$6-Assumptions!$D$6)/3.29)*RANDBETWEEN(2,5)</f>
        <v>1829432.2408563788</v>
      </c>
      <c r="E79" s="12">
        <f ca="1">_xlfn.NORM.INV(RAND(),AVERAGE(Assumptions!$D$17,Assumptions!$F$17),(Assumptions!$F$17-Assumptions!$D$17)/3.29)*8</f>
        <v>1013931.0644644684</v>
      </c>
      <c r="F79" s="15">
        <f ca="1">_xlfn.NORM.INV(RAND(),AVERAGE(Assumptions!$D$7,Assumptions!$F$7),(Assumptions!$F$7-Assumptions!$D$7)/3.29)*RANDBETWEEN(1,3)</f>
        <v>2477109.2661325778</v>
      </c>
      <c r="G79" s="3">
        <f ca="1">_xlfn.NORM.INV(RAND(),AVERAGE(Assumptions!$D$8,Assumptions!$F$8),(Assumptions!$F$8-Assumptions!$D$8)/3.29)*44</f>
        <v>1109240.7757401487</v>
      </c>
      <c r="H79" s="6">
        <f ca="1">_xlfn.NORM.INV(RAND(),AVERAGE(Assumptions!$D$9,Assumptions!$F$9),(Assumptions!$F$9-Assumptions!$D$9)/3.29)*21</f>
        <v>4994690.5716019217</v>
      </c>
      <c r="I79" s="9">
        <f ca="1">_xlfn.NORM.INV(RAND(),AVERAGE(Assumptions!$D$10,Assumptions!$F$10),(Assumptions!$F$10-Assumptions!$D$10)/3.29)*21</f>
        <v>1050006.7699903303</v>
      </c>
      <c r="J79" s="12">
        <f ca="1">NORMINV(RAND(),AVERAGE(Assumptions!$D$11,Assumptions!$F$11),(Assumptions!$F$11-Assumptions!$D$11)/3.29)*44</f>
        <v>4047685.8528744336</v>
      </c>
      <c r="K79" s="15">
        <f ca="1">_xlfn.NORM.INV(RAND(),AVERAGE(Assumptions!$D$12,Assumptions!$F$12),(Assumptions!$F$12-Assumptions!$D$12)/3.29)*44</f>
        <v>9381471.3198642321</v>
      </c>
      <c r="L79" s="3">
        <f ca="1">_xlfn.NORM.INV(RAND(),AVERAGE(Assumptions!$D$13,Assumptions!$F$13),(Assumptions!$F$13-Assumptions!$D$13)/3.29)*44</f>
        <v>21099098.757468726</v>
      </c>
      <c r="M79" s="6">
        <f ca="1">_xlfn.NORM.INV(RAND(),AVERAGE(Assumptions!$D$14,Assumptions!$F$14),(Assumptions!$F$14-Assumptions!$D$14)/3.29)*44</f>
        <v>6319249.0710691521</v>
      </c>
      <c r="N79" s="9">
        <f ca="1">_xlfn.NORM.INV(RAND(),AVERAGE(Assumptions!$D$16,Assumptions!$F$16),(Assumptions!$F$16-Assumptions!$D$16)/3.29)*44</f>
        <v>9938369.4860365428</v>
      </c>
      <c r="O79" s="12">
        <f ca="1">_xlfn.NORM.INV(RAND(),AVERAGE(Assumptions!$D$15,Assumptions!$F$15),(Assumptions!$F$15-Assumptions!$D$15)/3.29)*44</f>
        <v>51612177.813090429</v>
      </c>
      <c r="P79" s="15">
        <f>Assumptions!$D$18</f>
        <v>14641750.345627395</v>
      </c>
      <c r="Q79" s="3">
        <f t="shared" ca="1" si="2"/>
        <v>-14820724.139468983</v>
      </c>
      <c r="R79" s="6">
        <f t="shared" ca="1" si="3"/>
        <v>-178973.79384158738</v>
      </c>
    </row>
    <row r="80" spans="1:18">
      <c r="A80" s="20">
        <v>79</v>
      </c>
      <c r="B80" s="3">
        <f ca="1">_xlfn.NORM.INV(RAND(),AVERAGE(Assumptions!$D$4,Assumptions!$F$4),(Assumptions!$F$4-Assumptions!$D$4)/3.29)*44</f>
        <v>1295689.5492847234</v>
      </c>
      <c r="C80" s="6">
        <f ca="1">_xlfn.NORM.INV(RAND(),AVERAGE(Assumptions!$D$5,Assumptions!$F$5),(Assumptions!$F$5-Assumptions!$D$5)/3.29)*44</f>
        <v>1993095.1479826956</v>
      </c>
      <c r="D80" s="9">
        <f ca="1">_xlfn.NORM.INV(RAND(),AVERAGE(Assumptions!$D$6,Assumptions!$F$6),(Assumptions!$F$6-Assumptions!$D$6)/3.29)*RANDBETWEEN(2,5)</f>
        <v>5698582.830914394</v>
      </c>
      <c r="E80" s="12">
        <f ca="1">_xlfn.NORM.INV(RAND(),AVERAGE(Assumptions!$D$17,Assumptions!$F$17),(Assumptions!$F$17-Assumptions!$D$17)/3.29)*8</f>
        <v>950485.6588645333</v>
      </c>
      <c r="F80" s="15">
        <f ca="1">_xlfn.NORM.INV(RAND(),AVERAGE(Assumptions!$D$7,Assumptions!$F$7),(Assumptions!$F$7-Assumptions!$D$7)/3.29)*RANDBETWEEN(1,3)</f>
        <v>4039878.088495302</v>
      </c>
      <c r="G80" s="3">
        <f ca="1">_xlfn.NORM.INV(RAND(),AVERAGE(Assumptions!$D$8,Assumptions!$F$8),(Assumptions!$F$8-Assumptions!$D$8)/3.29)*44</f>
        <v>755608.43180986762</v>
      </c>
      <c r="H80" s="6">
        <f ca="1">_xlfn.NORM.INV(RAND(),AVERAGE(Assumptions!$D$9,Assumptions!$F$9),(Assumptions!$F$9-Assumptions!$D$9)/3.29)*21</f>
        <v>4688946.541162408</v>
      </c>
      <c r="I80" s="9">
        <f ca="1">_xlfn.NORM.INV(RAND(),AVERAGE(Assumptions!$D$10,Assumptions!$F$10),(Assumptions!$F$10-Assumptions!$D$10)/3.29)*21</f>
        <v>1174849.282764012</v>
      </c>
      <c r="J80" s="12">
        <f ca="1">NORMINV(RAND(),AVERAGE(Assumptions!$D$11,Assumptions!$F$11),(Assumptions!$F$11-Assumptions!$D$11)/3.29)*44</f>
        <v>1935467.0399245683</v>
      </c>
      <c r="K80" s="15">
        <f ca="1">_xlfn.NORM.INV(RAND(),AVERAGE(Assumptions!$D$12,Assumptions!$F$12),(Assumptions!$F$12-Assumptions!$D$12)/3.29)*44</f>
        <v>6335966.6658205036</v>
      </c>
      <c r="L80" s="3">
        <f ca="1">_xlfn.NORM.INV(RAND(),AVERAGE(Assumptions!$D$13,Assumptions!$F$13),(Assumptions!$F$13-Assumptions!$D$13)/3.29)*44</f>
        <v>12405390.067299468</v>
      </c>
      <c r="M80" s="6">
        <f ca="1">_xlfn.NORM.INV(RAND(),AVERAGE(Assumptions!$D$14,Assumptions!$F$14),(Assumptions!$F$14-Assumptions!$D$14)/3.29)*44</f>
        <v>5097258.3852425506</v>
      </c>
      <c r="N80" s="9">
        <f ca="1">_xlfn.NORM.INV(RAND(),AVERAGE(Assumptions!$D$16,Assumptions!$F$16),(Assumptions!$F$16-Assumptions!$D$16)/3.29)*44</f>
        <v>21928823.714139085</v>
      </c>
      <c r="O80" s="12">
        <f ca="1">_xlfn.NORM.INV(RAND(),AVERAGE(Assumptions!$D$15,Assumptions!$F$15),(Assumptions!$F$15-Assumptions!$D$15)/3.29)*44</f>
        <v>65790004.050962113</v>
      </c>
      <c r="P80" s="15">
        <f>Assumptions!$D$18</f>
        <v>14641750.345627395</v>
      </c>
      <c r="Q80" s="3">
        <f t="shared" ca="1" si="2"/>
        <v>-2510037.352741994</v>
      </c>
      <c r="R80" s="6">
        <f t="shared" ca="1" si="3"/>
        <v>12131712.992885401</v>
      </c>
    </row>
    <row r="81" spans="1:18">
      <c r="A81" s="20">
        <v>80</v>
      </c>
      <c r="B81" s="3">
        <f ca="1">_xlfn.NORM.INV(RAND(),AVERAGE(Assumptions!$D$4,Assumptions!$F$4),(Assumptions!$F$4-Assumptions!$D$4)/3.29)*44</f>
        <v>1226925.6906666739</v>
      </c>
      <c r="C81" s="6">
        <f ca="1">_xlfn.NORM.INV(RAND(),AVERAGE(Assumptions!$D$5,Assumptions!$F$5),(Assumptions!$F$5-Assumptions!$D$5)/3.29)*44</f>
        <v>1624706.4130414273</v>
      </c>
      <c r="D81" s="9">
        <f ca="1">_xlfn.NORM.INV(RAND(),AVERAGE(Assumptions!$D$6,Assumptions!$F$6),(Assumptions!$F$6-Assumptions!$D$6)/3.29)*RANDBETWEEN(2,5)</f>
        <v>537545.348882013</v>
      </c>
      <c r="E81" s="12">
        <f ca="1">_xlfn.NORM.INV(RAND(),AVERAGE(Assumptions!$D$17,Assumptions!$F$17),(Assumptions!$F$17-Assumptions!$D$17)/3.29)*8</f>
        <v>850396.12376981892</v>
      </c>
      <c r="F81" s="15">
        <f ca="1">_xlfn.NORM.INV(RAND(),AVERAGE(Assumptions!$D$7,Assumptions!$F$7),(Assumptions!$F$7-Assumptions!$D$7)/3.29)*RANDBETWEEN(1,3)</f>
        <v>5752823.5935838232</v>
      </c>
      <c r="G81" s="3">
        <f ca="1">_xlfn.NORM.INV(RAND(),AVERAGE(Assumptions!$D$8,Assumptions!$F$8),(Assumptions!$F$8-Assumptions!$D$8)/3.29)*44</f>
        <v>1663977.3496147867</v>
      </c>
      <c r="H81" s="6">
        <f ca="1">_xlfn.NORM.INV(RAND(),AVERAGE(Assumptions!$D$9,Assumptions!$F$9),(Assumptions!$F$9-Assumptions!$D$9)/3.29)*21</f>
        <v>4740327.5774758887</v>
      </c>
      <c r="I81" s="9">
        <f ca="1">_xlfn.NORM.INV(RAND(),AVERAGE(Assumptions!$D$10,Assumptions!$F$10),(Assumptions!$F$10-Assumptions!$D$10)/3.29)*21</f>
        <v>845462.86381073599</v>
      </c>
      <c r="J81" s="12">
        <f ca="1">NORMINV(RAND(),AVERAGE(Assumptions!$D$11,Assumptions!$F$11),(Assumptions!$F$11-Assumptions!$D$11)/3.29)*44</f>
        <v>5447068.3781167176</v>
      </c>
      <c r="K81" s="15">
        <f ca="1">_xlfn.NORM.INV(RAND(),AVERAGE(Assumptions!$D$12,Assumptions!$F$12),(Assumptions!$F$12-Assumptions!$D$12)/3.29)*44</f>
        <v>8635566.2458998933</v>
      </c>
      <c r="L81" s="3">
        <f ca="1">_xlfn.NORM.INV(RAND(),AVERAGE(Assumptions!$D$13,Assumptions!$F$13),(Assumptions!$F$13-Assumptions!$D$13)/3.29)*44</f>
        <v>16396654.058602408</v>
      </c>
      <c r="M81" s="6">
        <f ca="1">_xlfn.NORM.INV(RAND(),AVERAGE(Assumptions!$D$14,Assumptions!$F$14),(Assumptions!$F$14-Assumptions!$D$14)/3.29)*44</f>
        <v>7358438.2569957646</v>
      </c>
      <c r="N81" s="9">
        <f ca="1">_xlfn.NORM.INV(RAND(),AVERAGE(Assumptions!$D$16,Assumptions!$F$16),(Assumptions!$F$16-Assumptions!$D$16)/3.29)*44</f>
        <v>3806950.1058712653</v>
      </c>
      <c r="O81" s="12">
        <f ca="1">_xlfn.NORM.INV(RAND(),AVERAGE(Assumptions!$D$15,Assumptions!$F$15),(Assumptions!$F$15-Assumptions!$D$15)/3.29)*44</f>
        <v>-50722387.679789737</v>
      </c>
      <c r="P81" s="15">
        <f>Assumptions!$D$18</f>
        <v>14641750.345627395</v>
      </c>
      <c r="Q81" s="3">
        <f t="shared" ca="1" si="2"/>
        <v>-109609229.68612096</v>
      </c>
      <c r="R81" s="6">
        <f t="shared" ca="1" si="3"/>
        <v>-94967479.34049356</v>
      </c>
    </row>
    <row r="82" spans="1:18">
      <c r="A82" s="20">
        <v>81</v>
      </c>
      <c r="B82" s="3">
        <f ca="1">_xlfn.NORM.INV(RAND(),AVERAGE(Assumptions!$D$4,Assumptions!$F$4),(Assumptions!$F$4-Assumptions!$D$4)/3.29)*44</f>
        <v>1195111.255413569</v>
      </c>
      <c r="C82" s="6">
        <f ca="1">_xlfn.NORM.INV(RAND(),AVERAGE(Assumptions!$D$5,Assumptions!$F$5),(Assumptions!$F$5-Assumptions!$D$5)/3.29)*44</f>
        <v>1614347.6501283543</v>
      </c>
      <c r="D82" s="9">
        <f ca="1">_xlfn.NORM.INV(RAND(),AVERAGE(Assumptions!$D$6,Assumptions!$F$6),(Assumptions!$F$6-Assumptions!$D$6)/3.29)*RANDBETWEEN(2,5)</f>
        <v>1552771.5770869409</v>
      </c>
      <c r="E82" s="12">
        <f ca="1">_xlfn.NORM.INV(RAND(),AVERAGE(Assumptions!$D$17,Assumptions!$F$17),(Assumptions!$F$17-Assumptions!$D$17)/3.29)*8</f>
        <v>1092794.5102410493</v>
      </c>
      <c r="F82" s="15">
        <f ca="1">_xlfn.NORM.INV(RAND(),AVERAGE(Assumptions!$D$7,Assumptions!$F$7),(Assumptions!$F$7-Assumptions!$D$7)/3.29)*RANDBETWEEN(1,3)</f>
        <v>7361987.871518679</v>
      </c>
      <c r="G82" s="3">
        <f ca="1">_xlfn.NORM.INV(RAND(),AVERAGE(Assumptions!$D$8,Assumptions!$F$8),(Assumptions!$F$8-Assumptions!$D$8)/3.29)*44</f>
        <v>839377.05744276941</v>
      </c>
      <c r="H82" s="6">
        <f ca="1">_xlfn.NORM.INV(RAND(),AVERAGE(Assumptions!$D$9,Assumptions!$F$9),(Assumptions!$F$9-Assumptions!$D$9)/3.29)*21</f>
        <v>2928123.8204997354</v>
      </c>
      <c r="I82" s="9">
        <f ca="1">_xlfn.NORM.INV(RAND(),AVERAGE(Assumptions!$D$10,Assumptions!$F$10),(Assumptions!$F$10-Assumptions!$D$10)/3.29)*21</f>
        <v>710060.32584555028</v>
      </c>
      <c r="J82" s="12">
        <f ca="1">NORMINV(RAND(),AVERAGE(Assumptions!$D$11,Assumptions!$F$11),(Assumptions!$F$11-Assumptions!$D$11)/3.29)*44</f>
        <v>3024633.7758284137</v>
      </c>
      <c r="K82" s="15">
        <f ca="1">_xlfn.NORM.INV(RAND(),AVERAGE(Assumptions!$D$12,Assumptions!$F$12),(Assumptions!$F$12-Assumptions!$D$12)/3.29)*44</f>
        <v>7930301.4651130484</v>
      </c>
      <c r="L82" s="3">
        <f ca="1">_xlfn.NORM.INV(RAND(),AVERAGE(Assumptions!$D$13,Assumptions!$F$13),(Assumptions!$F$13-Assumptions!$D$13)/3.29)*44</f>
        <v>8545161.289891202</v>
      </c>
      <c r="M82" s="6">
        <f ca="1">_xlfn.NORM.INV(RAND(),AVERAGE(Assumptions!$D$14,Assumptions!$F$14),(Assumptions!$F$14-Assumptions!$D$14)/3.29)*44</f>
        <v>4481607.2597456211</v>
      </c>
      <c r="N82" s="9">
        <f ca="1">_xlfn.NORM.INV(RAND(),AVERAGE(Assumptions!$D$16,Assumptions!$F$16),(Assumptions!$F$16-Assumptions!$D$16)/3.29)*44</f>
        <v>12816003.947072325</v>
      </c>
      <c r="O82" s="12">
        <f ca="1">_xlfn.NORM.INV(RAND(),AVERAGE(Assumptions!$D$15,Assumptions!$F$15),(Assumptions!$F$15-Assumptions!$D$15)/3.29)*44</f>
        <v>97898087.949033365</v>
      </c>
      <c r="P82" s="15">
        <f>Assumptions!$D$18</f>
        <v>14641750.345627395</v>
      </c>
      <c r="Q82" s="3">
        <f t="shared" ca="1" si="2"/>
        <v>43805806.143206112</v>
      </c>
      <c r="R82" s="6">
        <f t="shared" ca="1" si="3"/>
        <v>58447556.488833509</v>
      </c>
    </row>
    <row r="83" spans="1:18">
      <c r="A83" s="20">
        <v>82</v>
      </c>
      <c r="B83" s="3">
        <f ca="1">_xlfn.NORM.INV(RAND(),AVERAGE(Assumptions!$D$4,Assumptions!$F$4),(Assumptions!$F$4-Assumptions!$D$4)/3.29)*44</f>
        <v>1226609.6468350329</v>
      </c>
      <c r="C83" s="6">
        <f ca="1">_xlfn.NORM.INV(RAND(),AVERAGE(Assumptions!$D$5,Assumptions!$F$5),(Assumptions!$F$5-Assumptions!$D$5)/3.29)*44</f>
        <v>1788410.0811829369</v>
      </c>
      <c r="D83" s="9">
        <f ca="1">_xlfn.NORM.INV(RAND(),AVERAGE(Assumptions!$D$6,Assumptions!$F$6),(Assumptions!$F$6-Assumptions!$D$6)/3.29)*RANDBETWEEN(2,5)</f>
        <v>2303904.0995857758</v>
      </c>
      <c r="E83" s="12">
        <f ca="1">_xlfn.NORM.INV(RAND(),AVERAGE(Assumptions!$D$17,Assumptions!$F$17),(Assumptions!$F$17-Assumptions!$D$17)/3.29)*8</f>
        <v>942323.03890365548</v>
      </c>
      <c r="F83" s="15">
        <f ca="1">_xlfn.NORM.INV(RAND(),AVERAGE(Assumptions!$D$7,Assumptions!$F$7),(Assumptions!$F$7-Assumptions!$D$7)/3.29)*RANDBETWEEN(1,3)</f>
        <v>6168359.4347796803</v>
      </c>
      <c r="G83" s="3">
        <f ca="1">_xlfn.NORM.INV(RAND(),AVERAGE(Assumptions!$D$8,Assumptions!$F$8),(Assumptions!$F$8-Assumptions!$D$8)/3.29)*44</f>
        <v>837998.49484400835</v>
      </c>
      <c r="H83" s="6">
        <f ca="1">_xlfn.NORM.INV(RAND(),AVERAGE(Assumptions!$D$9,Assumptions!$F$9),(Assumptions!$F$9-Assumptions!$D$9)/3.29)*21</f>
        <v>5212939.0413806932</v>
      </c>
      <c r="I83" s="9">
        <f ca="1">_xlfn.NORM.INV(RAND(),AVERAGE(Assumptions!$D$10,Assumptions!$F$10),(Assumptions!$F$10-Assumptions!$D$10)/3.29)*21</f>
        <v>874424.61097405932</v>
      </c>
      <c r="J83" s="12">
        <f ca="1">NORMINV(RAND(),AVERAGE(Assumptions!$D$11,Assumptions!$F$11),(Assumptions!$F$11-Assumptions!$D$11)/3.29)*44</f>
        <v>4163102.5512265256</v>
      </c>
      <c r="K83" s="15">
        <f ca="1">_xlfn.NORM.INV(RAND(),AVERAGE(Assumptions!$D$12,Assumptions!$F$12),(Assumptions!$F$12-Assumptions!$D$12)/3.29)*44</f>
        <v>5840902.7324086456</v>
      </c>
      <c r="L83" s="3">
        <f ca="1">_xlfn.NORM.INV(RAND(),AVERAGE(Assumptions!$D$13,Assumptions!$F$13),(Assumptions!$F$13-Assumptions!$D$13)/3.29)*44</f>
        <v>13657739.190764634</v>
      </c>
      <c r="M83" s="6">
        <f ca="1">_xlfn.NORM.INV(RAND(),AVERAGE(Assumptions!$D$14,Assumptions!$F$14),(Assumptions!$F$14-Assumptions!$D$14)/3.29)*44</f>
        <v>6680374.5395858474</v>
      </c>
      <c r="N83" s="9">
        <f ca="1">_xlfn.NORM.INV(RAND(),AVERAGE(Assumptions!$D$16,Assumptions!$F$16),(Assumptions!$F$16-Assumptions!$D$16)/3.29)*44</f>
        <v>1622146.0502540574</v>
      </c>
      <c r="O83" s="12">
        <f ca="1">_xlfn.NORM.INV(RAND(),AVERAGE(Assumptions!$D$15,Assumptions!$F$15),(Assumptions!$F$15-Assumptions!$D$15)/3.29)*44</f>
        <v>-12698082.540564584</v>
      </c>
      <c r="P83" s="15">
        <f>Assumptions!$D$18</f>
        <v>14641750.345627395</v>
      </c>
      <c r="Q83" s="3">
        <f t="shared" ca="1" si="2"/>
        <v>-64017316.053290136</v>
      </c>
      <c r="R83" s="6">
        <f t="shared" ca="1" si="3"/>
        <v>-49375565.707662739</v>
      </c>
    </row>
    <row r="84" spans="1:18">
      <c r="A84" s="20">
        <v>83</v>
      </c>
      <c r="B84" s="3">
        <f ca="1">_xlfn.NORM.INV(RAND(),AVERAGE(Assumptions!$D$4,Assumptions!$F$4),(Assumptions!$F$4-Assumptions!$D$4)/3.29)*44</f>
        <v>1067070.8131209777</v>
      </c>
      <c r="C84" s="6">
        <f ca="1">_xlfn.NORM.INV(RAND(),AVERAGE(Assumptions!$D$5,Assumptions!$F$5),(Assumptions!$F$5-Assumptions!$D$5)/3.29)*44</f>
        <v>1591836.0473325946</v>
      </c>
      <c r="D84" s="9">
        <f ca="1">_xlfn.NORM.INV(RAND(),AVERAGE(Assumptions!$D$6,Assumptions!$F$6),(Assumptions!$F$6-Assumptions!$D$6)/3.29)*RANDBETWEEN(2,5)</f>
        <v>2130942.116573662</v>
      </c>
      <c r="E84" s="12">
        <f ca="1">_xlfn.NORM.INV(RAND(),AVERAGE(Assumptions!$D$17,Assumptions!$F$17),(Assumptions!$F$17-Assumptions!$D$17)/3.29)*8</f>
        <v>935970.42423367559</v>
      </c>
      <c r="F84" s="15">
        <f ca="1">_xlfn.NORM.INV(RAND(),AVERAGE(Assumptions!$D$7,Assumptions!$F$7),(Assumptions!$F$7-Assumptions!$D$7)/3.29)*RANDBETWEEN(1,3)</f>
        <v>5468789.9355107788</v>
      </c>
      <c r="G84" s="3">
        <f ca="1">_xlfn.NORM.INV(RAND(),AVERAGE(Assumptions!$D$8,Assumptions!$F$8),(Assumptions!$F$8-Assumptions!$D$8)/3.29)*44</f>
        <v>879468.68690461409</v>
      </c>
      <c r="H84" s="6">
        <f ca="1">_xlfn.NORM.INV(RAND(),AVERAGE(Assumptions!$D$9,Assumptions!$F$9),(Assumptions!$F$9-Assumptions!$D$9)/3.29)*21</f>
        <v>5166095.857981964</v>
      </c>
      <c r="I84" s="9">
        <f ca="1">_xlfn.NORM.INV(RAND(),AVERAGE(Assumptions!$D$10,Assumptions!$F$10),(Assumptions!$F$10-Assumptions!$D$10)/3.29)*21</f>
        <v>939831.60407480912</v>
      </c>
      <c r="J84" s="12">
        <f ca="1">NORMINV(RAND(),AVERAGE(Assumptions!$D$11,Assumptions!$F$11),(Assumptions!$F$11-Assumptions!$D$11)/3.29)*44</f>
        <v>4308945.0860878685</v>
      </c>
      <c r="K84" s="15">
        <f ca="1">_xlfn.NORM.INV(RAND(),AVERAGE(Assumptions!$D$12,Assumptions!$F$12),(Assumptions!$F$12-Assumptions!$D$12)/3.29)*44</f>
        <v>8749207.2442330979</v>
      </c>
      <c r="L84" s="3">
        <f ca="1">_xlfn.NORM.INV(RAND(),AVERAGE(Assumptions!$D$13,Assumptions!$F$13),(Assumptions!$F$13-Assumptions!$D$13)/3.29)*44</f>
        <v>16723851.695445661</v>
      </c>
      <c r="M84" s="6">
        <f ca="1">_xlfn.NORM.INV(RAND(),AVERAGE(Assumptions!$D$14,Assumptions!$F$14),(Assumptions!$F$14-Assumptions!$D$14)/3.29)*44</f>
        <v>6583227.3004899994</v>
      </c>
      <c r="N84" s="9">
        <f ca="1">_xlfn.NORM.INV(RAND(),AVERAGE(Assumptions!$D$16,Assumptions!$F$16),(Assumptions!$F$16-Assumptions!$D$16)/3.29)*44</f>
        <v>13855313.696482671</v>
      </c>
      <c r="O84" s="12">
        <f ca="1">_xlfn.NORM.INV(RAND(),AVERAGE(Assumptions!$D$15,Assumptions!$F$15),(Assumptions!$F$15-Assumptions!$D$15)/3.29)*44</f>
        <v>87735555.317810431</v>
      </c>
      <c r="P84" s="15">
        <f>Assumptions!$D$18</f>
        <v>14641750.345627395</v>
      </c>
      <c r="Q84" s="3">
        <f t="shared" ca="1" si="2"/>
        <v>19335004.809338063</v>
      </c>
      <c r="R84" s="6">
        <f t="shared" ca="1" si="3"/>
        <v>33976755.15496546</v>
      </c>
    </row>
    <row r="85" spans="1:18">
      <c r="A85" s="20">
        <v>84</v>
      </c>
      <c r="B85" s="3">
        <f ca="1">_xlfn.NORM.INV(RAND(),AVERAGE(Assumptions!$D$4,Assumptions!$F$4),(Assumptions!$F$4-Assumptions!$D$4)/3.29)*44</f>
        <v>1169314.8117886628</v>
      </c>
      <c r="C85" s="6">
        <f ca="1">_xlfn.NORM.INV(RAND(),AVERAGE(Assumptions!$D$5,Assumptions!$F$5),(Assumptions!$F$5-Assumptions!$D$5)/3.29)*44</f>
        <v>1953045.8452250618</v>
      </c>
      <c r="D85" s="9">
        <f ca="1">_xlfn.NORM.INV(RAND(),AVERAGE(Assumptions!$D$6,Assumptions!$F$6),(Assumptions!$F$6-Assumptions!$D$6)/3.29)*RANDBETWEEN(2,5)</f>
        <v>1866921.6417038939</v>
      </c>
      <c r="E85" s="12">
        <f ca="1">_xlfn.NORM.INV(RAND(),AVERAGE(Assumptions!$D$17,Assumptions!$F$17),(Assumptions!$F$17-Assumptions!$D$17)/3.29)*8</f>
        <v>985211.46550108062</v>
      </c>
      <c r="F85" s="15">
        <f ca="1">_xlfn.NORM.INV(RAND(),AVERAGE(Assumptions!$D$7,Assumptions!$F$7),(Assumptions!$F$7-Assumptions!$D$7)/3.29)*RANDBETWEEN(1,3)</f>
        <v>6679179.9863908291</v>
      </c>
      <c r="G85" s="3">
        <f ca="1">_xlfn.NORM.INV(RAND(),AVERAGE(Assumptions!$D$8,Assumptions!$F$8),(Assumptions!$F$8-Assumptions!$D$8)/3.29)*44</f>
        <v>1377437.1583260396</v>
      </c>
      <c r="H85" s="6">
        <f ca="1">_xlfn.NORM.INV(RAND(),AVERAGE(Assumptions!$D$9,Assumptions!$F$9),(Assumptions!$F$9-Assumptions!$D$9)/3.29)*21</f>
        <v>5712814.7186787948</v>
      </c>
      <c r="I85" s="9">
        <f ca="1">_xlfn.NORM.INV(RAND(),AVERAGE(Assumptions!$D$10,Assumptions!$F$10),(Assumptions!$F$10-Assumptions!$D$10)/3.29)*21</f>
        <v>784563.18481837562</v>
      </c>
      <c r="J85" s="12">
        <f ca="1">NORMINV(RAND(),AVERAGE(Assumptions!$D$11,Assumptions!$F$11),(Assumptions!$F$11-Assumptions!$D$11)/3.29)*44</f>
        <v>2697929.7538700653</v>
      </c>
      <c r="K85" s="15">
        <f ca="1">_xlfn.NORM.INV(RAND(),AVERAGE(Assumptions!$D$12,Assumptions!$F$12),(Assumptions!$F$12-Assumptions!$D$12)/3.29)*44</f>
        <v>8396584.351818122</v>
      </c>
      <c r="L85" s="3">
        <f ca="1">_xlfn.NORM.INV(RAND(),AVERAGE(Assumptions!$D$13,Assumptions!$F$13),(Assumptions!$F$13-Assumptions!$D$13)/3.29)*44</f>
        <v>21381987.460588422</v>
      </c>
      <c r="M85" s="6">
        <f ca="1">_xlfn.NORM.INV(RAND(),AVERAGE(Assumptions!$D$14,Assumptions!$F$14),(Assumptions!$F$14-Assumptions!$D$14)/3.29)*44</f>
        <v>4631062.438183954</v>
      </c>
      <c r="N85" s="9">
        <f ca="1">_xlfn.NORM.INV(RAND(),AVERAGE(Assumptions!$D$16,Assumptions!$F$16),(Assumptions!$F$16-Assumptions!$D$16)/3.29)*44</f>
        <v>5651570.5208334643</v>
      </c>
      <c r="O85" s="12">
        <f ca="1">_xlfn.NORM.INV(RAND(),AVERAGE(Assumptions!$D$15,Assumptions!$F$15),(Assumptions!$F$15-Assumptions!$D$15)/3.29)*44</f>
        <v>99119373.053967148</v>
      </c>
      <c r="P85" s="15">
        <f>Assumptions!$D$18</f>
        <v>14641750.345627395</v>
      </c>
      <c r="Q85" s="3">
        <f t="shared" ca="1" si="2"/>
        <v>35831749.716240391</v>
      </c>
      <c r="R85" s="6">
        <f t="shared" ca="1" si="3"/>
        <v>50473500.061867788</v>
      </c>
    </row>
    <row r="86" spans="1:18">
      <c r="A86" s="20">
        <v>85</v>
      </c>
      <c r="B86" s="3">
        <f ca="1">_xlfn.NORM.INV(RAND(),AVERAGE(Assumptions!$D$4,Assumptions!$F$4),(Assumptions!$F$4-Assumptions!$D$4)/3.29)*44</f>
        <v>1202712.8637130784</v>
      </c>
      <c r="C86" s="6">
        <f ca="1">_xlfn.NORM.INV(RAND(),AVERAGE(Assumptions!$D$5,Assumptions!$F$5),(Assumptions!$F$5-Assumptions!$D$5)/3.29)*44</f>
        <v>1725523.8539010382</v>
      </c>
      <c r="D86" s="9">
        <f ca="1">_xlfn.NORM.INV(RAND(),AVERAGE(Assumptions!$D$6,Assumptions!$F$6),(Assumptions!$F$6-Assumptions!$D$6)/3.29)*RANDBETWEEN(2,5)</f>
        <v>9185175.3343831226</v>
      </c>
      <c r="E86" s="12">
        <f ca="1">_xlfn.NORM.INV(RAND(),AVERAGE(Assumptions!$D$17,Assumptions!$F$17),(Assumptions!$F$17-Assumptions!$D$17)/3.29)*8</f>
        <v>985107.02234101179</v>
      </c>
      <c r="F86" s="15">
        <f ca="1">_xlfn.NORM.INV(RAND(),AVERAGE(Assumptions!$D$7,Assumptions!$F$7),(Assumptions!$F$7-Assumptions!$D$7)/3.29)*RANDBETWEEN(1,3)</f>
        <v>5252634.8089449955</v>
      </c>
      <c r="G86" s="3">
        <f ca="1">_xlfn.NORM.INV(RAND(),AVERAGE(Assumptions!$D$8,Assumptions!$F$8),(Assumptions!$F$8-Assumptions!$D$8)/3.29)*44</f>
        <v>1070045.0402302414</v>
      </c>
      <c r="H86" s="6">
        <f ca="1">_xlfn.NORM.INV(RAND(),AVERAGE(Assumptions!$D$9,Assumptions!$F$9),(Assumptions!$F$9-Assumptions!$D$9)/3.29)*21</f>
        <v>5020677.9478271399</v>
      </c>
      <c r="I86" s="9">
        <f ca="1">_xlfn.NORM.INV(RAND(),AVERAGE(Assumptions!$D$10,Assumptions!$F$10),(Assumptions!$F$10-Assumptions!$D$10)/3.29)*21</f>
        <v>932110.05743519519</v>
      </c>
      <c r="J86" s="12">
        <f ca="1">NORMINV(RAND(),AVERAGE(Assumptions!$D$11,Assumptions!$F$11),(Assumptions!$F$11-Assumptions!$D$11)/3.29)*44</f>
        <v>2421834.9057004335</v>
      </c>
      <c r="K86" s="15">
        <f ca="1">_xlfn.NORM.INV(RAND(),AVERAGE(Assumptions!$D$12,Assumptions!$F$12),(Assumptions!$F$12-Assumptions!$D$12)/3.29)*44</f>
        <v>7844260.6152986372</v>
      </c>
      <c r="L86" s="3">
        <f ca="1">_xlfn.NORM.INV(RAND(),AVERAGE(Assumptions!$D$13,Assumptions!$F$13),(Assumptions!$F$13-Assumptions!$D$13)/3.29)*44</f>
        <v>14881245.006740261</v>
      </c>
      <c r="M86" s="6">
        <f ca="1">_xlfn.NORM.INV(RAND(),AVERAGE(Assumptions!$D$14,Assumptions!$F$14),(Assumptions!$F$14-Assumptions!$D$14)/3.29)*44</f>
        <v>6276577.8718209248</v>
      </c>
      <c r="N86" s="9">
        <f ca="1">_xlfn.NORM.INV(RAND(),AVERAGE(Assumptions!$D$16,Assumptions!$F$16),(Assumptions!$F$16-Assumptions!$D$16)/3.29)*44</f>
        <v>13177122.091217475</v>
      </c>
      <c r="O86" s="12">
        <f ca="1">_xlfn.NORM.INV(RAND(),AVERAGE(Assumptions!$D$15,Assumptions!$F$15),(Assumptions!$F$15-Assumptions!$D$15)/3.29)*44</f>
        <v>110257968.09675589</v>
      </c>
      <c r="P86" s="15">
        <f>Assumptions!$D$18</f>
        <v>14641750.345627395</v>
      </c>
      <c r="Q86" s="3">
        <f t="shared" ca="1" si="2"/>
        <v>40282940.677202344</v>
      </c>
      <c r="R86" s="6">
        <f t="shared" ca="1" si="3"/>
        <v>54924691.022829741</v>
      </c>
    </row>
    <row r="87" spans="1:18">
      <c r="A87" s="20">
        <v>86</v>
      </c>
      <c r="B87" s="3">
        <f ca="1">_xlfn.NORM.INV(RAND(),AVERAGE(Assumptions!$D$4,Assumptions!$F$4),(Assumptions!$F$4-Assumptions!$D$4)/3.29)*44</f>
        <v>1237826.1755251044</v>
      </c>
      <c r="C87" s="6">
        <f ca="1">_xlfn.NORM.INV(RAND(),AVERAGE(Assumptions!$D$5,Assumptions!$F$5),(Assumptions!$F$5-Assumptions!$D$5)/3.29)*44</f>
        <v>1804666.0774607146</v>
      </c>
      <c r="D87" s="9">
        <f ca="1">_xlfn.NORM.INV(RAND(),AVERAGE(Assumptions!$D$6,Assumptions!$F$6),(Assumptions!$F$6-Assumptions!$D$6)/3.29)*RANDBETWEEN(2,5)</f>
        <v>3614226.7792972787</v>
      </c>
      <c r="E87" s="12">
        <f ca="1">_xlfn.NORM.INV(RAND(),AVERAGE(Assumptions!$D$17,Assumptions!$F$17),(Assumptions!$F$17-Assumptions!$D$17)/3.29)*8</f>
        <v>529740.73934929539</v>
      </c>
      <c r="F87" s="15">
        <f ca="1">_xlfn.NORM.INV(RAND(),AVERAGE(Assumptions!$D$7,Assumptions!$F$7),(Assumptions!$F$7-Assumptions!$D$7)/3.29)*RANDBETWEEN(1,3)</f>
        <v>4345033.9316570144</v>
      </c>
      <c r="G87" s="3">
        <f ca="1">_xlfn.NORM.INV(RAND(),AVERAGE(Assumptions!$D$8,Assumptions!$F$8),(Assumptions!$F$8-Assumptions!$D$8)/3.29)*44</f>
        <v>1133756.3269902109</v>
      </c>
      <c r="H87" s="6">
        <f ca="1">_xlfn.NORM.INV(RAND(),AVERAGE(Assumptions!$D$9,Assumptions!$F$9),(Assumptions!$F$9-Assumptions!$D$9)/3.29)*21</f>
        <v>4165664.7002844042</v>
      </c>
      <c r="I87" s="9">
        <f ca="1">_xlfn.NORM.INV(RAND(),AVERAGE(Assumptions!$D$10,Assumptions!$F$10),(Assumptions!$F$10-Assumptions!$D$10)/3.29)*21</f>
        <v>805698.58614952117</v>
      </c>
      <c r="J87" s="12">
        <f ca="1">NORMINV(RAND(),AVERAGE(Assumptions!$D$11,Assumptions!$F$11),(Assumptions!$F$11-Assumptions!$D$11)/3.29)*44</f>
        <v>3397202.4786586179</v>
      </c>
      <c r="K87" s="15">
        <f ca="1">_xlfn.NORM.INV(RAND(),AVERAGE(Assumptions!$D$12,Assumptions!$F$12),(Assumptions!$F$12-Assumptions!$D$12)/3.29)*44</f>
        <v>8434897.4427717607</v>
      </c>
      <c r="L87" s="3">
        <f ca="1">_xlfn.NORM.INV(RAND(),AVERAGE(Assumptions!$D$13,Assumptions!$F$13),(Assumptions!$F$13-Assumptions!$D$13)/3.29)*44</f>
        <v>23814904.067956634</v>
      </c>
      <c r="M87" s="6">
        <f ca="1">_xlfn.NORM.INV(RAND(),AVERAGE(Assumptions!$D$14,Assumptions!$F$14),(Assumptions!$F$14-Assumptions!$D$14)/3.29)*44</f>
        <v>5371665.0757536143</v>
      </c>
      <c r="N87" s="9">
        <f ca="1">_xlfn.NORM.INV(RAND(),AVERAGE(Assumptions!$D$16,Assumptions!$F$16),(Assumptions!$F$16-Assumptions!$D$16)/3.29)*44</f>
        <v>5344408.2023039889</v>
      </c>
      <c r="O87" s="12">
        <f ca="1">_xlfn.NORM.INV(RAND(),AVERAGE(Assumptions!$D$15,Assumptions!$F$15),(Assumptions!$F$15-Assumptions!$D$15)/3.29)*44</f>
        <v>86764774.011360392</v>
      </c>
      <c r="P87" s="15">
        <f>Assumptions!$D$18</f>
        <v>14641750.345627395</v>
      </c>
      <c r="Q87" s="3">
        <f t="shared" ca="1" si="2"/>
        <v>22765083.427202225</v>
      </c>
      <c r="R87" s="6">
        <f t="shared" ca="1" si="3"/>
        <v>37406833.772829622</v>
      </c>
    </row>
    <row r="88" spans="1:18">
      <c r="A88" s="20">
        <v>87</v>
      </c>
      <c r="B88" s="3">
        <f ca="1">_xlfn.NORM.INV(RAND(),AVERAGE(Assumptions!$D$4,Assumptions!$F$4),(Assumptions!$F$4-Assumptions!$D$4)/3.29)*44</f>
        <v>1167879.2389089777</v>
      </c>
      <c r="C88" s="6">
        <f ca="1">_xlfn.NORM.INV(RAND(),AVERAGE(Assumptions!$D$5,Assumptions!$F$5),(Assumptions!$F$5-Assumptions!$D$5)/3.29)*44</f>
        <v>1964047.3488663752</v>
      </c>
      <c r="D88" s="9">
        <f ca="1">_xlfn.NORM.INV(RAND(),AVERAGE(Assumptions!$D$6,Assumptions!$F$6),(Assumptions!$F$6-Assumptions!$D$6)/3.29)*RANDBETWEEN(2,5)</f>
        <v>5481771.5364072472</v>
      </c>
      <c r="E88" s="12">
        <f ca="1">_xlfn.NORM.INV(RAND(),AVERAGE(Assumptions!$D$17,Assumptions!$F$17),(Assumptions!$F$17-Assumptions!$D$17)/3.29)*8</f>
        <v>987424.77778253797</v>
      </c>
      <c r="F88" s="15">
        <f ca="1">_xlfn.NORM.INV(RAND(),AVERAGE(Assumptions!$D$7,Assumptions!$F$7),(Assumptions!$F$7-Assumptions!$D$7)/3.29)*RANDBETWEEN(1,3)</f>
        <v>3898453.5852906229</v>
      </c>
      <c r="G88" s="3">
        <f ca="1">_xlfn.NORM.INV(RAND(),AVERAGE(Assumptions!$D$8,Assumptions!$F$8),(Assumptions!$F$8-Assumptions!$D$8)/3.29)*44</f>
        <v>1007608.4501893811</v>
      </c>
      <c r="H88" s="6">
        <f ca="1">_xlfn.NORM.INV(RAND(),AVERAGE(Assumptions!$D$9,Assumptions!$F$9),(Assumptions!$F$9-Assumptions!$D$9)/3.29)*21</f>
        <v>1047274.300122811</v>
      </c>
      <c r="I88" s="9">
        <f ca="1">_xlfn.NORM.INV(RAND(),AVERAGE(Assumptions!$D$10,Assumptions!$F$10),(Assumptions!$F$10-Assumptions!$D$10)/3.29)*21</f>
        <v>918859.37770137144</v>
      </c>
      <c r="J88" s="12">
        <f ca="1">NORMINV(RAND(),AVERAGE(Assumptions!$D$11,Assumptions!$F$11),(Assumptions!$F$11-Assumptions!$D$11)/3.29)*44</f>
        <v>2002363.792008711</v>
      </c>
      <c r="K88" s="15">
        <f ca="1">_xlfn.NORM.INV(RAND(),AVERAGE(Assumptions!$D$12,Assumptions!$F$12),(Assumptions!$F$12-Assumptions!$D$12)/3.29)*44</f>
        <v>9024357.0475547053</v>
      </c>
      <c r="L88" s="3">
        <f ca="1">_xlfn.NORM.INV(RAND(),AVERAGE(Assumptions!$D$13,Assumptions!$F$13),(Assumptions!$F$13-Assumptions!$D$13)/3.29)*44</f>
        <v>17934793.977264032</v>
      </c>
      <c r="M88" s="6">
        <f ca="1">_xlfn.NORM.INV(RAND(),AVERAGE(Assumptions!$D$14,Assumptions!$F$14),(Assumptions!$F$14-Assumptions!$D$14)/3.29)*44</f>
        <v>8432933.6908955146</v>
      </c>
      <c r="N88" s="9">
        <f ca="1">_xlfn.NORM.INV(RAND(),AVERAGE(Assumptions!$D$16,Assumptions!$F$16),(Assumptions!$F$16-Assumptions!$D$16)/3.29)*44</f>
        <v>12930741.538685551</v>
      </c>
      <c r="O88" s="12">
        <f ca="1">_xlfn.NORM.INV(RAND(),AVERAGE(Assumptions!$D$15,Assumptions!$F$15),(Assumptions!$F$15-Assumptions!$D$15)/3.29)*44</f>
        <v>199496097.9506523</v>
      </c>
      <c r="P88" s="15">
        <f>Assumptions!$D$18</f>
        <v>14641750.345627395</v>
      </c>
      <c r="Q88" s="3">
        <f t="shared" ca="1" si="2"/>
        <v>132697589.28897446</v>
      </c>
      <c r="R88" s="6">
        <f t="shared" ca="1" si="3"/>
        <v>147339339.63460186</v>
      </c>
    </row>
    <row r="89" spans="1:18">
      <c r="A89" s="20">
        <v>88</v>
      </c>
      <c r="B89" s="3">
        <f ca="1">_xlfn.NORM.INV(RAND(),AVERAGE(Assumptions!$D$4,Assumptions!$F$4),(Assumptions!$F$4-Assumptions!$D$4)/3.29)*44</f>
        <v>1239161.4739928178</v>
      </c>
      <c r="C89" s="6">
        <f ca="1">_xlfn.NORM.INV(RAND(),AVERAGE(Assumptions!$D$5,Assumptions!$F$5),(Assumptions!$F$5-Assumptions!$D$5)/3.29)*44</f>
        <v>1929067.3505653886</v>
      </c>
      <c r="D89" s="9">
        <f ca="1">_xlfn.NORM.INV(RAND(),AVERAGE(Assumptions!$D$6,Assumptions!$F$6),(Assumptions!$F$6-Assumptions!$D$6)/3.29)*RANDBETWEEN(2,5)</f>
        <v>8921927.1780921668</v>
      </c>
      <c r="E89" s="12">
        <f ca="1">_xlfn.NORM.INV(RAND(),AVERAGE(Assumptions!$D$17,Assumptions!$F$17),(Assumptions!$F$17-Assumptions!$D$17)/3.29)*8</f>
        <v>950350.83275937743</v>
      </c>
      <c r="F89" s="15">
        <f ca="1">_xlfn.NORM.INV(RAND(),AVERAGE(Assumptions!$D$7,Assumptions!$F$7),(Assumptions!$F$7-Assumptions!$D$7)/3.29)*RANDBETWEEN(1,3)</f>
        <v>8337868.417607313</v>
      </c>
      <c r="G89" s="3">
        <f ca="1">_xlfn.NORM.INV(RAND(),AVERAGE(Assumptions!$D$8,Assumptions!$F$8),(Assumptions!$F$8-Assumptions!$D$8)/3.29)*44</f>
        <v>1340713.4726191706</v>
      </c>
      <c r="H89" s="6">
        <f ca="1">_xlfn.NORM.INV(RAND(),AVERAGE(Assumptions!$D$9,Assumptions!$F$9),(Assumptions!$F$9-Assumptions!$D$9)/3.29)*21</f>
        <v>4361514.9982180055</v>
      </c>
      <c r="I89" s="9">
        <f ca="1">_xlfn.NORM.INV(RAND(),AVERAGE(Assumptions!$D$10,Assumptions!$F$10),(Assumptions!$F$10-Assumptions!$D$10)/3.29)*21</f>
        <v>920428.33171399997</v>
      </c>
      <c r="J89" s="12">
        <f ca="1">NORMINV(RAND(),AVERAGE(Assumptions!$D$11,Assumptions!$F$11),(Assumptions!$F$11-Assumptions!$D$11)/3.29)*44</f>
        <v>3160264.7971292222</v>
      </c>
      <c r="K89" s="15">
        <f ca="1">_xlfn.NORM.INV(RAND(),AVERAGE(Assumptions!$D$12,Assumptions!$F$12),(Assumptions!$F$12-Assumptions!$D$12)/3.29)*44</f>
        <v>6617977.000743119</v>
      </c>
      <c r="L89" s="3">
        <f ca="1">_xlfn.NORM.INV(RAND(),AVERAGE(Assumptions!$D$13,Assumptions!$F$13),(Assumptions!$F$13-Assumptions!$D$13)/3.29)*44</f>
        <v>18474092.054104593</v>
      </c>
      <c r="M89" s="6">
        <f ca="1">_xlfn.NORM.INV(RAND(),AVERAGE(Assumptions!$D$14,Assumptions!$F$14),(Assumptions!$F$14-Assumptions!$D$14)/3.29)*44</f>
        <v>6135267.7702743635</v>
      </c>
      <c r="N89" s="9">
        <f ca="1">_xlfn.NORM.INV(RAND(),AVERAGE(Assumptions!$D$16,Assumptions!$F$16),(Assumptions!$F$16-Assumptions!$D$16)/3.29)*44</f>
        <v>7870590.0921368366</v>
      </c>
      <c r="O89" s="12">
        <f ca="1">_xlfn.NORM.INV(RAND(),AVERAGE(Assumptions!$D$15,Assumptions!$F$15),(Assumptions!$F$15-Assumptions!$D$15)/3.29)*44</f>
        <v>112931387.31149292</v>
      </c>
      <c r="P89" s="15">
        <f>Assumptions!$D$18</f>
        <v>14641750.345627395</v>
      </c>
      <c r="Q89" s="3">
        <f t="shared" ca="1" si="2"/>
        <v>42672163.54153654</v>
      </c>
      <c r="R89" s="6">
        <f t="shared" ca="1" si="3"/>
        <v>57313913.887163937</v>
      </c>
    </row>
    <row r="90" spans="1:18">
      <c r="A90" s="20">
        <v>89</v>
      </c>
      <c r="B90" s="3">
        <f ca="1">_xlfn.NORM.INV(RAND(),AVERAGE(Assumptions!$D$4,Assumptions!$F$4),(Assumptions!$F$4-Assumptions!$D$4)/3.29)*44</f>
        <v>1139286.5526018492</v>
      </c>
      <c r="C90" s="6">
        <f ca="1">_xlfn.NORM.INV(RAND(),AVERAGE(Assumptions!$D$5,Assumptions!$F$5),(Assumptions!$F$5-Assumptions!$D$5)/3.29)*44</f>
        <v>2048000.9621807174</v>
      </c>
      <c r="D90" s="9">
        <f ca="1">_xlfn.NORM.INV(RAND(),AVERAGE(Assumptions!$D$6,Assumptions!$F$6),(Assumptions!$F$6-Assumptions!$D$6)/3.29)*RANDBETWEEN(2,5)</f>
        <v>2764398.3848121441</v>
      </c>
      <c r="E90" s="12">
        <f ca="1">_xlfn.NORM.INV(RAND(),AVERAGE(Assumptions!$D$17,Assumptions!$F$17),(Assumptions!$F$17-Assumptions!$D$17)/3.29)*8</f>
        <v>1047480.5874077243</v>
      </c>
      <c r="F90" s="15">
        <f ca="1">_xlfn.NORM.INV(RAND(),AVERAGE(Assumptions!$D$7,Assumptions!$F$7),(Assumptions!$F$7-Assumptions!$D$7)/3.29)*RANDBETWEEN(1,3)</f>
        <v>4371209.0130954795</v>
      </c>
      <c r="G90" s="3">
        <f ca="1">_xlfn.NORM.INV(RAND(),AVERAGE(Assumptions!$D$8,Assumptions!$F$8),(Assumptions!$F$8-Assumptions!$D$8)/3.29)*44</f>
        <v>1238273.6493742513</v>
      </c>
      <c r="H90" s="6">
        <f ca="1">_xlfn.NORM.INV(RAND(),AVERAGE(Assumptions!$D$9,Assumptions!$F$9),(Assumptions!$F$9-Assumptions!$D$9)/3.29)*21</f>
        <v>6474410.0518796789</v>
      </c>
      <c r="I90" s="9">
        <f ca="1">_xlfn.NORM.INV(RAND(),AVERAGE(Assumptions!$D$10,Assumptions!$F$10),(Assumptions!$F$10-Assumptions!$D$10)/3.29)*21</f>
        <v>838053.56876243674</v>
      </c>
      <c r="J90" s="12">
        <f ca="1">NORMINV(RAND(),AVERAGE(Assumptions!$D$11,Assumptions!$F$11),(Assumptions!$F$11-Assumptions!$D$11)/3.29)*44</f>
        <v>3734965.2358687697</v>
      </c>
      <c r="K90" s="15">
        <f ca="1">_xlfn.NORM.INV(RAND(),AVERAGE(Assumptions!$D$12,Assumptions!$F$12),(Assumptions!$F$12-Assumptions!$D$12)/3.29)*44</f>
        <v>9246561.6135954559</v>
      </c>
      <c r="L90" s="3">
        <f ca="1">_xlfn.NORM.INV(RAND(),AVERAGE(Assumptions!$D$13,Assumptions!$F$13),(Assumptions!$F$13-Assumptions!$D$13)/3.29)*44</f>
        <v>15653147.490773045</v>
      </c>
      <c r="M90" s="6">
        <f ca="1">_xlfn.NORM.INV(RAND(),AVERAGE(Assumptions!$D$14,Assumptions!$F$14),(Assumptions!$F$14-Assumptions!$D$14)/3.29)*44</f>
        <v>6351247.1772447359</v>
      </c>
      <c r="N90" s="9">
        <f ca="1">_xlfn.NORM.INV(RAND(),AVERAGE(Assumptions!$D$16,Assumptions!$F$16),(Assumptions!$F$16-Assumptions!$D$16)/3.29)*44</f>
        <v>16976303.143323019</v>
      </c>
      <c r="O90" s="12">
        <f ca="1">_xlfn.NORM.INV(RAND(),AVERAGE(Assumptions!$D$15,Assumptions!$F$15),(Assumptions!$F$15-Assumptions!$D$15)/3.29)*44</f>
        <v>80718082.008677155</v>
      </c>
      <c r="P90" s="15">
        <f>Assumptions!$D$18</f>
        <v>14641750.345627395</v>
      </c>
      <c r="Q90" s="3">
        <f t="shared" ca="1" si="2"/>
        <v>8834744.5777578503</v>
      </c>
      <c r="R90" s="6">
        <f t="shared" ca="1" si="3"/>
        <v>23476494.923385248</v>
      </c>
    </row>
    <row r="91" spans="1:18">
      <c r="A91" s="20">
        <v>90</v>
      </c>
      <c r="B91" s="3">
        <f ca="1">_xlfn.NORM.INV(RAND(),AVERAGE(Assumptions!$D$4,Assumptions!$F$4),(Assumptions!$F$4-Assumptions!$D$4)/3.29)*44</f>
        <v>1227215.2783611263</v>
      </c>
      <c r="C91" s="6">
        <f ca="1">_xlfn.NORM.INV(RAND(),AVERAGE(Assumptions!$D$5,Assumptions!$F$5),(Assumptions!$F$5-Assumptions!$D$5)/3.29)*44</f>
        <v>1918850.4025615486</v>
      </c>
      <c r="D91" s="9">
        <f ca="1">_xlfn.NORM.INV(RAND(),AVERAGE(Assumptions!$D$6,Assumptions!$F$6),(Assumptions!$F$6-Assumptions!$D$6)/3.29)*RANDBETWEEN(2,5)</f>
        <v>2067799.0076625757</v>
      </c>
      <c r="E91" s="12">
        <f ca="1">_xlfn.NORM.INV(RAND(),AVERAGE(Assumptions!$D$17,Assumptions!$F$17),(Assumptions!$F$17-Assumptions!$D$17)/3.29)*8</f>
        <v>1010314.088732599</v>
      </c>
      <c r="F91" s="15">
        <f ca="1">_xlfn.NORM.INV(RAND(),AVERAGE(Assumptions!$D$7,Assumptions!$F$7),(Assumptions!$F$7-Assumptions!$D$7)/3.29)*RANDBETWEEN(1,3)</f>
        <v>2934438.8532068008</v>
      </c>
      <c r="G91" s="3">
        <f ca="1">_xlfn.NORM.INV(RAND(),AVERAGE(Assumptions!$D$8,Assumptions!$F$8),(Assumptions!$F$8-Assumptions!$D$8)/3.29)*44</f>
        <v>1394738.9156120839</v>
      </c>
      <c r="H91" s="6">
        <f ca="1">_xlfn.NORM.INV(RAND(),AVERAGE(Assumptions!$D$9,Assumptions!$F$9),(Assumptions!$F$9-Assumptions!$D$9)/3.29)*21</f>
        <v>4409833.9262267547</v>
      </c>
      <c r="I91" s="9">
        <f ca="1">_xlfn.NORM.INV(RAND(),AVERAGE(Assumptions!$D$10,Assumptions!$F$10),(Assumptions!$F$10-Assumptions!$D$10)/3.29)*21</f>
        <v>1090133.788103784</v>
      </c>
      <c r="J91" s="12">
        <f ca="1">NORMINV(RAND(),AVERAGE(Assumptions!$D$11,Assumptions!$F$11),(Assumptions!$F$11-Assumptions!$D$11)/3.29)*44</f>
        <v>3630237.3282087878</v>
      </c>
      <c r="K91" s="15">
        <f ca="1">_xlfn.NORM.INV(RAND(),AVERAGE(Assumptions!$D$12,Assumptions!$F$12),(Assumptions!$F$12-Assumptions!$D$12)/3.29)*44</f>
        <v>11433806.80062829</v>
      </c>
      <c r="L91" s="3">
        <f ca="1">_xlfn.NORM.INV(RAND(),AVERAGE(Assumptions!$D$13,Assumptions!$F$13),(Assumptions!$F$13-Assumptions!$D$13)/3.29)*44</f>
        <v>14259126.973244578</v>
      </c>
      <c r="M91" s="6">
        <f ca="1">_xlfn.NORM.INV(RAND(),AVERAGE(Assumptions!$D$14,Assumptions!$F$14),(Assumptions!$F$14-Assumptions!$D$14)/3.29)*44</f>
        <v>5250252.9486035518</v>
      </c>
      <c r="N91" s="9">
        <f ca="1">_xlfn.NORM.INV(RAND(),AVERAGE(Assumptions!$D$16,Assumptions!$F$16),(Assumptions!$F$16-Assumptions!$D$16)/3.29)*44</f>
        <v>10956571.750836609</v>
      </c>
      <c r="O91" s="12">
        <f ca="1">_xlfn.NORM.INV(RAND(),AVERAGE(Assumptions!$D$15,Assumptions!$F$15),(Assumptions!$F$15-Assumptions!$D$15)/3.29)*44</f>
        <v>55208638.623394072</v>
      </c>
      <c r="P91" s="15">
        <f>Assumptions!$D$18</f>
        <v>14641750.345627395</v>
      </c>
      <c r="Q91" s="3">
        <f t="shared" ca="1" si="2"/>
        <v>-6374681.4385950267</v>
      </c>
      <c r="R91" s="6">
        <f t="shared" ca="1" si="3"/>
        <v>8267068.9070323687</v>
      </c>
    </row>
    <row r="92" spans="1:18">
      <c r="A92" s="20">
        <v>91</v>
      </c>
      <c r="B92" s="3">
        <f ca="1">_xlfn.NORM.INV(RAND(),AVERAGE(Assumptions!$D$4,Assumptions!$F$4),(Assumptions!$F$4-Assumptions!$D$4)/3.29)*44</f>
        <v>1203281.7540157232</v>
      </c>
      <c r="C92" s="6">
        <f ca="1">_xlfn.NORM.INV(RAND(),AVERAGE(Assumptions!$D$5,Assumptions!$F$5),(Assumptions!$F$5-Assumptions!$D$5)/3.29)*44</f>
        <v>1787924.2879602383</v>
      </c>
      <c r="D92" s="9">
        <f ca="1">_xlfn.NORM.INV(RAND(),AVERAGE(Assumptions!$D$6,Assumptions!$F$6),(Assumptions!$F$6-Assumptions!$D$6)/3.29)*RANDBETWEEN(2,5)</f>
        <v>3493981.3391780369</v>
      </c>
      <c r="E92" s="12">
        <f ca="1">_xlfn.NORM.INV(RAND(),AVERAGE(Assumptions!$D$17,Assumptions!$F$17),(Assumptions!$F$17-Assumptions!$D$17)/3.29)*8</f>
        <v>1049937.0175053563</v>
      </c>
      <c r="F92" s="15">
        <f ca="1">_xlfn.NORM.INV(RAND(),AVERAGE(Assumptions!$D$7,Assumptions!$F$7),(Assumptions!$F$7-Assumptions!$D$7)/3.29)*RANDBETWEEN(1,3)</f>
        <v>2305325.6471468378</v>
      </c>
      <c r="G92" s="3">
        <f ca="1">_xlfn.NORM.INV(RAND(),AVERAGE(Assumptions!$D$8,Assumptions!$F$8),(Assumptions!$F$8-Assumptions!$D$8)/3.29)*44</f>
        <v>1144394.4770668831</v>
      </c>
      <c r="H92" s="6">
        <f ca="1">_xlfn.NORM.INV(RAND(),AVERAGE(Assumptions!$D$9,Assumptions!$F$9),(Assumptions!$F$9-Assumptions!$D$9)/3.29)*21</f>
        <v>4448956.7714850428</v>
      </c>
      <c r="I92" s="9">
        <f ca="1">_xlfn.NORM.INV(RAND(),AVERAGE(Assumptions!$D$10,Assumptions!$F$10),(Assumptions!$F$10-Assumptions!$D$10)/3.29)*21</f>
        <v>1164094.1064828527</v>
      </c>
      <c r="J92" s="12">
        <f ca="1">NORMINV(RAND(),AVERAGE(Assumptions!$D$11,Assumptions!$F$11),(Assumptions!$F$11-Assumptions!$D$11)/3.29)*44</f>
        <v>3318036.237336501</v>
      </c>
      <c r="K92" s="15">
        <f ca="1">_xlfn.NORM.INV(RAND(),AVERAGE(Assumptions!$D$12,Assumptions!$F$12),(Assumptions!$F$12-Assumptions!$D$12)/3.29)*44</f>
        <v>7566174.2745243236</v>
      </c>
      <c r="L92" s="3">
        <f ca="1">_xlfn.NORM.INV(RAND(),AVERAGE(Assumptions!$D$13,Assumptions!$F$13),(Assumptions!$F$13-Assumptions!$D$13)/3.29)*44</f>
        <v>15381558.184108838</v>
      </c>
      <c r="M92" s="6">
        <f ca="1">_xlfn.NORM.INV(RAND(),AVERAGE(Assumptions!$D$14,Assumptions!$F$14),(Assumptions!$F$14-Assumptions!$D$14)/3.29)*44</f>
        <v>6743707.7329041557</v>
      </c>
      <c r="N92" s="9">
        <f ca="1">_xlfn.NORM.INV(RAND(),AVERAGE(Assumptions!$D$16,Assumptions!$F$16),(Assumptions!$F$16-Assumptions!$D$16)/3.29)*44</f>
        <v>5205229.3423506934</v>
      </c>
      <c r="O92" s="12">
        <f ca="1">_xlfn.NORM.INV(RAND(),AVERAGE(Assumptions!$D$15,Assumptions!$F$15),(Assumptions!$F$15-Assumptions!$D$15)/3.29)*44</f>
        <v>26078942.516825479</v>
      </c>
      <c r="P92" s="15">
        <f>Assumptions!$D$18</f>
        <v>14641750.345627395</v>
      </c>
      <c r="Q92" s="3">
        <f t="shared" ca="1" si="2"/>
        <v>-28733658.655240003</v>
      </c>
      <c r="R92" s="6">
        <f t="shared" ca="1" si="3"/>
        <v>-14091908.309612608</v>
      </c>
    </row>
    <row r="93" spans="1:18">
      <c r="A93" s="20">
        <v>92</v>
      </c>
      <c r="B93" s="3">
        <f ca="1">_xlfn.NORM.INV(RAND(),AVERAGE(Assumptions!$D$4,Assumptions!$F$4),(Assumptions!$F$4-Assumptions!$D$4)/3.29)*44</f>
        <v>1215904.2431965054</v>
      </c>
      <c r="C93" s="6">
        <f ca="1">_xlfn.NORM.INV(RAND(),AVERAGE(Assumptions!$D$5,Assumptions!$F$5),(Assumptions!$F$5-Assumptions!$D$5)/3.29)*44</f>
        <v>1968731.9613157485</v>
      </c>
      <c r="D93" s="9">
        <f ca="1">_xlfn.NORM.INV(RAND(),AVERAGE(Assumptions!$D$6,Assumptions!$F$6),(Assumptions!$F$6-Assumptions!$D$6)/3.29)*RANDBETWEEN(2,5)</f>
        <v>3781414.6174775474</v>
      </c>
      <c r="E93" s="12">
        <f ca="1">_xlfn.NORM.INV(RAND(),AVERAGE(Assumptions!$D$17,Assumptions!$F$17),(Assumptions!$F$17-Assumptions!$D$17)/3.29)*8</f>
        <v>942346.39729454485</v>
      </c>
      <c r="F93" s="15">
        <f ca="1">_xlfn.NORM.INV(RAND(),AVERAGE(Assumptions!$D$7,Assumptions!$F$7),(Assumptions!$F$7-Assumptions!$D$7)/3.29)*RANDBETWEEN(1,3)</f>
        <v>7045641.3615848515</v>
      </c>
      <c r="G93" s="3">
        <f ca="1">_xlfn.NORM.INV(RAND(),AVERAGE(Assumptions!$D$8,Assumptions!$F$8),(Assumptions!$F$8-Assumptions!$D$8)/3.29)*44</f>
        <v>1236945.2699444827</v>
      </c>
      <c r="H93" s="6">
        <f ca="1">_xlfn.NORM.INV(RAND(),AVERAGE(Assumptions!$D$9,Assumptions!$F$9),(Assumptions!$F$9-Assumptions!$D$9)/3.29)*21</f>
        <v>2529185.439301833</v>
      </c>
      <c r="I93" s="9">
        <f ca="1">_xlfn.NORM.INV(RAND(),AVERAGE(Assumptions!$D$10,Assumptions!$F$10),(Assumptions!$F$10-Assumptions!$D$10)/3.29)*21</f>
        <v>659867.52042167401</v>
      </c>
      <c r="J93" s="12">
        <f ca="1">NORMINV(RAND(),AVERAGE(Assumptions!$D$11,Assumptions!$F$11),(Assumptions!$F$11-Assumptions!$D$11)/3.29)*44</f>
        <v>1891535.9535534733</v>
      </c>
      <c r="K93" s="15">
        <f ca="1">_xlfn.NORM.INV(RAND(),AVERAGE(Assumptions!$D$12,Assumptions!$F$12),(Assumptions!$F$12-Assumptions!$D$12)/3.29)*44</f>
        <v>9771230.7213120442</v>
      </c>
      <c r="L93" s="3">
        <f ca="1">_xlfn.NORM.INV(RAND(),AVERAGE(Assumptions!$D$13,Assumptions!$F$13),(Assumptions!$F$13-Assumptions!$D$13)/3.29)*44</f>
        <v>16032472.410209825</v>
      </c>
      <c r="M93" s="6">
        <f ca="1">_xlfn.NORM.INV(RAND(),AVERAGE(Assumptions!$D$14,Assumptions!$F$14),(Assumptions!$F$14-Assumptions!$D$14)/3.29)*44</f>
        <v>6721177.0429511443</v>
      </c>
      <c r="N93" s="9">
        <f ca="1">_xlfn.NORM.INV(RAND(),AVERAGE(Assumptions!$D$16,Assumptions!$F$16),(Assumptions!$F$16-Assumptions!$D$16)/3.29)*44</f>
        <v>9975103.3188697137</v>
      </c>
      <c r="O93" s="12">
        <f ca="1">_xlfn.NORM.INV(RAND(),AVERAGE(Assumptions!$D$15,Assumptions!$F$15),(Assumptions!$F$15-Assumptions!$D$15)/3.29)*44</f>
        <v>51721988.471902899</v>
      </c>
      <c r="P93" s="15">
        <f>Assumptions!$D$18</f>
        <v>14641750.345627395</v>
      </c>
      <c r="Q93" s="3">
        <f t="shared" ca="1" si="2"/>
        <v>-12049567.785530493</v>
      </c>
      <c r="R93" s="6">
        <f t="shared" ca="1" si="3"/>
        <v>2592182.5600969028</v>
      </c>
    </row>
    <row r="94" spans="1:18">
      <c r="A94" s="20">
        <v>93</v>
      </c>
      <c r="B94" s="3">
        <f ca="1">_xlfn.NORM.INV(RAND(),AVERAGE(Assumptions!$D$4,Assumptions!$F$4),(Assumptions!$F$4-Assumptions!$D$4)/3.29)*44</f>
        <v>1171651.8313179342</v>
      </c>
      <c r="C94" s="6">
        <f ca="1">_xlfn.NORM.INV(RAND(),AVERAGE(Assumptions!$D$5,Assumptions!$F$5),(Assumptions!$F$5-Assumptions!$D$5)/3.29)*44</f>
        <v>1725743.0207254542</v>
      </c>
      <c r="D94" s="9">
        <f ca="1">_xlfn.NORM.INV(RAND(),AVERAGE(Assumptions!$D$6,Assumptions!$F$6),(Assumptions!$F$6-Assumptions!$D$6)/3.29)*RANDBETWEEN(2,5)</f>
        <v>3305750.6990853604</v>
      </c>
      <c r="E94" s="12">
        <f ca="1">_xlfn.NORM.INV(RAND(),AVERAGE(Assumptions!$D$17,Assumptions!$F$17),(Assumptions!$F$17-Assumptions!$D$17)/3.29)*8</f>
        <v>927074.29976055853</v>
      </c>
      <c r="F94" s="15">
        <f ca="1">_xlfn.NORM.INV(RAND(),AVERAGE(Assumptions!$D$7,Assumptions!$F$7),(Assumptions!$F$7-Assumptions!$D$7)/3.29)*RANDBETWEEN(1,3)</f>
        <v>7385771.4909567898</v>
      </c>
      <c r="G94" s="3">
        <f ca="1">_xlfn.NORM.INV(RAND(),AVERAGE(Assumptions!$D$8,Assumptions!$F$8),(Assumptions!$F$8-Assumptions!$D$8)/3.29)*44</f>
        <v>1143477.8154882852</v>
      </c>
      <c r="H94" s="6">
        <f ca="1">_xlfn.NORM.INV(RAND(),AVERAGE(Assumptions!$D$9,Assumptions!$F$9),(Assumptions!$F$9-Assumptions!$D$9)/3.29)*21</f>
        <v>4815658.9182251049</v>
      </c>
      <c r="I94" s="9">
        <f ca="1">_xlfn.NORM.INV(RAND(),AVERAGE(Assumptions!$D$10,Assumptions!$F$10),(Assumptions!$F$10-Assumptions!$D$10)/3.29)*21</f>
        <v>701396.36474143493</v>
      </c>
      <c r="J94" s="12">
        <f ca="1">NORMINV(RAND(),AVERAGE(Assumptions!$D$11,Assumptions!$F$11),(Assumptions!$F$11-Assumptions!$D$11)/3.29)*44</f>
        <v>4686159.7309187343</v>
      </c>
      <c r="K94" s="15">
        <f ca="1">_xlfn.NORM.INV(RAND(),AVERAGE(Assumptions!$D$12,Assumptions!$F$12),(Assumptions!$F$12-Assumptions!$D$12)/3.29)*44</f>
        <v>9849584.8923953101</v>
      </c>
      <c r="L94" s="3">
        <f ca="1">_xlfn.NORM.INV(RAND(),AVERAGE(Assumptions!$D$13,Assumptions!$F$13),(Assumptions!$F$13-Assumptions!$D$13)/3.29)*44</f>
        <v>13169555.681873851</v>
      </c>
      <c r="M94" s="6">
        <f ca="1">_xlfn.NORM.INV(RAND(),AVERAGE(Assumptions!$D$14,Assumptions!$F$14),(Assumptions!$F$14-Assumptions!$D$14)/3.29)*44</f>
        <v>6349246.960007824</v>
      </c>
      <c r="N94" s="9">
        <f ca="1">_xlfn.NORM.INV(RAND(),AVERAGE(Assumptions!$D$16,Assumptions!$F$16),(Assumptions!$F$16-Assumptions!$D$16)/3.29)*44</f>
        <v>6429681.1654545292</v>
      </c>
      <c r="O94" s="12">
        <f ca="1">_xlfn.NORM.INV(RAND(),AVERAGE(Assumptions!$D$15,Assumptions!$F$15),(Assumptions!$F$15-Assumptions!$D$15)/3.29)*44</f>
        <v>37362277.990665942</v>
      </c>
      <c r="P94" s="15">
        <f>Assumptions!$D$18</f>
        <v>14641750.345627395</v>
      </c>
      <c r="Q94" s="3">
        <f t="shared" ca="1" si="2"/>
        <v>-24298474.880285226</v>
      </c>
      <c r="R94" s="6">
        <f t="shared" ca="1" si="3"/>
        <v>-9656724.5346578304</v>
      </c>
    </row>
    <row r="95" spans="1:18">
      <c r="A95" s="20">
        <v>94</v>
      </c>
      <c r="B95" s="3">
        <f ca="1">_xlfn.NORM.INV(RAND(),AVERAGE(Assumptions!$D$4,Assumptions!$F$4),(Assumptions!$F$4-Assumptions!$D$4)/3.29)*44</f>
        <v>1204240.8805941632</v>
      </c>
      <c r="C95" s="6">
        <f ca="1">_xlfn.NORM.INV(RAND(),AVERAGE(Assumptions!$D$5,Assumptions!$F$5),(Assumptions!$F$5-Assumptions!$D$5)/3.29)*44</f>
        <v>1850131.1504092244</v>
      </c>
      <c r="D95" s="9">
        <f ca="1">_xlfn.NORM.INV(RAND(),AVERAGE(Assumptions!$D$6,Assumptions!$F$6),(Assumptions!$F$6-Assumptions!$D$6)/3.29)*RANDBETWEEN(2,5)</f>
        <v>3828825.3644223558</v>
      </c>
      <c r="E95" s="12">
        <f ca="1">_xlfn.NORM.INV(RAND(),AVERAGE(Assumptions!$D$17,Assumptions!$F$17),(Assumptions!$F$17-Assumptions!$D$17)/3.29)*8</f>
        <v>983971.4360766348</v>
      </c>
      <c r="F95" s="15">
        <f ca="1">_xlfn.NORM.INV(RAND(),AVERAGE(Assumptions!$D$7,Assumptions!$F$7),(Assumptions!$F$7-Assumptions!$D$7)/3.29)*RANDBETWEEN(1,3)</f>
        <v>3359956.1069682268</v>
      </c>
      <c r="G95" s="3">
        <f ca="1">_xlfn.NORM.INV(RAND(),AVERAGE(Assumptions!$D$8,Assumptions!$F$8),(Assumptions!$F$8-Assumptions!$D$8)/3.29)*44</f>
        <v>1133074.9491823427</v>
      </c>
      <c r="H95" s="6">
        <f ca="1">_xlfn.NORM.INV(RAND(),AVERAGE(Assumptions!$D$9,Assumptions!$F$9),(Assumptions!$F$9-Assumptions!$D$9)/3.29)*21</f>
        <v>7121208.4657305144</v>
      </c>
      <c r="I95" s="9">
        <f ca="1">_xlfn.NORM.INV(RAND(),AVERAGE(Assumptions!$D$10,Assumptions!$F$10),(Assumptions!$F$10-Assumptions!$D$10)/3.29)*21</f>
        <v>968685.8161190456</v>
      </c>
      <c r="J95" s="12">
        <f ca="1">NORMINV(RAND(),AVERAGE(Assumptions!$D$11,Assumptions!$F$11),(Assumptions!$F$11-Assumptions!$D$11)/3.29)*44</f>
        <v>3262161.3900130871</v>
      </c>
      <c r="K95" s="15">
        <f ca="1">_xlfn.NORM.INV(RAND(),AVERAGE(Assumptions!$D$12,Assumptions!$F$12),(Assumptions!$F$12-Assumptions!$D$12)/3.29)*44</f>
        <v>6403901.5236793952</v>
      </c>
      <c r="L95" s="3">
        <f ca="1">_xlfn.NORM.INV(RAND(),AVERAGE(Assumptions!$D$13,Assumptions!$F$13),(Assumptions!$F$13-Assumptions!$D$13)/3.29)*44</f>
        <v>14246349.680058233</v>
      </c>
      <c r="M95" s="6">
        <f ca="1">_xlfn.NORM.INV(RAND(),AVERAGE(Assumptions!$D$14,Assumptions!$F$14),(Assumptions!$F$14-Assumptions!$D$14)/3.29)*44</f>
        <v>5232591.9195508044</v>
      </c>
      <c r="N95" s="9">
        <f ca="1">_xlfn.NORM.INV(RAND(),AVERAGE(Assumptions!$D$16,Assumptions!$F$16),(Assumptions!$F$16-Assumptions!$D$16)/3.29)*44</f>
        <v>10351366.632071372</v>
      </c>
      <c r="O95" s="12">
        <f ca="1">_xlfn.NORM.INV(RAND(),AVERAGE(Assumptions!$D$15,Assumptions!$F$15),(Assumptions!$F$15-Assumptions!$D$15)/3.29)*44</f>
        <v>122443353.48574959</v>
      </c>
      <c r="P95" s="15">
        <f>Assumptions!$D$18</f>
        <v>14641750.345627395</v>
      </c>
      <c r="Q95" s="3">
        <f t="shared" ca="1" si="2"/>
        <v>62496888.170874186</v>
      </c>
      <c r="R95" s="6">
        <f t="shared" ca="1" si="3"/>
        <v>77138638.516501576</v>
      </c>
    </row>
    <row r="96" spans="1:18">
      <c r="A96" s="20">
        <v>95</v>
      </c>
      <c r="B96" s="3">
        <f ca="1">_xlfn.NORM.INV(RAND(),AVERAGE(Assumptions!$D$4,Assumptions!$F$4),(Assumptions!$F$4-Assumptions!$D$4)/3.29)*44</f>
        <v>1179886.0638438405</v>
      </c>
      <c r="C96" s="6">
        <f ca="1">_xlfn.NORM.INV(RAND(),AVERAGE(Assumptions!$D$5,Assumptions!$F$5),(Assumptions!$F$5-Assumptions!$D$5)/3.29)*44</f>
        <v>1744064.1348146494</v>
      </c>
      <c r="D96" s="9">
        <f ca="1">_xlfn.NORM.INV(RAND(),AVERAGE(Assumptions!$D$6,Assumptions!$F$6),(Assumptions!$F$6-Assumptions!$D$6)/3.29)*RANDBETWEEN(2,5)</f>
        <v>5369365.4231531406</v>
      </c>
      <c r="E96" s="12">
        <f ca="1">_xlfn.NORM.INV(RAND(),AVERAGE(Assumptions!$D$17,Assumptions!$F$17),(Assumptions!$F$17-Assumptions!$D$17)/3.29)*8</f>
        <v>835621.32414042728</v>
      </c>
      <c r="F96" s="15">
        <f ca="1">_xlfn.NORM.INV(RAND(),AVERAGE(Assumptions!$D$7,Assumptions!$F$7),(Assumptions!$F$7-Assumptions!$D$7)/3.29)*RANDBETWEEN(1,3)</f>
        <v>2411246.173407278</v>
      </c>
      <c r="G96" s="3">
        <f ca="1">_xlfn.NORM.INV(RAND(),AVERAGE(Assumptions!$D$8,Assumptions!$F$8),(Assumptions!$F$8-Assumptions!$D$8)/3.29)*44</f>
        <v>1192500.1895704963</v>
      </c>
      <c r="H96" s="6">
        <f ca="1">_xlfn.NORM.INV(RAND(),AVERAGE(Assumptions!$D$9,Assumptions!$F$9),(Assumptions!$F$9-Assumptions!$D$9)/3.29)*21</f>
        <v>2873432.8878482948</v>
      </c>
      <c r="I96" s="9">
        <f ca="1">_xlfn.NORM.INV(RAND(),AVERAGE(Assumptions!$D$10,Assumptions!$F$10),(Assumptions!$F$10-Assumptions!$D$10)/3.29)*21</f>
        <v>326490.99776497297</v>
      </c>
      <c r="J96" s="12">
        <f ca="1">NORMINV(RAND(),AVERAGE(Assumptions!$D$11,Assumptions!$F$11),(Assumptions!$F$11-Assumptions!$D$11)/3.29)*44</f>
        <v>2544131.541740384</v>
      </c>
      <c r="K96" s="15">
        <f ca="1">_xlfn.NORM.INV(RAND(),AVERAGE(Assumptions!$D$12,Assumptions!$F$12),(Assumptions!$F$12-Assumptions!$D$12)/3.29)*44</f>
        <v>7866114.7274799142</v>
      </c>
      <c r="L96" s="3">
        <f ca="1">_xlfn.NORM.INV(RAND(),AVERAGE(Assumptions!$D$13,Assumptions!$F$13),(Assumptions!$F$13-Assumptions!$D$13)/3.29)*44</f>
        <v>10870331.302203415</v>
      </c>
      <c r="M96" s="6">
        <f ca="1">_xlfn.NORM.INV(RAND(),AVERAGE(Assumptions!$D$14,Assumptions!$F$14),(Assumptions!$F$14-Assumptions!$D$14)/3.29)*44</f>
        <v>5794975.170248379</v>
      </c>
      <c r="N96" s="9">
        <f ca="1">_xlfn.NORM.INV(RAND(),AVERAGE(Assumptions!$D$16,Assumptions!$F$16),(Assumptions!$F$16-Assumptions!$D$16)/3.29)*44</f>
        <v>14391550.65904117</v>
      </c>
      <c r="O96" s="12">
        <f ca="1">_xlfn.NORM.INV(RAND(),AVERAGE(Assumptions!$D$15,Assumptions!$F$15),(Assumptions!$F$15-Assumptions!$D$15)/3.29)*44</f>
        <v>133559645.80836916</v>
      </c>
      <c r="P96" s="15">
        <f>Assumptions!$D$18</f>
        <v>14641750.345627395</v>
      </c>
      <c r="Q96" s="3">
        <f t="shared" ca="1" si="2"/>
        <v>76159935.213112786</v>
      </c>
      <c r="R96" s="6">
        <f t="shared" ca="1" si="3"/>
        <v>90801685.558740184</v>
      </c>
    </row>
    <row r="97" spans="1:18">
      <c r="A97" s="20">
        <v>96</v>
      </c>
      <c r="B97" s="3">
        <f ca="1">_xlfn.NORM.INV(RAND(),AVERAGE(Assumptions!$D$4,Assumptions!$F$4),(Assumptions!$F$4-Assumptions!$D$4)/3.29)*44</f>
        <v>1144242.7974342622</v>
      </c>
      <c r="C97" s="6">
        <f ca="1">_xlfn.NORM.INV(RAND(),AVERAGE(Assumptions!$D$5,Assumptions!$F$5),(Assumptions!$F$5-Assumptions!$D$5)/3.29)*44</f>
        <v>1696807.0991173296</v>
      </c>
      <c r="D97" s="9">
        <f ca="1">_xlfn.NORM.INV(RAND(),AVERAGE(Assumptions!$D$6,Assumptions!$F$6),(Assumptions!$F$6-Assumptions!$D$6)/3.29)*RANDBETWEEN(2,5)</f>
        <v>2941746.22929961</v>
      </c>
      <c r="E97" s="12">
        <f ca="1">_xlfn.NORM.INV(RAND(),AVERAGE(Assumptions!$D$17,Assumptions!$F$17),(Assumptions!$F$17-Assumptions!$D$17)/3.29)*8</f>
        <v>948974.45286404563</v>
      </c>
      <c r="F97" s="15">
        <f ca="1">_xlfn.NORM.INV(RAND(),AVERAGE(Assumptions!$D$7,Assumptions!$F$7),(Assumptions!$F$7-Assumptions!$D$7)/3.29)*RANDBETWEEN(1,3)</f>
        <v>4247635.1072186185</v>
      </c>
      <c r="G97" s="3">
        <f ca="1">_xlfn.NORM.INV(RAND(),AVERAGE(Assumptions!$D$8,Assumptions!$F$8),(Assumptions!$F$8-Assumptions!$D$8)/3.29)*44</f>
        <v>1286795.4654178347</v>
      </c>
      <c r="H97" s="6">
        <f ca="1">_xlfn.NORM.INV(RAND(),AVERAGE(Assumptions!$D$9,Assumptions!$F$9),(Assumptions!$F$9-Assumptions!$D$9)/3.29)*21</f>
        <v>3964355.2964796321</v>
      </c>
      <c r="I97" s="9">
        <f ca="1">_xlfn.NORM.INV(RAND(),AVERAGE(Assumptions!$D$10,Assumptions!$F$10),(Assumptions!$F$10-Assumptions!$D$10)/3.29)*21</f>
        <v>700012.48187627026</v>
      </c>
      <c r="J97" s="12">
        <f ca="1">NORMINV(RAND(),AVERAGE(Assumptions!$D$11,Assumptions!$F$11),(Assumptions!$F$11-Assumptions!$D$11)/3.29)*44</f>
        <v>2208403.5003972524</v>
      </c>
      <c r="K97" s="15">
        <f ca="1">_xlfn.NORM.INV(RAND(),AVERAGE(Assumptions!$D$12,Assumptions!$F$12),(Assumptions!$F$12-Assumptions!$D$12)/3.29)*44</f>
        <v>8499774.0926726181</v>
      </c>
      <c r="L97" s="3">
        <f ca="1">_xlfn.NORM.INV(RAND(),AVERAGE(Assumptions!$D$13,Assumptions!$F$13),(Assumptions!$F$13-Assumptions!$D$13)/3.29)*44</f>
        <v>9656338.4495155662</v>
      </c>
      <c r="M97" s="6">
        <f ca="1">_xlfn.NORM.INV(RAND(),AVERAGE(Assumptions!$D$14,Assumptions!$F$14),(Assumptions!$F$14-Assumptions!$D$14)/3.29)*44</f>
        <v>6326782.6794049554</v>
      </c>
      <c r="N97" s="9">
        <f ca="1">_xlfn.NORM.INV(RAND(),AVERAGE(Assumptions!$D$16,Assumptions!$F$16),(Assumptions!$F$16-Assumptions!$D$16)/3.29)*44</f>
        <v>11240859.448354937</v>
      </c>
      <c r="O97" s="12">
        <f ca="1">_xlfn.NORM.INV(RAND(),AVERAGE(Assumptions!$D$15,Assumptions!$F$15),(Assumptions!$F$15-Assumptions!$D$15)/3.29)*44</f>
        <v>115875212.5926193</v>
      </c>
      <c r="P97" s="15">
        <f>Assumptions!$D$18</f>
        <v>14641750.345627395</v>
      </c>
      <c r="Q97" s="3">
        <f t="shared" ca="1" si="2"/>
        <v>61012485.492566377</v>
      </c>
      <c r="R97" s="6">
        <f t="shared" ca="1" si="3"/>
        <v>75654235.838193774</v>
      </c>
    </row>
    <row r="98" spans="1:18">
      <c r="A98" s="20">
        <v>97</v>
      </c>
      <c r="B98" s="3">
        <f ca="1">_xlfn.NORM.INV(RAND(),AVERAGE(Assumptions!$D$4,Assumptions!$F$4),(Assumptions!$F$4-Assumptions!$D$4)/3.29)*44</f>
        <v>1081858.3843752195</v>
      </c>
      <c r="C98" s="6">
        <f ca="1">_xlfn.NORM.INV(RAND(),AVERAGE(Assumptions!$D$5,Assumptions!$F$5),(Assumptions!$F$5-Assumptions!$D$5)/3.29)*44</f>
        <v>1793155.9462782433</v>
      </c>
      <c r="D98" s="9">
        <f ca="1">_xlfn.NORM.INV(RAND(),AVERAGE(Assumptions!$D$6,Assumptions!$F$6),(Assumptions!$F$6-Assumptions!$D$6)/3.29)*RANDBETWEEN(2,5)</f>
        <v>4400035.6488640662</v>
      </c>
      <c r="E98" s="12">
        <f ca="1">_xlfn.NORM.INV(RAND(),AVERAGE(Assumptions!$D$17,Assumptions!$F$17),(Assumptions!$F$17-Assumptions!$D$17)/3.29)*8</f>
        <v>975715.95875815302</v>
      </c>
      <c r="F98" s="15">
        <f ca="1">_xlfn.NORM.INV(RAND(),AVERAGE(Assumptions!$D$7,Assumptions!$F$7),(Assumptions!$F$7-Assumptions!$D$7)/3.29)*RANDBETWEEN(1,3)</f>
        <v>6171148.3655737396</v>
      </c>
      <c r="G98" s="3">
        <f ca="1">_xlfn.NORM.INV(RAND(),AVERAGE(Assumptions!$D$8,Assumptions!$F$8),(Assumptions!$F$8-Assumptions!$D$8)/3.29)*44</f>
        <v>1386626.3839820721</v>
      </c>
      <c r="H98" s="6">
        <f ca="1">_xlfn.NORM.INV(RAND(),AVERAGE(Assumptions!$D$9,Assumptions!$F$9),(Assumptions!$F$9-Assumptions!$D$9)/3.29)*21</f>
        <v>5858077.9829395674</v>
      </c>
      <c r="I98" s="9">
        <f ca="1">_xlfn.NORM.INV(RAND(),AVERAGE(Assumptions!$D$10,Assumptions!$F$10),(Assumptions!$F$10-Assumptions!$D$10)/3.29)*21</f>
        <v>820771.07309756288</v>
      </c>
      <c r="J98" s="12">
        <f ca="1">NORMINV(RAND(),AVERAGE(Assumptions!$D$11,Assumptions!$F$11),(Assumptions!$F$11-Assumptions!$D$11)/3.29)*44</f>
        <v>3164016.6112965168</v>
      </c>
      <c r="K98" s="15">
        <f ca="1">_xlfn.NORM.INV(RAND(),AVERAGE(Assumptions!$D$12,Assumptions!$F$12),(Assumptions!$F$12-Assumptions!$D$12)/3.29)*44</f>
        <v>6316529.767228106</v>
      </c>
      <c r="L98" s="3">
        <f ca="1">_xlfn.NORM.INV(RAND(),AVERAGE(Assumptions!$D$13,Assumptions!$F$13),(Assumptions!$F$13-Assumptions!$D$13)/3.29)*44</f>
        <v>18500729.905586407</v>
      </c>
      <c r="M98" s="6">
        <f ca="1">_xlfn.NORM.INV(RAND(),AVERAGE(Assumptions!$D$14,Assumptions!$F$14),(Assumptions!$F$14-Assumptions!$D$14)/3.29)*44</f>
        <v>7018664.7108330168</v>
      </c>
      <c r="N98" s="9">
        <f ca="1">_xlfn.NORM.INV(RAND(),AVERAGE(Assumptions!$D$16,Assumptions!$F$16),(Assumptions!$F$16-Assumptions!$D$16)/3.29)*44</f>
        <v>18149037.632594161</v>
      </c>
      <c r="O98" s="12">
        <f ca="1">_xlfn.NORM.INV(RAND(),AVERAGE(Assumptions!$D$15,Assumptions!$F$15),(Assumptions!$F$15-Assumptions!$D$15)/3.29)*44</f>
        <v>173053903.17090172</v>
      </c>
      <c r="P98" s="15">
        <f>Assumptions!$D$18</f>
        <v>14641750.345627395</v>
      </c>
      <c r="Q98" s="3">
        <f t="shared" ca="1" si="2"/>
        <v>97417534.799494892</v>
      </c>
      <c r="R98" s="6">
        <f t="shared" ca="1" si="3"/>
        <v>112059285.14512229</v>
      </c>
    </row>
    <row r="99" spans="1:18">
      <c r="A99" s="20">
        <v>98</v>
      </c>
      <c r="B99" s="3">
        <f ca="1">_xlfn.NORM.INV(RAND(),AVERAGE(Assumptions!$D$4,Assumptions!$F$4),(Assumptions!$F$4-Assumptions!$D$4)/3.29)*44</f>
        <v>1266132.2484717534</v>
      </c>
      <c r="C99" s="6">
        <f ca="1">_xlfn.NORM.INV(RAND(),AVERAGE(Assumptions!$D$5,Assumptions!$F$5),(Assumptions!$F$5-Assumptions!$D$5)/3.29)*44</f>
        <v>1839064.2198913561</v>
      </c>
      <c r="D99" s="9">
        <f ca="1">_xlfn.NORM.INV(RAND(),AVERAGE(Assumptions!$D$6,Assumptions!$F$6),(Assumptions!$F$6-Assumptions!$D$6)/3.29)*RANDBETWEEN(2,5)</f>
        <v>3690439.6188794738</v>
      </c>
      <c r="E99" s="12">
        <f ca="1">_xlfn.NORM.INV(RAND(),AVERAGE(Assumptions!$D$17,Assumptions!$F$17),(Assumptions!$F$17-Assumptions!$D$17)/3.29)*8</f>
        <v>950576.32401851122</v>
      </c>
      <c r="F99" s="15">
        <f ca="1">_xlfn.NORM.INV(RAND(),AVERAGE(Assumptions!$D$7,Assumptions!$F$7),(Assumptions!$F$7-Assumptions!$D$7)/3.29)*RANDBETWEEN(1,3)</f>
        <v>10909930.303289425</v>
      </c>
      <c r="G99" s="3">
        <f ca="1">_xlfn.NORM.INV(RAND(),AVERAGE(Assumptions!$D$8,Assumptions!$F$8),(Assumptions!$F$8-Assumptions!$D$8)/3.29)*44</f>
        <v>1288127.0075027463</v>
      </c>
      <c r="H99" s="6">
        <f ca="1">_xlfn.NORM.INV(RAND(),AVERAGE(Assumptions!$D$9,Assumptions!$F$9),(Assumptions!$F$9-Assumptions!$D$9)/3.29)*21</f>
        <v>6108792.3328119945</v>
      </c>
      <c r="I99" s="9">
        <f ca="1">_xlfn.NORM.INV(RAND(),AVERAGE(Assumptions!$D$10,Assumptions!$F$10),(Assumptions!$F$10-Assumptions!$D$10)/3.29)*21</f>
        <v>798055.91722927894</v>
      </c>
      <c r="J99" s="12">
        <f ca="1">NORMINV(RAND(),AVERAGE(Assumptions!$D$11,Assumptions!$F$11),(Assumptions!$F$11-Assumptions!$D$11)/3.29)*44</f>
        <v>2745568.0044480748</v>
      </c>
      <c r="K99" s="15">
        <f ca="1">_xlfn.NORM.INV(RAND(),AVERAGE(Assumptions!$D$12,Assumptions!$F$12),(Assumptions!$F$12-Assumptions!$D$12)/3.29)*44</f>
        <v>9032548.9062329233</v>
      </c>
      <c r="L99" s="3">
        <f ca="1">_xlfn.NORM.INV(RAND(),AVERAGE(Assumptions!$D$13,Assumptions!$F$13),(Assumptions!$F$13-Assumptions!$D$13)/3.29)*44</f>
        <v>16893956.815907478</v>
      </c>
      <c r="M99" s="6">
        <f ca="1">_xlfn.NORM.INV(RAND(),AVERAGE(Assumptions!$D$14,Assumptions!$F$14),(Assumptions!$F$14-Assumptions!$D$14)/3.29)*44</f>
        <v>6153154.1444350369</v>
      </c>
      <c r="N99" s="9">
        <f ca="1">_xlfn.NORM.INV(RAND(),AVERAGE(Assumptions!$D$16,Assumptions!$F$16),(Assumptions!$F$16-Assumptions!$D$16)/3.29)*44</f>
        <v>13331327.856756885</v>
      </c>
      <c r="O99" s="12">
        <f ca="1">_xlfn.NORM.INV(RAND(),AVERAGE(Assumptions!$D$15,Assumptions!$F$15),(Assumptions!$F$15-Assumptions!$D$15)/3.29)*44</f>
        <v>181371471.37727028</v>
      </c>
      <c r="P99" s="15">
        <f>Assumptions!$D$18</f>
        <v>14641750.345627395</v>
      </c>
      <c r="Q99" s="3">
        <f t="shared" ca="1" si="2"/>
        <v>106363797.67739536</v>
      </c>
      <c r="R99" s="6">
        <f t="shared" ca="1" si="3"/>
        <v>121005548.02302276</v>
      </c>
    </row>
    <row r="100" spans="1:18">
      <c r="A100" s="20">
        <v>99</v>
      </c>
      <c r="B100" s="3">
        <f ca="1">_xlfn.NORM.INV(RAND(),AVERAGE(Assumptions!$D$4,Assumptions!$F$4),(Assumptions!$F$4-Assumptions!$D$4)/3.29)*44</f>
        <v>1254491.0381911886</v>
      </c>
      <c r="C100" s="6">
        <f ca="1">_xlfn.NORM.INV(RAND(),AVERAGE(Assumptions!$D$5,Assumptions!$F$5),(Assumptions!$F$5-Assumptions!$D$5)/3.29)*44</f>
        <v>2064119.2103130335</v>
      </c>
      <c r="D100" s="9">
        <f ca="1">_xlfn.NORM.INV(RAND(),AVERAGE(Assumptions!$D$6,Assumptions!$F$6),(Assumptions!$F$6-Assumptions!$D$6)/3.29)*RANDBETWEEN(2,5)</f>
        <v>4534623.8748123683</v>
      </c>
      <c r="E100" s="12">
        <f ca="1">_xlfn.NORM.INV(RAND(),AVERAGE(Assumptions!$D$17,Assumptions!$F$17),(Assumptions!$F$17-Assumptions!$D$17)/3.29)*8</f>
        <v>1000657.748885573</v>
      </c>
      <c r="F100" s="15">
        <f ca="1">_xlfn.NORM.INV(RAND(),AVERAGE(Assumptions!$D$7,Assumptions!$F$7),(Assumptions!$F$7-Assumptions!$D$7)/3.29)*RANDBETWEEN(1,3)</f>
        <v>2571716.4212380126</v>
      </c>
      <c r="G100" s="3">
        <f ca="1">_xlfn.NORM.INV(RAND(),AVERAGE(Assumptions!$D$8,Assumptions!$F$8),(Assumptions!$F$8-Assumptions!$D$8)/3.29)*44</f>
        <v>818535.44494620129</v>
      </c>
      <c r="H100" s="6">
        <f ca="1">_xlfn.NORM.INV(RAND(),AVERAGE(Assumptions!$D$9,Assumptions!$F$9),(Assumptions!$F$9-Assumptions!$D$9)/3.29)*21</f>
        <v>4817927.392723335</v>
      </c>
      <c r="I100" s="9">
        <f ca="1">_xlfn.NORM.INV(RAND(),AVERAGE(Assumptions!$D$10,Assumptions!$F$10),(Assumptions!$F$10-Assumptions!$D$10)/3.29)*21</f>
        <v>1127436.119468445</v>
      </c>
      <c r="J100" s="12">
        <f ca="1">NORMINV(RAND(),AVERAGE(Assumptions!$D$11,Assumptions!$F$11),(Assumptions!$F$11-Assumptions!$D$11)/3.29)*44</f>
        <v>4142547.7480951198</v>
      </c>
      <c r="K100" s="15">
        <f ca="1">_xlfn.NORM.INV(RAND(),AVERAGE(Assumptions!$D$12,Assumptions!$F$12),(Assumptions!$F$12-Assumptions!$D$12)/3.29)*44</f>
        <v>4714517.6589309294</v>
      </c>
      <c r="L100" s="3">
        <f ca="1">_xlfn.NORM.INV(RAND(),AVERAGE(Assumptions!$D$13,Assumptions!$F$13),(Assumptions!$F$13-Assumptions!$D$13)/3.29)*44</f>
        <v>15323466.779871285</v>
      </c>
      <c r="M100" s="6">
        <f ca="1">_xlfn.NORM.INV(RAND(),AVERAGE(Assumptions!$D$14,Assumptions!$F$14),(Assumptions!$F$14-Assumptions!$D$14)/3.29)*44</f>
        <v>5371431.3277732767</v>
      </c>
      <c r="N100" s="9">
        <f ca="1">_xlfn.NORM.INV(RAND(),AVERAGE(Assumptions!$D$16,Assumptions!$F$16),(Assumptions!$F$16-Assumptions!$D$16)/3.29)*44</f>
        <v>2374502.5623716442</v>
      </c>
      <c r="O100" s="12">
        <f ca="1">_xlfn.NORM.INV(RAND(),AVERAGE(Assumptions!$D$15,Assumptions!$F$15),(Assumptions!$F$15-Assumptions!$D$15)/3.29)*44</f>
        <v>107724538.33310643</v>
      </c>
      <c r="P100" s="15">
        <f>Assumptions!$D$18</f>
        <v>14641750.345627395</v>
      </c>
      <c r="Q100" s="3">
        <f t="shared" ca="1" si="2"/>
        <v>57608565.005486012</v>
      </c>
      <c r="R100" s="6">
        <f t="shared" ca="1" si="3"/>
        <v>72250315.351113409</v>
      </c>
    </row>
    <row r="101" spans="1:18">
      <c r="A101" s="20">
        <v>100</v>
      </c>
      <c r="B101" s="3">
        <f ca="1">_xlfn.NORM.INV(RAND(),AVERAGE(Assumptions!$D$4,Assumptions!$F$4),(Assumptions!$F$4-Assumptions!$D$4)/3.29)*44</f>
        <v>1156232.5454009993</v>
      </c>
      <c r="C101" s="6">
        <f ca="1">_xlfn.NORM.INV(RAND(),AVERAGE(Assumptions!$D$5,Assumptions!$F$5),(Assumptions!$F$5-Assumptions!$D$5)/3.29)*44</f>
        <v>1981847.3428289252</v>
      </c>
      <c r="D101" s="9">
        <f ca="1">_xlfn.NORM.INV(RAND(),AVERAGE(Assumptions!$D$6,Assumptions!$F$6),(Assumptions!$F$6-Assumptions!$D$6)/3.29)*RANDBETWEEN(2,5)</f>
        <v>3703915.8736338587</v>
      </c>
      <c r="E101" s="12">
        <f ca="1">_xlfn.NORM.INV(RAND(),AVERAGE(Assumptions!$D$17,Assumptions!$F$17),(Assumptions!$F$17-Assumptions!$D$17)/3.29)*8</f>
        <v>1082501.6264870842</v>
      </c>
      <c r="F101" s="15">
        <f ca="1">_xlfn.NORM.INV(RAND(),AVERAGE(Assumptions!$D$7,Assumptions!$F$7),(Assumptions!$F$7-Assumptions!$D$7)/3.29)*RANDBETWEEN(1,3)</f>
        <v>4398419.5489491755</v>
      </c>
      <c r="G101" s="3">
        <f ca="1">_xlfn.NORM.INV(RAND(),AVERAGE(Assumptions!$D$8,Assumptions!$F$8),(Assumptions!$F$8-Assumptions!$D$8)/3.29)*44</f>
        <v>1517093.6473166267</v>
      </c>
      <c r="H101" s="6">
        <f ca="1">_xlfn.NORM.INV(RAND(),AVERAGE(Assumptions!$D$9,Assumptions!$F$9),(Assumptions!$F$9-Assumptions!$D$9)/3.29)*21</f>
        <v>6401070.9098716648</v>
      </c>
      <c r="I101" s="9">
        <f ca="1">_xlfn.NORM.INV(RAND(),AVERAGE(Assumptions!$D$10,Assumptions!$F$10),(Assumptions!$F$10-Assumptions!$D$10)/3.29)*21</f>
        <v>627006.82752921525</v>
      </c>
      <c r="J101" s="12">
        <f ca="1">NORMINV(RAND(),AVERAGE(Assumptions!$D$11,Assumptions!$F$11),(Assumptions!$F$11-Assumptions!$D$11)/3.29)*44</f>
        <v>5158932.3064861465</v>
      </c>
      <c r="K101" s="15">
        <f ca="1">_xlfn.NORM.INV(RAND(),AVERAGE(Assumptions!$D$12,Assumptions!$F$12),(Assumptions!$F$12-Assumptions!$D$12)/3.29)*44</f>
        <v>9239829.7733090129</v>
      </c>
      <c r="L101" s="3">
        <f ca="1">_xlfn.NORM.INV(RAND(),AVERAGE(Assumptions!$D$13,Assumptions!$F$13),(Assumptions!$F$13-Assumptions!$D$13)/3.29)*44</f>
        <v>7842439.1246294547</v>
      </c>
      <c r="M101" s="6">
        <f ca="1">_xlfn.NORM.INV(RAND(),AVERAGE(Assumptions!$D$14,Assumptions!$F$14),(Assumptions!$F$14-Assumptions!$D$14)/3.29)*44</f>
        <v>6801492.6794573935</v>
      </c>
      <c r="N101" s="9">
        <f ca="1">_xlfn.NORM.INV(RAND(),AVERAGE(Assumptions!$D$16,Assumptions!$F$16),(Assumptions!$F$16-Assumptions!$D$16)/3.29)*44</f>
        <v>11557104.950960495</v>
      </c>
      <c r="O101" s="12">
        <f ca="1">_xlfn.NORM.INV(RAND(),AVERAGE(Assumptions!$D$15,Assumptions!$F$15),(Assumptions!$F$15-Assumptions!$D$15)/3.29)*44</f>
        <v>76796112.139220953</v>
      </c>
      <c r="P101" s="15">
        <f>Assumptions!$D$18</f>
        <v>14641750.345627395</v>
      </c>
      <c r="Q101" s="3">
        <f t="shared" ca="1" si="2"/>
        <v>15328224.982360899</v>
      </c>
      <c r="R101" s="6">
        <f t="shared" ca="1" si="3"/>
        <v>29969975.327988297</v>
      </c>
    </row>
    <row r="102" spans="1:18">
      <c r="A102" s="20">
        <v>101</v>
      </c>
      <c r="B102" s="3">
        <f ca="1">_xlfn.NORM.INV(RAND(),AVERAGE(Assumptions!$D$4,Assumptions!$F$4),(Assumptions!$F$4-Assumptions!$D$4)/3.29)*44</f>
        <v>1131137.6321371295</v>
      </c>
      <c r="C102" s="6">
        <f ca="1">_xlfn.NORM.INV(RAND(),AVERAGE(Assumptions!$D$5,Assumptions!$F$5),(Assumptions!$F$5-Assumptions!$D$5)/3.29)*44</f>
        <v>2145973.3366840319</v>
      </c>
      <c r="D102" s="9">
        <f ca="1">_xlfn.NORM.INV(RAND(),AVERAGE(Assumptions!$D$6,Assumptions!$F$6),(Assumptions!$F$6-Assumptions!$D$6)/3.29)*RANDBETWEEN(2,5)</f>
        <v>6290615.2760743452</v>
      </c>
      <c r="E102" s="12">
        <f ca="1">_xlfn.NORM.INV(RAND(),AVERAGE(Assumptions!$D$17,Assumptions!$F$17),(Assumptions!$F$17-Assumptions!$D$17)/3.29)*8</f>
        <v>1034118.5637090491</v>
      </c>
      <c r="F102" s="15">
        <f ca="1">_xlfn.NORM.INV(RAND(),AVERAGE(Assumptions!$D$7,Assumptions!$F$7),(Assumptions!$F$7-Assumptions!$D$7)/3.29)*RANDBETWEEN(1,3)</f>
        <v>2698073.0910825673</v>
      </c>
      <c r="G102" s="3">
        <f ca="1">_xlfn.NORM.INV(RAND(),AVERAGE(Assumptions!$D$8,Assumptions!$F$8),(Assumptions!$F$8-Assumptions!$D$8)/3.29)*44</f>
        <v>1152803.5054093401</v>
      </c>
      <c r="H102" s="6">
        <f ca="1">_xlfn.NORM.INV(RAND(),AVERAGE(Assumptions!$D$9,Assumptions!$F$9),(Assumptions!$F$9-Assumptions!$D$9)/3.29)*21</f>
        <v>1440539.8215946918</v>
      </c>
      <c r="I102" s="9">
        <f ca="1">_xlfn.NORM.INV(RAND(),AVERAGE(Assumptions!$D$10,Assumptions!$F$10),(Assumptions!$F$10-Assumptions!$D$10)/3.29)*21</f>
        <v>798622.88273400324</v>
      </c>
      <c r="J102" s="12">
        <f ca="1">NORMINV(RAND(),AVERAGE(Assumptions!$D$11,Assumptions!$F$11),(Assumptions!$F$11-Assumptions!$D$11)/3.29)*44</f>
        <v>3507929.2166616558</v>
      </c>
      <c r="K102" s="15">
        <f ca="1">_xlfn.NORM.INV(RAND(),AVERAGE(Assumptions!$D$12,Assumptions!$F$12),(Assumptions!$F$12-Assumptions!$D$12)/3.29)*44</f>
        <v>9944181.8237907011</v>
      </c>
      <c r="L102" s="3">
        <f ca="1">_xlfn.NORM.INV(RAND(),AVERAGE(Assumptions!$D$13,Assumptions!$F$13),(Assumptions!$F$13-Assumptions!$D$13)/3.29)*44</f>
        <v>15787900.789018847</v>
      </c>
      <c r="M102" s="6">
        <f ca="1">_xlfn.NORM.INV(RAND(),AVERAGE(Assumptions!$D$14,Assumptions!$F$14),(Assumptions!$F$14-Assumptions!$D$14)/3.29)*44</f>
        <v>5245063.6762853423</v>
      </c>
      <c r="N102" s="9">
        <f ca="1">_xlfn.NORM.INV(RAND(),AVERAGE(Assumptions!$D$16,Assumptions!$F$16),(Assumptions!$F$16-Assumptions!$D$16)/3.29)*44</f>
        <v>13826932.204060469</v>
      </c>
      <c r="O102" s="12">
        <f ca="1">_xlfn.NORM.INV(RAND(),AVERAGE(Assumptions!$D$15,Assumptions!$F$15),(Assumptions!$F$15-Assumptions!$D$15)/3.29)*44</f>
        <v>64984636.821896426</v>
      </c>
      <c r="P102" s="15">
        <f>Assumptions!$D$18</f>
        <v>14641750.345627395</v>
      </c>
      <c r="Q102" s="3">
        <f t="shared" ca="1" si="2"/>
        <v>-19254.997345753014</v>
      </c>
      <c r="R102" s="6">
        <f t="shared" ca="1" si="3"/>
        <v>14622495.348281642</v>
      </c>
    </row>
    <row r="103" spans="1:18">
      <c r="A103" s="20">
        <v>102</v>
      </c>
      <c r="B103" s="3">
        <f ca="1">_xlfn.NORM.INV(RAND(),AVERAGE(Assumptions!$D$4,Assumptions!$F$4),(Assumptions!$F$4-Assumptions!$D$4)/3.29)*44</f>
        <v>1128497.9984394957</v>
      </c>
      <c r="C103" s="6">
        <f ca="1">_xlfn.NORM.INV(RAND(),AVERAGE(Assumptions!$D$5,Assumptions!$F$5),(Assumptions!$F$5-Assumptions!$D$5)/3.29)*44</f>
        <v>1747633.9727225224</v>
      </c>
      <c r="D103" s="9">
        <f ca="1">_xlfn.NORM.INV(RAND(),AVERAGE(Assumptions!$D$6,Assumptions!$F$6),(Assumptions!$F$6-Assumptions!$D$6)/3.29)*RANDBETWEEN(2,5)</f>
        <v>1524339.186290076</v>
      </c>
      <c r="E103" s="12">
        <f ca="1">_xlfn.NORM.INV(RAND(),AVERAGE(Assumptions!$D$17,Assumptions!$F$17),(Assumptions!$F$17-Assumptions!$D$17)/3.29)*8</f>
        <v>821857.04162304639</v>
      </c>
      <c r="F103" s="15">
        <f ca="1">_xlfn.NORM.INV(RAND(),AVERAGE(Assumptions!$D$7,Assumptions!$F$7),(Assumptions!$F$7-Assumptions!$D$7)/3.29)*RANDBETWEEN(1,3)</f>
        <v>2495396.2102747681</v>
      </c>
      <c r="G103" s="3">
        <f ca="1">_xlfn.NORM.INV(RAND(),AVERAGE(Assumptions!$D$8,Assumptions!$F$8),(Assumptions!$F$8-Assumptions!$D$8)/3.29)*44</f>
        <v>1587869.6395123079</v>
      </c>
      <c r="H103" s="6">
        <f ca="1">_xlfn.NORM.INV(RAND(),AVERAGE(Assumptions!$D$9,Assumptions!$F$9),(Assumptions!$F$9-Assumptions!$D$9)/3.29)*21</f>
        <v>3429750.6356661324</v>
      </c>
      <c r="I103" s="9">
        <f ca="1">_xlfn.NORM.INV(RAND(),AVERAGE(Assumptions!$D$10,Assumptions!$F$10),(Assumptions!$F$10-Assumptions!$D$10)/3.29)*21</f>
        <v>440160.22068997001</v>
      </c>
      <c r="J103" s="12">
        <f ca="1">NORMINV(RAND(),AVERAGE(Assumptions!$D$11,Assumptions!$F$11),(Assumptions!$F$11-Assumptions!$D$11)/3.29)*44</f>
        <v>4544862.3398197377</v>
      </c>
      <c r="K103" s="15">
        <f ca="1">_xlfn.NORM.INV(RAND(),AVERAGE(Assumptions!$D$12,Assumptions!$F$12),(Assumptions!$F$12-Assumptions!$D$12)/3.29)*44</f>
        <v>7859249.1259294273</v>
      </c>
      <c r="L103" s="3">
        <f ca="1">_xlfn.NORM.INV(RAND(),AVERAGE(Assumptions!$D$13,Assumptions!$F$13),(Assumptions!$F$13-Assumptions!$D$13)/3.29)*44</f>
        <v>15847029.100875655</v>
      </c>
      <c r="M103" s="6">
        <f ca="1">_xlfn.NORM.INV(RAND(),AVERAGE(Assumptions!$D$14,Assumptions!$F$14),(Assumptions!$F$14-Assumptions!$D$14)/3.29)*44</f>
        <v>5890996.9166831598</v>
      </c>
      <c r="N103" s="9">
        <f ca="1">_xlfn.NORM.INV(RAND(),AVERAGE(Assumptions!$D$16,Assumptions!$F$16),(Assumptions!$F$16-Assumptions!$D$16)/3.29)*44</f>
        <v>15494394.846478147</v>
      </c>
      <c r="O103" s="12">
        <f ca="1">_xlfn.NORM.INV(RAND(),AVERAGE(Assumptions!$D$15,Assumptions!$F$15),(Assumptions!$F$15-Assumptions!$D$15)/3.29)*44</f>
        <v>169964380.34307328</v>
      </c>
      <c r="P103" s="15">
        <f>Assumptions!$D$18</f>
        <v>14641750.345627395</v>
      </c>
      <c r="Q103" s="3">
        <f t="shared" ca="1" si="2"/>
        <v>107152343.10806882</v>
      </c>
      <c r="R103" s="6">
        <f t="shared" ca="1" si="3"/>
        <v>121794093.45369622</v>
      </c>
    </row>
    <row r="104" spans="1:18">
      <c r="A104" s="20">
        <v>103</v>
      </c>
      <c r="B104" s="3">
        <f ca="1">_xlfn.NORM.INV(RAND(),AVERAGE(Assumptions!$D$4,Assumptions!$F$4),(Assumptions!$F$4-Assumptions!$D$4)/3.29)*44</f>
        <v>1132171.7719795175</v>
      </c>
      <c r="C104" s="6">
        <f ca="1">_xlfn.NORM.INV(RAND(),AVERAGE(Assumptions!$D$5,Assumptions!$F$5),(Assumptions!$F$5-Assumptions!$D$5)/3.29)*44</f>
        <v>2128640.3724408657</v>
      </c>
      <c r="D104" s="9">
        <f ca="1">_xlfn.NORM.INV(RAND(),AVERAGE(Assumptions!$D$6,Assumptions!$F$6),(Assumptions!$F$6-Assumptions!$D$6)/3.29)*RANDBETWEEN(2,5)</f>
        <v>4621154.6774272462</v>
      </c>
      <c r="E104" s="12">
        <f ca="1">_xlfn.NORM.INV(RAND(),AVERAGE(Assumptions!$D$17,Assumptions!$F$17),(Assumptions!$F$17-Assumptions!$D$17)/3.29)*8</f>
        <v>1071342.5044232914</v>
      </c>
      <c r="F104" s="15">
        <f ca="1">_xlfn.NORM.INV(RAND(),AVERAGE(Assumptions!$D$7,Assumptions!$F$7),(Assumptions!$F$7-Assumptions!$D$7)/3.29)*RANDBETWEEN(1,3)</f>
        <v>4029677.8946603099</v>
      </c>
      <c r="G104" s="3">
        <f ca="1">_xlfn.NORM.INV(RAND(),AVERAGE(Assumptions!$D$8,Assumptions!$F$8),(Assumptions!$F$8-Assumptions!$D$8)/3.29)*44</f>
        <v>1447694.117845549</v>
      </c>
      <c r="H104" s="6">
        <f ca="1">_xlfn.NORM.INV(RAND(),AVERAGE(Assumptions!$D$9,Assumptions!$F$9),(Assumptions!$F$9-Assumptions!$D$9)/3.29)*21</f>
        <v>1230090.82179202</v>
      </c>
      <c r="I104" s="9">
        <f ca="1">_xlfn.NORM.INV(RAND(),AVERAGE(Assumptions!$D$10,Assumptions!$F$10),(Assumptions!$F$10-Assumptions!$D$10)/3.29)*21</f>
        <v>625076.16216926149</v>
      </c>
      <c r="J104" s="12">
        <f ca="1">NORMINV(RAND(),AVERAGE(Assumptions!$D$11,Assumptions!$F$11),(Assumptions!$F$11-Assumptions!$D$11)/3.29)*44</f>
        <v>1367483.8864768459</v>
      </c>
      <c r="K104" s="15">
        <f ca="1">_xlfn.NORM.INV(RAND(),AVERAGE(Assumptions!$D$12,Assumptions!$F$12),(Assumptions!$F$12-Assumptions!$D$12)/3.29)*44</f>
        <v>8006236.5525639765</v>
      </c>
      <c r="L104" s="3">
        <f ca="1">_xlfn.NORM.INV(RAND(),AVERAGE(Assumptions!$D$13,Assumptions!$F$13),(Assumptions!$F$13-Assumptions!$D$13)/3.29)*44</f>
        <v>15853373.019296471</v>
      </c>
      <c r="M104" s="6">
        <f ca="1">_xlfn.NORM.INV(RAND(),AVERAGE(Assumptions!$D$14,Assumptions!$F$14),(Assumptions!$F$14-Assumptions!$D$14)/3.29)*44</f>
        <v>6749684.4167236434</v>
      </c>
      <c r="N104" s="9">
        <f ca="1">_xlfn.NORM.INV(RAND(),AVERAGE(Assumptions!$D$16,Assumptions!$F$16),(Assumptions!$F$16-Assumptions!$D$16)/3.29)*44</f>
        <v>11024802.289353814</v>
      </c>
      <c r="O104" s="12">
        <f ca="1">_xlfn.NORM.INV(RAND(),AVERAGE(Assumptions!$D$15,Assumptions!$F$15),(Assumptions!$F$15-Assumptions!$D$15)/3.29)*44</f>
        <v>68164174.702569887</v>
      </c>
      <c r="P104" s="15">
        <f>Assumptions!$D$18</f>
        <v>14641750.345627395</v>
      </c>
      <c r="Q104" s="3">
        <f t="shared" ca="1" si="2"/>
        <v>8876746.2154170722</v>
      </c>
      <c r="R104" s="6">
        <f t="shared" ca="1" si="3"/>
        <v>23518496.561044469</v>
      </c>
    </row>
    <row r="105" spans="1:18">
      <c r="A105" s="20">
        <v>104</v>
      </c>
      <c r="B105" s="3">
        <f ca="1">_xlfn.NORM.INV(RAND(),AVERAGE(Assumptions!$D$4,Assumptions!$F$4),(Assumptions!$F$4-Assumptions!$D$4)/3.29)*44</f>
        <v>1130287.9058071901</v>
      </c>
      <c r="C105" s="6">
        <f ca="1">_xlfn.NORM.INV(RAND(),AVERAGE(Assumptions!$D$5,Assumptions!$F$5),(Assumptions!$F$5-Assumptions!$D$5)/3.29)*44</f>
        <v>1917823.4547089229</v>
      </c>
      <c r="D105" s="9">
        <f ca="1">_xlfn.NORM.INV(RAND(),AVERAGE(Assumptions!$D$6,Assumptions!$F$6),(Assumptions!$F$6-Assumptions!$D$6)/3.29)*RANDBETWEEN(2,5)</f>
        <v>3036475.4935820475</v>
      </c>
      <c r="E105" s="12">
        <f ca="1">_xlfn.NORM.INV(RAND(),AVERAGE(Assumptions!$D$17,Assumptions!$F$17),(Assumptions!$F$17-Assumptions!$D$17)/3.29)*8</f>
        <v>782141.3648144675</v>
      </c>
      <c r="F105" s="15">
        <f ca="1">_xlfn.NORM.INV(RAND(),AVERAGE(Assumptions!$D$7,Assumptions!$F$7),(Assumptions!$F$7-Assumptions!$D$7)/3.29)*RANDBETWEEN(1,3)</f>
        <v>5822780.446885257</v>
      </c>
      <c r="G105" s="3">
        <f ca="1">_xlfn.NORM.INV(RAND(),AVERAGE(Assumptions!$D$8,Assumptions!$F$8),(Assumptions!$F$8-Assumptions!$D$8)/3.29)*44</f>
        <v>740765.18719188555</v>
      </c>
      <c r="H105" s="6">
        <f ca="1">_xlfn.NORM.INV(RAND(),AVERAGE(Assumptions!$D$9,Assumptions!$F$9),(Assumptions!$F$9-Assumptions!$D$9)/3.29)*21</f>
        <v>3793827.154362211</v>
      </c>
      <c r="I105" s="9">
        <f ca="1">_xlfn.NORM.INV(RAND(),AVERAGE(Assumptions!$D$10,Assumptions!$F$10),(Assumptions!$F$10-Assumptions!$D$10)/3.29)*21</f>
        <v>1049875.2975844296</v>
      </c>
      <c r="J105" s="12">
        <f ca="1">NORMINV(RAND(),AVERAGE(Assumptions!$D$11,Assumptions!$F$11),(Assumptions!$F$11-Assumptions!$D$11)/3.29)*44</f>
        <v>5497709.224799525</v>
      </c>
      <c r="K105" s="15">
        <f ca="1">_xlfn.NORM.INV(RAND(),AVERAGE(Assumptions!$D$12,Assumptions!$F$12),(Assumptions!$F$12-Assumptions!$D$12)/3.29)*44</f>
        <v>6296155.4083174542</v>
      </c>
      <c r="L105" s="3">
        <f ca="1">_xlfn.NORM.INV(RAND(),AVERAGE(Assumptions!$D$13,Assumptions!$F$13),(Assumptions!$F$13-Assumptions!$D$13)/3.29)*44</f>
        <v>15020496.62981393</v>
      </c>
      <c r="M105" s="6">
        <f ca="1">_xlfn.NORM.INV(RAND(),AVERAGE(Assumptions!$D$14,Assumptions!$F$14),(Assumptions!$F$14-Assumptions!$D$14)/3.29)*44</f>
        <v>7318340.9894664874</v>
      </c>
      <c r="N105" s="9">
        <f ca="1">_xlfn.NORM.INV(RAND(),AVERAGE(Assumptions!$D$16,Assumptions!$F$16),(Assumptions!$F$16-Assumptions!$D$16)/3.29)*44</f>
        <v>9108200.8633031864</v>
      </c>
      <c r="O105" s="12">
        <f ca="1">_xlfn.NORM.INV(RAND(),AVERAGE(Assumptions!$D$15,Assumptions!$F$15),(Assumptions!$F$15-Assumptions!$D$15)/3.29)*44</f>
        <v>89623605.107662082</v>
      </c>
      <c r="P105" s="15">
        <f>Assumptions!$D$18</f>
        <v>14641750.345627395</v>
      </c>
      <c r="Q105" s="3">
        <f t="shared" ca="1" si="2"/>
        <v>28108725.687025085</v>
      </c>
      <c r="R105" s="6">
        <f t="shared" ca="1" si="3"/>
        <v>42750476.032652482</v>
      </c>
    </row>
    <row r="106" spans="1:18">
      <c r="A106" s="20">
        <v>105</v>
      </c>
      <c r="B106" s="3">
        <f ca="1">_xlfn.NORM.INV(RAND(),AVERAGE(Assumptions!$D$4,Assumptions!$F$4),(Assumptions!$F$4-Assumptions!$D$4)/3.29)*44</f>
        <v>1228854.1853958694</v>
      </c>
      <c r="C106" s="6">
        <f ca="1">_xlfn.NORM.INV(RAND(),AVERAGE(Assumptions!$D$5,Assumptions!$F$5),(Assumptions!$F$5-Assumptions!$D$5)/3.29)*44</f>
        <v>1838477.4339614836</v>
      </c>
      <c r="D106" s="9">
        <f ca="1">_xlfn.NORM.INV(RAND(),AVERAGE(Assumptions!$D$6,Assumptions!$F$6),(Assumptions!$F$6-Assumptions!$D$6)/3.29)*RANDBETWEEN(2,5)</f>
        <v>5756485.1470634881</v>
      </c>
      <c r="E106" s="12">
        <f ca="1">_xlfn.NORM.INV(RAND(),AVERAGE(Assumptions!$D$17,Assumptions!$F$17),(Assumptions!$F$17-Assumptions!$D$17)/3.29)*8</f>
        <v>1004627.7571477996</v>
      </c>
      <c r="F106" s="15">
        <f ca="1">_xlfn.NORM.INV(RAND(),AVERAGE(Assumptions!$D$7,Assumptions!$F$7),(Assumptions!$F$7-Assumptions!$D$7)/3.29)*RANDBETWEEN(1,3)</f>
        <v>3866238.9167259848</v>
      </c>
      <c r="G106" s="3">
        <f ca="1">_xlfn.NORM.INV(RAND(),AVERAGE(Assumptions!$D$8,Assumptions!$F$8),(Assumptions!$F$8-Assumptions!$D$8)/3.29)*44</f>
        <v>937045.91810916248</v>
      </c>
      <c r="H106" s="6">
        <f ca="1">_xlfn.NORM.INV(RAND(),AVERAGE(Assumptions!$D$9,Assumptions!$F$9),(Assumptions!$F$9-Assumptions!$D$9)/3.29)*21</f>
        <v>4752723.4555685371</v>
      </c>
      <c r="I106" s="9">
        <f ca="1">_xlfn.NORM.INV(RAND(),AVERAGE(Assumptions!$D$10,Assumptions!$F$10),(Assumptions!$F$10-Assumptions!$D$10)/3.29)*21</f>
        <v>882240.04148412752</v>
      </c>
      <c r="J106" s="12">
        <f ca="1">NORMINV(RAND(),AVERAGE(Assumptions!$D$11,Assumptions!$F$11),(Assumptions!$F$11-Assumptions!$D$11)/3.29)*44</f>
        <v>2896459.6046955953</v>
      </c>
      <c r="K106" s="15">
        <f ca="1">_xlfn.NORM.INV(RAND(),AVERAGE(Assumptions!$D$12,Assumptions!$F$12),(Assumptions!$F$12-Assumptions!$D$12)/3.29)*44</f>
        <v>7778868.1319625909</v>
      </c>
      <c r="L106" s="3">
        <f ca="1">_xlfn.NORM.INV(RAND(),AVERAGE(Assumptions!$D$13,Assumptions!$F$13),(Assumptions!$F$13-Assumptions!$D$13)/3.29)*44</f>
        <v>16622627.439778185</v>
      </c>
      <c r="M106" s="6">
        <f ca="1">_xlfn.NORM.INV(RAND(),AVERAGE(Assumptions!$D$14,Assumptions!$F$14),(Assumptions!$F$14-Assumptions!$D$14)/3.29)*44</f>
        <v>6295943.8899299297</v>
      </c>
      <c r="N106" s="9">
        <f ca="1">_xlfn.NORM.INV(RAND(),AVERAGE(Assumptions!$D$16,Assumptions!$F$16),(Assumptions!$F$16-Assumptions!$D$16)/3.29)*44</f>
        <v>5993220.8625562545</v>
      </c>
      <c r="O106" s="12">
        <f ca="1">_xlfn.NORM.INV(RAND(),AVERAGE(Assumptions!$D$15,Assumptions!$F$15),(Assumptions!$F$15-Assumptions!$D$15)/3.29)*44</f>
        <v>84214793.784729064</v>
      </c>
      <c r="P106" s="15">
        <f>Assumptions!$D$18</f>
        <v>14641750.345627395</v>
      </c>
      <c r="Q106" s="3">
        <f t="shared" ca="1" si="2"/>
        <v>24360981.000350058</v>
      </c>
      <c r="R106" s="6">
        <f t="shared" ca="1" si="3"/>
        <v>39002731.345977455</v>
      </c>
    </row>
    <row r="107" spans="1:18">
      <c r="A107" s="20">
        <v>106</v>
      </c>
      <c r="B107" s="3">
        <f ca="1">_xlfn.NORM.INV(RAND(),AVERAGE(Assumptions!$D$4,Assumptions!$F$4),(Assumptions!$F$4-Assumptions!$D$4)/3.29)*44</f>
        <v>1223866.0755327523</v>
      </c>
      <c r="C107" s="6">
        <f ca="1">_xlfn.NORM.INV(RAND(),AVERAGE(Assumptions!$D$5,Assumptions!$F$5),(Assumptions!$F$5-Assumptions!$D$5)/3.29)*44</f>
        <v>1914215.05267371</v>
      </c>
      <c r="D107" s="9">
        <f ca="1">_xlfn.NORM.INV(RAND(),AVERAGE(Assumptions!$D$6,Assumptions!$F$6),(Assumptions!$F$6-Assumptions!$D$6)/3.29)*RANDBETWEEN(2,5)</f>
        <v>6495259.1423466858</v>
      </c>
      <c r="E107" s="12">
        <f ca="1">_xlfn.NORM.INV(RAND(),AVERAGE(Assumptions!$D$17,Assumptions!$F$17),(Assumptions!$F$17-Assumptions!$D$17)/3.29)*8</f>
        <v>1006489.8758852059</v>
      </c>
      <c r="F107" s="15">
        <f ca="1">_xlfn.NORM.INV(RAND(),AVERAGE(Assumptions!$D$7,Assumptions!$F$7),(Assumptions!$F$7-Assumptions!$D$7)/3.29)*RANDBETWEEN(1,3)</f>
        <v>6033234.5909187952</v>
      </c>
      <c r="G107" s="3">
        <f ca="1">_xlfn.NORM.INV(RAND(),AVERAGE(Assumptions!$D$8,Assumptions!$F$8),(Assumptions!$F$8-Assumptions!$D$8)/3.29)*44</f>
        <v>1272926.9816037943</v>
      </c>
      <c r="H107" s="6">
        <f ca="1">_xlfn.NORM.INV(RAND(),AVERAGE(Assumptions!$D$9,Assumptions!$F$9),(Assumptions!$F$9-Assumptions!$D$9)/3.29)*21</f>
        <v>2760480.519367435</v>
      </c>
      <c r="I107" s="9">
        <f ca="1">_xlfn.NORM.INV(RAND(),AVERAGE(Assumptions!$D$10,Assumptions!$F$10),(Assumptions!$F$10-Assumptions!$D$10)/3.29)*21</f>
        <v>600976.77959006862</v>
      </c>
      <c r="J107" s="12">
        <f ca="1">NORMINV(RAND(),AVERAGE(Assumptions!$D$11,Assumptions!$F$11),(Assumptions!$F$11-Assumptions!$D$11)/3.29)*44</f>
        <v>1942450.0919284532</v>
      </c>
      <c r="K107" s="15">
        <f ca="1">_xlfn.NORM.INV(RAND(),AVERAGE(Assumptions!$D$12,Assumptions!$F$12),(Assumptions!$F$12-Assumptions!$D$12)/3.29)*44</f>
        <v>7682196.5686738677</v>
      </c>
      <c r="L107" s="3">
        <f ca="1">_xlfn.NORM.INV(RAND(),AVERAGE(Assumptions!$D$13,Assumptions!$F$13),(Assumptions!$F$13-Assumptions!$D$13)/3.29)*44</f>
        <v>10212262.209918242</v>
      </c>
      <c r="M107" s="6">
        <f ca="1">_xlfn.NORM.INV(RAND(),AVERAGE(Assumptions!$D$14,Assumptions!$F$14),(Assumptions!$F$14-Assumptions!$D$14)/3.29)*44</f>
        <v>6808957.7433840176</v>
      </c>
      <c r="N107" s="9">
        <f ca="1">_xlfn.NORM.INV(RAND(),AVERAGE(Assumptions!$D$16,Assumptions!$F$16),(Assumptions!$F$16-Assumptions!$D$16)/3.29)*44</f>
        <v>15503715.641005147</v>
      </c>
      <c r="O107" s="12">
        <f ca="1">_xlfn.NORM.INV(RAND(),AVERAGE(Assumptions!$D$15,Assumptions!$F$15),(Assumptions!$F$15-Assumptions!$D$15)/3.29)*44</f>
        <v>163964176.72117198</v>
      </c>
      <c r="P107" s="15">
        <f>Assumptions!$D$18</f>
        <v>14641750.345627395</v>
      </c>
      <c r="Q107" s="3">
        <f t="shared" ca="1" si="2"/>
        <v>100507145.4483438</v>
      </c>
      <c r="R107" s="6">
        <f t="shared" ca="1" si="3"/>
        <v>115148895.7939712</v>
      </c>
    </row>
    <row r="108" spans="1:18">
      <c r="A108" s="20">
        <v>107</v>
      </c>
      <c r="B108" s="3">
        <f ca="1">_xlfn.NORM.INV(RAND(),AVERAGE(Assumptions!$D$4,Assumptions!$F$4),(Assumptions!$F$4-Assumptions!$D$4)/3.29)*44</f>
        <v>1259297.2426755261</v>
      </c>
      <c r="C108" s="6">
        <f ca="1">_xlfn.NORM.INV(RAND(),AVERAGE(Assumptions!$D$5,Assumptions!$F$5),(Assumptions!$F$5-Assumptions!$D$5)/3.29)*44</f>
        <v>1923393.6537577824</v>
      </c>
      <c r="D108" s="9">
        <f ca="1">_xlfn.NORM.INV(RAND(),AVERAGE(Assumptions!$D$6,Assumptions!$F$6),(Assumptions!$F$6-Assumptions!$D$6)/3.29)*RANDBETWEEN(2,5)</f>
        <v>5244155.2960385345</v>
      </c>
      <c r="E108" s="12">
        <f ca="1">_xlfn.NORM.INV(RAND(),AVERAGE(Assumptions!$D$17,Assumptions!$F$17),(Assumptions!$F$17-Assumptions!$D$17)/3.29)*8</f>
        <v>889459.41470506904</v>
      </c>
      <c r="F108" s="15">
        <f ca="1">_xlfn.NORM.INV(RAND(),AVERAGE(Assumptions!$D$7,Assumptions!$F$7),(Assumptions!$F$7-Assumptions!$D$7)/3.29)*RANDBETWEEN(1,3)</f>
        <v>5156540.7853431106</v>
      </c>
      <c r="G108" s="3">
        <f ca="1">_xlfn.NORM.INV(RAND(),AVERAGE(Assumptions!$D$8,Assumptions!$F$8),(Assumptions!$F$8-Assumptions!$D$8)/3.29)*44</f>
        <v>1070324.2829689619</v>
      </c>
      <c r="H108" s="6">
        <f ca="1">_xlfn.NORM.INV(RAND(),AVERAGE(Assumptions!$D$9,Assumptions!$F$9),(Assumptions!$F$9-Assumptions!$D$9)/3.29)*21</f>
        <v>5236132.4081982905</v>
      </c>
      <c r="I108" s="9">
        <f ca="1">_xlfn.NORM.INV(RAND(),AVERAGE(Assumptions!$D$10,Assumptions!$F$10),(Assumptions!$F$10-Assumptions!$D$10)/3.29)*21</f>
        <v>777882.74637985323</v>
      </c>
      <c r="J108" s="12">
        <f ca="1">NORMINV(RAND(),AVERAGE(Assumptions!$D$11,Assumptions!$F$11),(Assumptions!$F$11-Assumptions!$D$11)/3.29)*44</f>
        <v>4430149.551629249</v>
      </c>
      <c r="K108" s="15">
        <f ca="1">_xlfn.NORM.INV(RAND(),AVERAGE(Assumptions!$D$12,Assumptions!$F$12),(Assumptions!$F$12-Assumptions!$D$12)/3.29)*44</f>
        <v>9919347.4012011643</v>
      </c>
      <c r="L108" s="3">
        <f ca="1">_xlfn.NORM.INV(RAND(),AVERAGE(Assumptions!$D$13,Assumptions!$F$13),(Assumptions!$F$13-Assumptions!$D$13)/3.29)*44</f>
        <v>15765515.332032366</v>
      </c>
      <c r="M108" s="6">
        <f ca="1">_xlfn.NORM.INV(RAND(),AVERAGE(Assumptions!$D$14,Assumptions!$F$14),(Assumptions!$F$14-Assumptions!$D$14)/3.29)*44</f>
        <v>6135883.7156804688</v>
      </c>
      <c r="N108" s="9">
        <f ca="1">_xlfn.NORM.INV(RAND(),AVERAGE(Assumptions!$D$16,Assumptions!$F$16),(Assumptions!$F$16-Assumptions!$D$16)/3.29)*44</f>
        <v>11123311.16436626</v>
      </c>
      <c r="O108" s="12">
        <f ca="1">_xlfn.NORM.INV(RAND(),AVERAGE(Assumptions!$D$15,Assumptions!$F$15),(Assumptions!$F$15-Assumptions!$D$15)/3.29)*44</f>
        <v>101969924.39885126</v>
      </c>
      <c r="P108" s="15">
        <f>Assumptions!$D$18</f>
        <v>14641750.345627395</v>
      </c>
      <c r="Q108" s="3">
        <f t="shared" ca="1" si="2"/>
        <v>33038531.403874621</v>
      </c>
      <c r="R108" s="6">
        <f t="shared" ca="1" si="3"/>
        <v>47680281.749502018</v>
      </c>
    </row>
    <row r="109" spans="1:18">
      <c r="A109" s="20">
        <v>108</v>
      </c>
      <c r="B109" s="3">
        <f ca="1">_xlfn.NORM.INV(RAND(),AVERAGE(Assumptions!$D$4,Assumptions!$F$4),(Assumptions!$F$4-Assumptions!$D$4)/3.29)*44</f>
        <v>1253804.7689736374</v>
      </c>
      <c r="C109" s="6">
        <f ca="1">_xlfn.NORM.INV(RAND(),AVERAGE(Assumptions!$D$5,Assumptions!$F$5),(Assumptions!$F$5-Assumptions!$D$5)/3.29)*44</f>
        <v>1657131.3881281288</v>
      </c>
      <c r="D109" s="9">
        <f ca="1">_xlfn.NORM.INV(RAND(),AVERAGE(Assumptions!$D$6,Assumptions!$F$6),(Assumptions!$F$6-Assumptions!$D$6)/3.29)*RANDBETWEEN(2,5)</f>
        <v>3704423.2232892746</v>
      </c>
      <c r="E109" s="12">
        <f ca="1">_xlfn.NORM.INV(RAND(),AVERAGE(Assumptions!$D$17,Assumptions!$F$17),(Assumptions!$F$17-Assumptions!$D$17)/3.29)*8</f>
        <v>1066552.0044483477</v>
      </c>
      <c r="F109" s="15">
        <f ca="1">_xlfn.NORM.INV(RAND(),AVERAGE(Assumptions!$D$7,Assumptions!$F$7),(Assumptions!$F$7-Assumptions!$D$7)/3.29)*RANDBETWEEN(1,3)</f>
        <v>2681215.8376602437</v>
      </c>
      <c r="G109" s="3">
        <f ca="1">_xlfn.NORM.INV(RAND(),AVERAGE(Assumptions!$D$8,Assumptions!$F$8),(Assumptions!$F$8-Assumptions!$D$8)/3.29)*44</f>
        <v>1000858.4028125081</v>
      </c>
      <c r="H109" s="6">
        <f ca="1">_xlfn.NORM.INV(RAND(),AVERAGE(Assumptions!$D$9,Assumptions!$F$9),(Assumptions!$F$9-Assumptions!$D$9)/3.29)*21</f>
        <v>3200726.9962078417</v>
      </c>
      <c r="I109" s="9">
        <f ca="1">_xlfn.NORM.INV(RAND(),AVERAGE(Assumptions!$D$10,Assumptions!$F$10),(Assumptions!$F$10-Assumptions!$D$10)/3.29)*21</f>
        <v>671765.44530766772</v>
      </c>
      <c r="J109" s="12">
        <f ca="1">NORMINV(RAND(),AVERAGE(Assumptions!$D$11,Assumptions!$F$11),(Assumptions!$F$11-Assumptions!$D$11)/3.29)*44</f>
        <v>2502809.3292775</v>
      </c>
      <c r="K109" s="15">
        <f ca="1">_xlfn.NORM.INV(RAND(),AVERAGE(Assumptions!$D$12,Assumptions!$F$12),(Assumptions!$F$12-Assumptions!$D$12)/3.29)*44</f>
        <v>6660795.9744476639</v>
      </c>
      <c r="L109" s="3">
        <f ca="1">_xlfn.NORM.INV(RAND(),AVERAGE(Assumptions!$D$13,Assumptions!$F$13),(Assumptions!$F$13-Assumptions!$D$13)/3.29)*44</f>
        <v>17525064.747215737</v>
      </c>
      <c r="M109" s="6">
        <f ca="1">_xlfn.NORM.INV(RAND(),AVERAGE(Assumptions!$D$14,Assumptions!$F$14),(Assumptions!$F$14-Assumptions!$D$14)/3.29)*44</f>
        <v>4533909.5820545452</v>
      </c>
      <c r="N109" s="9">
        <f ca="1">_xlfn.NORM.INV(RAND(),AVERAGE(Assumptions!$D$16,Assumptions!$F$16),(Assumptions!$F$16-Assumptions!$D$16)/3.29)*44</f>
        <v>16741004.947188735</v>
      </c>
      <c r="O109" s="12">
        <f ca="1">_xlfn.NORM.INV(RAND(),AVERAGE(Assumptions!$D$15,Assumptions!$F$15),(Assumptions!$F$15-Assumptions!$D$15)/3.29)*44</f>
        <v>114784186.45982635</v>
      </c>
      <c r="P109" s="15">
        <f>Assumptions!$D$18</f>
        <v>14641750.345627395</v>
      </c>
      <c r="Q109" s="3">
        <f t="shared" ca="1" si="2"/>
        <v>51584123.812814519</v>
      </c>
      <c r="R109" s="6">
        <f t="shared" ca="1" si="3"/>
        <v>66225874.158441916</v>
      </c>
    </row>
    <row r="110" spans="1:18">
      <c r="A110" s="20">
        <v>109</v>
      </c>
      <c r="B110" s="3">
        <f ca="1">_xlfn.NORM.INV(RAND(),AVERAGE(Assumptions!$D$4,Assumptions!$F$4),(Assumptions!$F$4-Assumptions!$D$4)/3.29)*44</f>
        <v>1272966.3594524506</v>
      </c>
      <c r="C110" s="6">
        <f ca="1">_xlfn.NORM.INV(RAND(),AVERAGE(Assumptions!$D$5,Assumptions!$F$5),(Assumptions!$F$5-Assumptions!$D$5)/3.29)*44</f>
        <v>1911212.7232335592</v>
      </c>
      <c r="D110" s="9">
        <f ca="1">_xlfn.NORM.INV(RAND(),AVERAGE(Assumptions!$D$6,Assumptions!$F$6),(Assumptions!$F$6-Assumptions!$D$6)/3.29)*RANDBETWEEN(2,5)</f>
        <v>2420751.7396793314</v>
      </c>
      <c r="E110" s="12">
        <f ca="1">_xlfn.NORM.INV(RAND(),AVERAGE(Assumptions!$D$17,Assumptions!$F$17),(Assumptions!$F$17-Assumptions!$D$17)/3.29)*8</f>
        <v>919123.55710184155</v>
      </c>
      <c r="F110" s="15">
        <f ca="1">_xlfn.NORM.INV(RAND(),AVERAGE(Assumptions!$D$7,Assumptions!$F$7),(Assumptions!$F$7-Assumptions!$D$7)/3.29)*RANDBETWEEN(1,3)</f>
        <v>6921131.0417896258</v>
      </c>
      <c r="G110" s="3">
        <f ca="1">_xlfn.NORM.INV(RAND(),AVERAGE(Assumptions!$D$8,Assumptions!$F$8),(Assumptions!$F$8-Assumptions!$D$8)/3.29)*44</f>
        <v>1215163.3597907012</v>
      </c>
      <c r="H110" s="6">
        <f ca="1">_xlfn.NORM.INV(RAND(),AVERAGE(Assumptions!$D$9,Assumptions!$F$9),(Assumptions!$F$9-Assumptions!$D$9)/3.29)*21</f>
        <v>3360345.5511641689</v>
      </c>
      <c r="I110" s="9">
        <f ca="1">_xlfn.NORM.INV(RAND(),AVERAGE(Assumptions!$D$10,Assumptions!$F$10),(Assumptions!$F$10-Assumptions!$D$10)/3.29)*21</f>
        <v>708036.55224553705</v>
      </c>
      <c r="J110" s="12">
        <f ca="1">NORMINV(RAND(),AVERAGE(Assumptions!$D$11,Assumptions!$F$11),(Assumptions!$F$11-Assumptions!$D$11)/3.29)*44</f>
        <v>3669410.0732218698</v>
      </c>
      <c r="K110" s="15">
        <f ca="1">_xlfn.NORM.INV(RAND(),AVERAGE(Assumptions!$D$12,Assumptions!$F$12),(Assumptions!$F$12-Assumptions!$D$12)/3.29)*44</f>
        <v>11256509.834134895</v>
      </c>
      <c r="L110" s="3">
        <f ca="1">_xlfn.NORM.INV(RAND(),AVERAGE(Assumptions!$D$13,Assumptions!$F$13),(Assumptions!$F$13-Assumptions!$D$13)/3.29)*44</f>
        <v>22906813.759532627</v>
      </c>
      <c r="M110" s="6">
        <f ca="1">_xlfn.NORM.INV(RAND(),AVERAGE(Assumptions!$D$14,Assumptions!$F$14),(Assumptions!$F$14-Assumptions!$D$14)/3.29)*44</f>
        <v>3818228.1471475223</v>
      </c>
      <c r="N110" s="9">
        <f ca="1">_xlfn.NORM.INV(RAND(),AVERAGE(Assumptions!$D$16,Assumptions!$F$16),(Assumptions!$F$16-Assumptions!$D$16)/3.29)*44</f>
        <v>6874918.7625753805</v>
      </c>
      <c r="O110" s="12">
        <f ca="1">_xlfn.NORM.INV(RAND(),AVERAGE(Assumptions!$D$15,Assumptions!$F$15),(Assumptions!$F$15-Assumptions!$D$15)/3.29)*44</f>
        <v>46199117.383561149</v>
      </c>
      <c r="P110" s="15">
        <f>Assumptions!$D$18</f>
        <v>14641750.345627395</v>
      </c>
      <c r="Q110" s="3">
        <f t="shared" ca="1" si="2"/>
        <v>-21055494.07750836</v>
      </c>
      <c r="R110" s="6">
        <f t="shared" ca="1" si="3"/>
        <v>-6413743.7318809647</v>
      </c>
    </row>
    <row r="111" spans="1:18">
      <c r="A111" s="20">
        <v>110</v>
      </c>
      <c r="B111" s="3">
        <f ca="1">_xlfn.NORM.INV(RAND(),AVERAGE(Assumptions!$D$4,Assumptions!$F$4),(Assumptions!$F$4-Assumptions!$D$4)/3.29)*44</f>
        <v>1233437.8541757271</v>
      </c>
      <c r="C111" s="6">
        <f ca="1">_xlfn.NORM.INV(RAND(),AVERAGE(Assumptions!$D$5,Assumptions!$F$5),(Assumptions!$F$5-Assumptions!$D$5)/3.29)*44</f>
        <v>1781113.1239785743</v>
      </c>
      <c r="D111" s="9">
        <f ca="1">_xlfn.NORM.INV(RAND(),AVERAGE(Assumptions!$D$6,Assumptions!$F$6),(Assumptions!$F$6-Assumptions!$D$6)/3.29)*RANDBETWEEN(2,5)</f>
        <v>1574126.4067456604</v>
      </c>
      <c r="E111" s="12">
        <f ca="1">_xlfn.NORM.INV(RAND(),AVERAGE(Assumptions!$D$17,Assumptions!$F$17),(Assumptions!$F$17-Assumptions!$D$17)/3.29)*8</f>
        <v>954399.65734226815</v>
      </c>
      <c r="F111" s="15">
        <f ca="1">_xlfn.NORM.INV(RAND(),AVERAGE(Assumptions!$D$7,Assumptions!$F$7),(Assumptions!$F$7-Assumptions!$D$7)/3.29)*RANDBETWEEN(1,3)</f>
        <v>9257444.9969226718</v>
      </c>
      <c r="G111" s="3">
        <f ca="1">_xlfn.NORM.INV(RAND(),AVERAGE(Assumptions!$D$8,Assumptions!$F$8),(Assumptions!$F$8-Assumptions!$D$8)/3.29)*44</f>
        <v>1133979.5266758241</v>
      </c>
      <c r="H111" s="6">
        <f ca="1">_xlfn.NORM.INV(RAND(),AVERAGE(Assumptions!$D$9,Assumptions!$F$9),(Assumptions!$F$9-Assumptions!$D$9)/3.29)*21</f>
        <v>3777007.2951852987</v>
      </c>
      <c r="I111" s="9">
        <f ca="1">_xlfn.NORM.INV(RAND(),AVERAGE(Assumptions!$D$10,Assumptions!$F$10),(Assumptions!$F$10-Assumptions!$D$10)/3.29)*21</f>
        <v>902959.38931567536</v>
      </c>
      <c r="J111" s="12">
        <f ca="1">NORMINV(RAND(),AVERAGE(Assumptions!$D$11,Assumptions!$F$11),(Assumptions!$F$11-Assumptions!$D$11)/3.29)*44</f>
        <v>5869418.3784995656</v>
      </c>
      <c r="K111" s="15">
        <f ca="1">_xlfn.NORM.INV(RAND(),AVERAGE(Assumptions!$D$12,Assumptions!$F$12),(Assumptions!$F$12-Assumptions!$D$12)/3.29)*44</f>
        <v>10331845.51896039</v>
      </c>
      <c r="L111" s="3">
        <f ca="1">_xlfn.NORM.INV(RAND(),AVERAGE(Assumptions!$D$13,Assumptions!$F$13),(Assumptions!$F$13-Assumptions!$D$13)/3.29)*44</f>
        <v>9950979.4348604362</v>
      </c>
      <c r="M111" s="6">
        <f ca="1">_xlfn.NORM.INV(RAND(),AVERAGE(Assumptions!$D$14,Assumptions!$F$14),(Assumptions!$F$14-Assumptions!$D$14)/3.29)*44</f>
        <v>6006166.0850251969</v>
      </c>
      <c r="N111" s="9">
        <f ca="1">_xlfn.NORM.INV(RAND(),AVERAGE(Assumptions!$D$16,Assumptions!$F$16),(Assumptions!$F$16-Assumptions!$D$16)/3.29)*44</f>
        <v>12136196.305557266</v>
      </c>
      <c r="O111" s="12">
        <f ca="1">_xlfn.NORM.INV(RAND(),AVERAGE(Assumptions!$D$15,Assumptions!$F$15),(Assumptions!$F$15-Assumptions!$D$15)/3.29)*44</f>
        <v>100083994.91324711</v>
      </c>
      <c r="P111" s="15">
        <f>Assumptions!$D$18</f>
        <v>14641750.345627395</v>
      </c>
      <c r="Q111" s="3">
        <f t="shared" ca="1" si="2"/>
        <v>35174920.940002553</v>
      </c>
      <c r="R111" s="6">
        <f t="shared" ca="1" si="3"/>
        <v>49816671.28562995</v>
      </c>
    </row>
    <row r="112" spans="1:18">
      <c r="A112" s="20">
        <v>111</v>
      </c>
      <c r="B112" s="3">
        <f ca="1">_xlfn.NORM.INV(RAND(),AVERAGE(Assumptions!$D$4,Assumptions!$F$4),(Assumptions!$F$4-Assumptions!$D$4)/3.29)*44</f>
        <v>1135353.8217532467</v>
      </c>
      <c r="C112" s="6">
        <f ca="1">_xlfn.NORM.INV(RAND(),AVERAGE(Assumptions!$D$5,Assumptions!$F$5),(Assumptions!$F$5-Assumptions!$D$5)/3.29)*44</f>
        <v>1715601.332285624</v>
      </c>
      <c r="D112" s="9">
        <f ca="1">_xlfn.NORM.INV(RAND(),AVERAGE(Assumptions!$D$6,Assumptions!$F$6),(Assumptions!$F$6-Assumptions!$D$6)/3.29)*RANDBETWEEN(2,5)</f>
        <v>3318801.7868758296</v>
      </c>
      <c r="E112" s="12">
        <f ca="1">_xlfn.NORM.INV(RAND(),AVERAGE(Assumptions!$D$17,Assumptions!$F$17),(Assumptions!$F$17-Assumptions!$D$17)/3.29)*8</f>
        <v>931824.46435380168</v>
      </c>
      <c r="F112" s="15">
        <f ca="1">_xlfn.NORM.INV(RAND(),AVERAGE(Assumptions!$D$7,Assumptions!$F$7),(Assumptions!$F$7-Assumptions!$D$7)/3.29)*RANDBETWEEN(1,3)</f>
        <v>5708208.5918090157</v>
      </c>
      <c r="G112" s="3">
        <f ca="1">_xlfn.NORM.INV(RAND(),AVERAGE(Assumptions!$D$8,Assumptions!$F$8),(Assumptions!$F$8-Assumptions!$D$8)/3.29)*44</f>
        <v>914647.99287582212</v>
      </c>
      <c r="H112" s="6">
        <f ca="1">_xlfn.NORM.INV(RAND(),AVERAGE(Assumptions!$D$9,Assumptions!$F$9),(Assumptions!$F$9-Assumptions!$D$9)/3.29)*21</f>
        <v>3631716.0095408154</v>
      </c>
      <c r="I112" s="9">
        <f ca="1">_xlfn.NORM.INV(RAND(),AVERAGE(Assumptions!$D$10,Assumptions!$F$10),(Assumptions!$F$10-Assumptions!$D$10)/3.29)*21</f>
        <v>650058.86942684196</v>
      </c>
      <c r="J112" s="12">
        <f ca="1">NORMINV(RAND(),AVERAGE(Assumptions!$D$11,Assumptions!$F$11),(Assumptions!$F$11-Assumptions!$D$11)/3.29)*44</f>
        <v>3815622.6005726862</v>
      </c>
      <c r="K112" s="15">
        <f ca="1">_xlfn.NORM.INV(RAND(),AVERAGE(Assumptions!$D$12,Assumptions!$F$12),(Assumptions!$F$12-Assumptions!$D$12)/3.29)*44</f>
        <v>9659066.2852510475</v>
      </c>
      <c r="L112" s="3">
        <f ca="1">_xlfn.NORM.INV(RAND(),AVERAGE(Assumptions!$D$13,Assumptions!$F$13),(Assumptions!$F$13-Assumptions!$D$13)/3.29)*44</f>
        <v>10085677.961669847</v>
      </c>
      <c r="M112" s="6">
        <f ca="1">_xlfn.NORM.INV(RAND(),AVERAGE(Assumptions!$D$14,Assumptions!$F$14),(Assumptions!$F$14-Assumptions!$D$14)/3.29)*44</f>
        <v>7561594.6714272099</v>
      </c>
      <c r="N112" s="9">
        <f ca="1">_xlfn.NORM.INV(RAND(),AVERAGE(Assumptions!$D$16,Assumptions!$F$16),(Assumptions!$F$16-Assumptions!$D$16)/3.29)*44</f>
        <v>10538186.938594405</v>
      </c>
      <c r="O112" s="12">
        <f ca="1">_xlfn.NORM.INV(RAND(),AVERAGE(Assumptions!$D$15,Assumptions!$F$15),(Assumptions!$F$15-Assumptions!$D$15)/3.29)*44</f>
        <v>77228584.098997146</v>
      </c>
      <c r="P112" s="15">
        <f>Assumptions!$D$18</f>
        <v>14641750.345627395</v>
      </c>
      <c r="Q112" s="3">
        <f t="shared" ca="1" si="2"/>
        <v>17562222.772560954</v>
      </c>
      <c r="R112" s="6">
        <f t="shared" ca="1" si="3"/>
        <v>32203973.118188351</v>
      </c>
    </row>
    <row r="113" spans="1:18">
      <c r="A113" s="20">
        <v>112</v>
      </c>
      <c r="B113" s="3">
        <f ca="1">_xlfn.NORM.INV(RAND(),AVERAGE(Assumptions!$D$4,Assumptions!$F$4),(Assumptions!$F$4-Assumptions!$D$4)/3.29)*44</f>
        <v>1120206.2232999273</v>
      </c>
      <c r="C113" s="6">
        <f ca="1">_xlfn.NORM.INV(RAND(),AVERAGE(Assumptions!$D$5,Assumptions!$F$5),(Assumptions!$F$5-Assumptions!$D$5)/3.29)*44</f>
        <v>1831160.6435967064</v>
      </c>
      <c r="D113" s="9">
        <f ca="1">_xlfn.NORM.INV(RAND(),AVERAGE(Assumptions!$D$6,Assumptions!$F$6),(Assumptions!$F$6-Assumptions!$D$6)/3.29)*RANDBETWEEN(2,5)</f>
        <v>1679102.0268545579</v>
      </c>
      <c r="E113" s="12">
        <f ca="1">_xlfn.NORM.INV(RAND(),AVERAGE(Assumptions!$D$17,Assumptions!$F$17),(Assumptions!$F$17-Assumptions!$D$17)/3.29)*8</f>
        <v>867013.81404490955</v>
      </c>
      <c r="F113" s="15">
        <f ca="1">_xlfn.NORM.INV(RAND(),AVERAGE(Assumptions!$D$7,Assumptions!$F$7),(Assumptions!$F$7-Assumptions!$D$7)/3.29)*RANDBETWEEN(1,3)</f>
        <v>3836146.9196154764</v>
      </c>
      <c r="G113" s="3">
        <f ca="1">_xlfn.NORM.INV(RAND(),AVERAGE(Assumptions!$D$8,Assumptions!$F$8),(Assumptions!$F$8-Assumptions!$D$8)/3.29)*44</f>
        <v>1065114.6384180163</v>
      </c>
      <c r="H113" s="6">
        <f ca="1">_xlfn.NORM.INV(RAND(),AVERAGE(Assumptions!$D$9,Assumptions!$F$9),(Assumptions!$F$9-Assumptions!$D$9)/3.29)*21</f>
        <v>5038956.1657395642</v>
      </c>
      <c r="I113" s="9">
        <f ca="1">_xlfn.NORM.INV(RAND(),AVERAGE(Assumptions!$D$10,Assumptions!$F$10),(Assumptions!$F$10-Assumptions!$D$10)/3.29)*21</f>
        <v>1148548.6801405814</v>
      </c>
      <c r="J113" s="12">
        <f ca="1">NORMINV(RAND(),AVERAGE(Assumptions!$D$11,Assumptions!$F$11),(Assumptions!$F$11-Assumptions!$D$11)/3.29)*44</f>
        <v>2604302.1666457229</v>
      </c>
      <c r="K113" s="15">
        <f ca="1">_xlfn.NORM.INV(RAND(),AVERAGE(Assumptions!$D$12,Assumptions!$F$12),(Assumptions!$F$12-Assumptions!$D$12)/3.29)*44</f>
        <v>10606730.053718073</v>
      </c>
      <c r="L113" s="3">
        <f ca="1">_xlfn.NORM.INV(RAND(),AVERAGE(Assumptions!$D$13,Assumptions!$F$13),(Assumptions!$F$13-Assumptions!$D$13)/3.29)*44</f>
        <v>21296938.765904371</v>
      </c>
      <c r="M113" s="6">
        <f ca="1">_xlfn.NORM.INV(RAND(),AVERAGE(Assumptions!$D$14,Assumptions!$F$14),(Assumptions!$F$14-Assumptions!$D$14)/3.29)*44</f>
        <v>6296070.8445256064</v>
      </c>
      <c r="N113" s="9">
        <f ca="1">_xlfn.NORM.INV(RAND(),AVERAGE(Assumptions!$D$16,Assumptions!$F$16),(Assumptions!$F$16-Assumptions!$D$16)/3.29)*44</f>
        <v>12098208.45259163</v>
      </c>
      <c r="O113" s="12">
        <f ca="1">_xlfn.NORM.INV(RAND(),AVERAGE(Assumptions!$D$15,Assumptions!$F$15),(Assumptions!$F$15-Assumptions!$D$15)/3.29)*44</f>
        <v>86886426.599012718</v>
      </c>
      <c r="P113" s="15">
        <f>Assumptions!$D$18</f>
        <v>14641750.345627395</v>
      </c>
      <c r="Q113" s="3">
        <f t="shared" ca="1" si="2"/>
        <v>17397927.203917578</v>
      </c>
      <c r="R113" s="6">
        <f t="shared" ca="1" si="3"/>
        <v>32039677.549544975</v>
      </c>
    </row>
    <row r="114" spans="1:18">
      <c r="A114" s="20">
        <v>113</v>
      </c>
      <c r="B114" s="3">
        <f ca="1">_xlfn.NORM.INV(RAND(),AVERAGE(Assumptions!$D$4,Assumptions!$F$4),(Assumptions!$F$4-Assumptions!$D$4)/3.29)*44</f>
        <v>1297979.9970151915</v>
      </c>
      <c r="C114" s="6">
        <f ca="1">_xlfn.NORM.INV(RAND(),AVERAGE(Assumptions!$D$5,Assumptions!$F$5),(Assumptions!$F$5-Assumptions!$D$5)/3.29)*44</f>
        <v>1541505.4133690393</v>
      </c>
      <c r="D114" s="9">
        <f ca="1">_xlfn.NORM.INV(RAND(),AVERAGE(Assumptions!$D$6,Assumptions!$F$6),(Assumptions!$F$6-Assumptions!$D$6)/3.29)*RANDBETWEEN(2,5)</f>
        <v>5230109.095164597</v>
      </c>
      <c r="E114" s="12">
        <f ca="1">_xlfn.NORM.INV(RAND(),AVERAGE(Assumptions!$D$17,Assumptions!$F$17),(Assumptions!$F$17-Assumptions!$D$17)/3.29)*8</f>
        <v>1114410.3045388197</v>
      </c>
      <c r="F114" s="15">
        <f ca="1">_xlfn.NORM.INV(RAND(),AVERAGE(Assumptions!$D$7,Assumptions!$F$7),(Assumptions!$F$7-Assumptions!$D$7)/3.29)*RANDBETWEEN(1,3)</f>
        <v>3843128.5467087207</v>
      </c>
      <c r="G114" s="3">
        <f ca="1">_xlfn.NORM.INV(RAND(),AVERAGE(Assumptions!$D$8,Assumptions!$F$8),(Assumptions!$F$8-Assumptions!$D$8)/3.29)*44</f>
        <v>1298189.5030366965</v>
      </c>
      <c r="H114" s="6">
        <f ca="1">_xlfn.NORM.INV(RAND(),AVERAGE(Assumptions!$D$9,Assumptions!$F$9),(Assumptions!$F$9-Assumptions!$D$9)/3.29)*21</f>
        <v>7624859.1554781916</v>
      </c>
      <c r="I114" s="9">
        <f ca="1">_xlfn.NORM.INV(RAND(),AVERAGE(Assumptions!$D$10,Assumptions!$F$10),(Assumptions!$F$10-Assumptions!$D$10)/3.29)*21</f>
        <v>1074272.0281766362</v>
      </c>
      <c r="J114" s="12">
        <f ca="1">NORMINV(RAND(),AVERAGE(Assumptions!$D$11,Assumptions!$F$11),(Assumptions!$F$11-Assumptions!$D$11)/3.29)*44</f>
        <v>4084148.2726597339</v>
      </c>
      <c r="K114" s="15">
        <f ca="1">_xlfn.NORM.INV(RAND(),AVERAGE(Assumptions!$D$12,Assumptions!$F$12),(Assumptions!$F$12-Assumptions!$D$12)/3.29)*44</f>
        <v>8630006.6473380607</v>
      </c>
      <c r="L114" s="3">
        <f ca="1">_xlfn.NORM.INV(RAND(),AVERAGE(Assumptions!$D$13,Assumptions!$F$13),(Assumptions!$F$13-Assumptions!$D$13)/3.29)*44</f>
        <v>7965488.3152170032</v>
      </c>
      <c r="M114" s="6">
        <f ca="1">_xlfn.NORM.INV(RAND(),AVERAGE(Assumptions!$D$14,Assumptions!$F$14),(Assumptions!$F$14-Assumptions!$D$14)/3.29)*44</f>
        <v>8198481.8457973022</v>
      </c>
      <c r="N114" s="9">
        <f ca="1">_xlfn.NORM.INV(RAND(),AVERAGE(Assumptions!$D$16,Assumptions!$F$16),(Assumptions!$F$16-Assumptions!$D$16)/3.29)*44</f>
        <v>6654313.2539470652</v>
      </c>
      <c r="O114" s="12">
        <f ca="1">_xlfn.NORM.INV(RAND(),AVERAGE(Assumptions!$D$15,Assumptions!$F$15),(Assumptions!$F$15-Assumptions!$D$15)/3.29)*44</f>
        <v>134888510.68769431</v>
      </c>
      <c r="P114" s="15">
        <f>Assumptions!$D$18</f>
        <v>14641750.345627395</v>
      </c>
      <c r="Q114" s="3">
        <f t="shared" ca="1" si="2"/>
        <v>76331618.309247255</v>
      </c>
      <c r="R114" s="6">
        <f t="shared" ca="1" si="3"/>
        <v>90973368.654874653</v>
      </c>
    </row>
    <row r="115" spans="1:18">
      <c r="A115" s="20">
        <v>114</v>
      </c>
      <c r="B115" s="3">
        <f ca="1">_xlfn.NORM.INV(RAND(),AVERAGE(Assumptions!$D$4,Assumptions!$F$4),(Assumptions!$F$4-Assumptions!$D$4)/3.29)*44</f>
        <v>1269224.3738090759</v>
      </c>
      <c r="C115" s="6">
        <f ca="1">_xlfn.NORM.INV(RAND(),AVERAGE(Assumptions!$D$5,Assumptions!$F$5),(Assumptions!$F$5-Assumptions!$D$5)/3.29)*44</f>
        <v>1812174.2129542327</v>
      </c>
      <c r="D115" s="9">
        <f ca="1">_xlfn.NORM.INV(RAND(),AVERAGE(Assumptions!$D$6,Assumptions!$F$6),(Assumptions!$F$6-Assumptions!$D$6)/3.29)*RANDBETWEEN(2,5)</f>
        <v>4739987.5932677817</v>
      </c>
      <c r="E115" s="12">
        <f ca="1">_xlfn.NORM.INV(RAND(),AVERAGE(Assumptions!$D$17,Assumptions!$F$17),(Assumptions!$F$17-Assumptions!$D$17)/3.29)*8</f>
        <v>983482.47882690944</v>
      </c>
      <c r="F115" s="15">
        <f ca="1">_xlfn.NORM.INV(RAND(),AVERAGE(Assumptions!$D$7,Assumptions!$F$7),(Assumptions!$F$7-Assumptions!$D$7)/3.29)*RANDBETWEEN(1,3)</f>
        <v>2420392.0443167323</v>
      </c>
      <c r="G115" s="3">
        <f ca="1">_xlfn.NORM.INV(RAND(),AVERAGE(Assumptions!$D$8,Assumptions!$F$8),(Assumptions!$F$8-Assumptions!$D$8)/3.29)*44</f>
        <v>1361711.1307072127</v>
      </c>
      <c r="H115" s="6">
        <f ca="1">_xlfn.NORM.INV(RAND(),AVERAGE(Assumptions!$D$9,Assumptions!$F$9),(Assumptions!$F$9-Assumptions!$D$9)/3.29)*21</f>
        <v>4038984.9240972111</v>
      </c>
      <c r="I115" s="9">
        <f ca="1">_xlfn.NORM.INV(RAND(),AVERAGE(Assumptions!$D$10,Assumptions!$F$10),(Assumptions!$F$10-Assumptions!$D$10)/3.29)*21</f>
        <v>950074.29475647118</v>
      </c>
      <c r="J115" s="12">
        <f ca="1">NORMINV(RAND(),AVERAGE(Assumptions!$D$11,Assumptions!$F$11),(Assumptions!$F$11-Assumptions!$D$11)/3.29)*44</f>
        <v>3990438.1237021727</v>
      </c>
      <c r="K115" s="15">
        <f ca="1">_xlfn.NORM.INV(RAND(),AVERAGE(Assumptions!$D$12,Assumptions!$F$12),(Assumptions!$F$12-Assumptions!$D$12)/3.29)*44</f>
        <v>8715138.2719488554</v>
      </c>
      <c r="L115" s="3">
        <f ca="1">_xlfn.NORM.INV(RAND(),AVERAGE(Assumptions!$D$13,Assumptions!$F$13),(Assumptions!$F$13-Assumptions!$D$13)/3.29)*44</f>
        <v>21272649.314464446</v>
      </c>
      <c r="M115" s="6">
        <f ca="1">_xlfn.NORM.INV(RAND(),AVERAGE(Assumptions!$D$14,Assumptions!$F$14),(Assumptions!$F$14-Assumptions!$D$14)/3.29)*44</f>
        <v>5440147.2208016813</v>
      </c>
      <c r="N115" s="9">
        <f ca="1">_xlfn.NORM.INV(RAND(),AVERAGE(Assumptions!$D$16,Assumptions!$F$16),(Assumptions!$F$16-Assumptions!$D$16)/3.29)*44</f>
        <v>7130958.7370444387</v>
      </c>
      <c r="O115" s="12">
        <f ca="1">_xlfn.NORM.INV(RAND(),AVERAGE(Assumptions!$D$15,Assumptions!$F$15),(Assumptions!$F$15-Assumptions!$D$15)/3.29)*44</f>
        <v>25110721.736523628</v>
      </c>
      <c r="P115" s="15">
        <f>Assumptions!$D$18</f>
        <v>14641750.345627395</v>
      </c>
      <c r="Q115" s="3">
        <f t="shared" ca="1" si="2"/>
        <v>-39014640.984173596</v>
      </c>
      <c r="R115" s="6">
        <f t="shared" ca="1" si="3"/>
        <v>-24372890.638546199</v>
      </c>
    </row>
    <row r="116" spans="1:18">
      <c r="A116" s="20">
        <v>115</v>
      </c>
      <c r="B116" s="3">
        <f ca="1">_xlfn.NORM.INV(RAND(),AVERAGE(Assumptions!$D$4,Assumptions!$F$4),(Assumptions!$F$4-Assumptions!$D$4)/3.29)*44</f>
        <v>1209966.5207435971</v>
      </c>
      <c r="C116" s="6">
        <f ca="1">_xlfn.NORM.INV(RAND(),AVERAGE(Assumptions!$D$5,Assumptions!$F$5),(Assumptions!$F$5-Assumptions!$D$5)/3.29)*44</f>
        <v>1678143.1111231002</v>
      </c>
      <c r="D116" s="9">
        <f ca="1">_xlfn.NORM.INV(RAND(),AVERAGE(Assumptions!$D$6,Assumptions!$F$6),(Assumptions!$F$6-Assumptions!$D$6)/3.29)*RANDBETWEEN(2,5)</f>
        <v>10166619.826069651</v>
      </c>
      <c r="E116" s="12">
        <f ca="1">_xlfn.NORM.INV(RAND(),AVERAGE(Assumptions!$D$17,Assumptions!$F$17),(Assumptions!$F$17-Assumptions!$D$17)/3.29)*8</f>
        <v>880385.36776562431</v>
      </c>
      <c r="F116" s="15">
        <f ca="1">_xlfn.NORM.INV(RAND(),AVERAGE(Assumptions!$D$7,Assumptions!$F$7),(Assumptions!$F$7-Assumptions!$D$7)/3.29)*RANDBETWEEN(1,3)</f>
        <v>4091797.9870795337</v>
      </c>
      <c r="G116" s="3">
        <f ca="1">_xlfn.NORM.INV(RAND(),AVERAGE(Assumptions!$D$8,Assumptions!$F$8),(Assumptions!$F$8-Assumptions!$D$8)/3.29)*44</f>
        <v>1545652.1271118629</v>
      </c>
      <c r="H116" s="6">
        <f ca="1">_xlfn.NORM.INV(RAND(),AVERAGE(Assumptions!$D$9,Assumptions!$F$9),(Assumptions!$F$9-Assumptions!$D$9)/3.29)*21</f>
        <v>4549258.8845964046</v>
      </c>
      <c r="I116" s="9">
        <f ca="1">_xlfn.NORM.INV(RAND(),AVERAGE(Assumptions!$D$10,Assumptions!$F$10),(Assumptions!$F$10-Assumptions!$D$10)/3.29)*21</f>
        <v>1014051.5580400627</v>
      </c>
      <c r="J116" s="12">
        <f ca="1">NORMINV(RAND(),AVERAGE(Assumptions!$D$11,Assumptions!$F$11),(Assumptions!$F$11-Assumptions!$D$11)/3.29)*44</f>
        <v>3171772.2587630078</v>
      </c>
      <c r="K116" s="15">
        <f ca="1">_xlfn.NORM.INV(RAND(),AVERAGE(Assumptions!$D$12,Assumptions!$F$12),(Assumptions!$F$12-Assumptions!$D$12)/3.29)*44</f>
        <v>6764313.807951685</v>
      </c>
      <c r="L116" s="3">
        <f ca="1">_xlfn.NORM.INV(RAND(),AVERAGE(Assumptions!$D$13,Assumptions!$F$13),(Assumptions!$F$13-Assumptions!$D$13)/3.29)*44</f>
        <v>12482231.507663682</v>
      </c>
      <c r="M116" s="6">
        <f ca="1">_xlfn.NORM.INV(RAND(),AVERAGE(Assumptions!$D$14,Assumptions!$F$14),(Assumptions!$F$14-Assumptions!$D$14)/3.29)*44</f>
        <v>5865279.3557975879</v>
      </c>
      <c r="N116" s="9">
        <f ca="1">_xlfn.NORM.INV(RAND(),AVERAGE(Assumptions!$D$16,Assumptions!$F$16),(Assumptions!$F$16-Assumptions!$D$16)/3.29)*44</f>
        <v>11729567.983023344</v>
      </c>
      <c r="O116" s="12">
        <f ca="1">_xlfn.NORM.INV(RAND(),AVERAGE(Assumptions!$D$15,Assumptions!$F$15),(Assumptions!$F$15-Assumptions!$D$15)/3.29)*44</f>
        <v>212387251.45942429</v>
      </c>
      <c r="P116" s="15">
        <f>Assumptions!$D$18</f>
        <v>14641750.345627395</v>
      </c>
      <c r="Q116" s="3">
        <f t="shared" ca="1" si="2"/>
        <v>147238211.16369513</v>
      </c>
      <c r="R116" s="6">
        <f t="shared" ca="1" si="3"/>
        <v>161879961.50932252</v>
      </c>
    </row>
    <row r="117" spans="1:18">
      <c r="A117" s="20">
        <v>116</v>
      </c>
      <c r="B117" s="3">
        <f ca="1">_xlfn.NORM.INV(RAND(),AVERAGE(Assumptions!$D$4,Assumptions!$F$4),(Assumptions!$F$4-Assumptions!$D$4)/3.29)*44</f>
        <v>1158200.4414970553</v>
      </c>
      <c r="C117" s="6">
        <f ca="1">_xlfn.NORM.INV(RAND(),AVERAGE(Assumptions!$D$5,Assumptions!$F$5),(Assumptions!$F$5-Assumptions!$D$5)/3.29)*44</f>
        <v>1898496.0108483669</v>
      </c>
      <c r="D117" s="9">
        <f ca="1">_xlfn.NORM.INV(RAND(),AVERAGE(Assumptions!$D$6,Assumptions!$F$6),(Assumptions!$F$6-Assumptions!$D$6)/3.29)*RANDBETWEEN(2,5)</f>
        <v>3361626.299127589</v>
      </c>
      <c r="E117" s="12">
        <f ca="1">_xlfn.NORM.INV(RAND(),AVERAGE(Assumptions!$D$17,Assumptions!$F$17),(Assumptions!$F$17-Assumptions!$D$17)/3.29)*8</f>
        <v>1101180.1512640156</v>
      </c>
      <c r="F117" s="15">
        <f ca="1">_xlfn.NORM.INV(RAND(),AVERAGE(Assumptions!$D$7,Assumptions!$F$7),(Assumptions!$F$7-Assumptions!$D$7)/3.29)*RANDBETWEEN(1,3)</f>
        <v>6711933.954881628</v>
      </c>
      <c r="G117" s="3">
        <f ca="1">_xlfn.NORM.INV(RAND(),AVERAGE(Assumptions!$D$8,Assumptions!$F$8),(Assumptions!$F$8-Assumptions!$D$8)/3.29)*44</f>
        <v>1482022.1518395282</v>
      </c>
      <c r="H117" s="6">
        <f ca="1">_xlfn.NORM.INV(RAND(),AVERAGE(Assumptions!$D$9,Assumptions!$F$9),(Assumptions!$F$9-Assumptions!$D$9)/3.29)*21</f>
        <v>2473730.46902218</v>
      </c>
      <c r="I117" s="9">
        <f ca="1">_xlfn.NORM.INV(RAND(),AVERAGE(Assumptions!$D$10,Assumptions!$F$10),(Assumptions!$F$10-Assumptions!$D$10)/3.29)*21</f>
        <v>832168.7751201652</v>
      </c>
      <c r="J117" s="12">
        <f ca="1">NORMINV(RAND(),AVERAGE(Assumptions!$D$11,Assumptions!$F$11),(Assumptions!$F$11-Assumptions!$D$11)/3.29)*44</f>
        <v>3863785.3463149536</v>
      </c>
      <c r="K117" s="15">
        <f ca="1">_xlfn.NORM.INV(RAND(),AVERAGE(Assumptions!$D$12,Assumptions!$F$12),(Assumptions!$F$12-Assumptions!$D$12)/3.29)*44</f>
        <v>9215102.0243279152</v>
      </c>
      <c r="L117" s="3">
        <f ca="1">_xlfn.NORM.INV(RAND(),AVERAGE(Assumptions!$D$13,Assumptions!$F$13),(Assumptions!$F$13-Assumptions!$D$13)/3.29)*44</f>
        <v>22641077.364020098</v>
      </c>
      <c r="M117" s="6">
        <f ca="1">_xlfn.NORM.INV(RAND(),AVERAGE(Assumptions!$D$14,Assumptions!$F$14),(Assumptions!$F$14-Assumptions!$D$14)/3.29)*44</f>
        <v>6318798.1067728475</v>
      </c>
      <c r="N117" s="9">
        <f ca="1">_xlfn.NORM.INV(RAND(),AVERAGE(Assumptions!$D$16,Assumptions!$F$16),(Assumptions!$F$16-Assumptions!$D$16)/3.29)*44</f>
        <v>7747990.9258146454</v>
      </c>
      <c r="O117" s="12">
        <f ca="1">_xlfn.NORM.INV(RAND(),AVERAGE(Assumptions!$D$15,Assumptions!$F$15),(Assumptions!$F$15-Assumptions!$D$15)/3.29)*44</f>
        <v>95994994.240943372</v>
      </c>
      <c r="P117" s="15">
        <f>Assumptions!$D$18</f>
        <v>14641750.345627395</v>
      </c>
      <c r="Q117" s="3">
        <f t="shared" ca="1" si="2"/>
        <v>27188882.220092386</v>
      </c>
      <c r="R117" s="6">
        <f t="shared" ca="1" si="3"/>
        <v>41830632.565719783</v>
      </c>
    </row>
    <row r="118" spans="1:18">
      <c r="A118" s="20">
        <v>117</v>
      </c>
      <c r="B118" s="3">
        <f ca="1">_xlfn.NORM.INV(RAND(),AVERAGE(Assumptions!$D$4,Assumptions!$F$4),(Assumptions!$F$4-Assumptions!$D$4)/3.29)*44</f>
        <v>1159472.9000287512</v>
      </c>
      <c r="C118" s="6">
        <f ca="1">_xlfn.NORM.INV(RAND(),AVERAGE(Assumptions!$D$5,Assumptions!$F$5),(Assumptions!$F$5-Assumptions!$D$5)/3.29)*44</f>
        <v>1939065.0718950171</v>
      </c>
      <c r="D118" s="9">
        <f ca="1">_xlfn.NORM.INV(RAND(),AVERAGE(Assumptions!$D$6,Assumptions!$F$6),(Assumptions!$F$6-Assumptions!$D$6)/3.29)*RANDBETWEEN(2,5)</f>
        <v>4190465.9585331134</v>
      </c>
      <c r="E118" s="12">
        <f ca="1">_xlfn.NORM.INV(RAND(),AVERAGE(Assumptions!$D$17,Assumptions!$F$17),(Assumptions!$F$17-Assumptions!$D$17)/3.29)*8</f>
        <v>957625.81143998168</v>
      </c>
      <c r="F118" s="15">
        <f ca="1">_xlfn.NORM.INV(RAND(),AVERAGE(Assumptions!$D$7,Assumptions!$F$7),(Assumptions!$F$7-Assumptions!$D$7)/3.29)*RANDBETWEEN(1,3)</f>
        <v>10191991.906236229</v>
      </c>
      <c r="G118" s="3">
        <f ca="1">_xlfn.NORM.INV(RAND(),AVERAGE(Assumptions!$D$8,Assumptions!$F$8),(Assumptions!$F$8-Assumptions!$D$8)/3.29)*44</f>
        <v>1277962.8430764601</v>
      </c>
      <c r="H118" s="6">
        <f ca="1">_xlfn.NORM.INV(RAND(),AVERAGE(Assumptions!$D$9,Assumptions!$F$9),(Assumptions!$F$9-Assumptions!$D$9)/3.29)*21</f>
        <v>5355464.0835535517</v>
      </c>
      <c r="I118" s="9">
        <f ca="1">_xlfn.NORM.INV(RAND(),AVERAGE(Assumptions!$D$10,Assumptions!$F$10),(Assumptions!$F$10-Assumptions!$D$10)/3.29)*21</f>
        <v>981165.34834018233</v>
      </c>
      <c r="J118" s="12">
        <f ca="1">NORMINV(RAND(),AVERAGE(Assumptions!$D$11,Assumptions!$F$11),(Assumptions!$F$11-Assumptions!$D$11)/3.29)*44</f>
        <v>2830985.1800829</v>
      </c>
      <c r="K118" s="15">
        <f ca="1">_xlfn.NORM.INV(RAND(),AVERAGE(Assumptions!$D$12,Assumptions!$F$12),(Assumptions!$F$12-Assumptions!$D$12)/3.29)*44</f>
        <v>7260153.8546063714</v>
      </c>
      <c r="L118" s="3">
        <f ca="1">_xlfn.NORM.INV(RAND(),AVERAGE(Assumptions!$D$13,Assumptions!$F$13),(Assumptions!$F$13-Assumptions!$D$13)/3.29)*44</f>
        <v>15218724.673297584</v>
      </c>
      <c r="M118" s="6">
        <f ca="1">_xlfn.NORM.INV(RAND(),AVERAGE(Assumptions!$D$14,Assumptions!$F$14),(Assumptions!$F$14-Assumptions!$D$14)/3.29)*44</f>
        <v>5214714.8889859002</v>
      </c>
      <c r="N118" s="9">
        <f ca="1">_xlfn.NORM.INV(RAND(),AVERAGE(Assumptions!$D$16,Assumptions!$F$16),(Assumptions!$F$16-Assumptions!$D$16)/3.29)*44</f>
        <v>8219290.239328254</v>
      </c>
      <c r="O118" s="12">
        <f ca="1">_xlfn.NORM.INV(RAND(),AVERAGE(Assumptions!$D$15,Assumptions!$F$15),(Assumptions!$F$15-Assumptions!$D$15)/3.29)*44</f>
        <v>55376913.478608474</v>
      </c>
      <c r="P118" s="15">
        <f>Assumptions!$D$18</f>
        <v>14641750.345627395</v>
      </c>
      <c r="Q118" s="3">
        <f t="shared" ca="1" si="2"/>
        <v>-9420169.2807958201</v>
      </c>
      <c r="R118" s="6">
        <f t="shared" ca="1" si="3"/>
        <v>5221581.0648315754</v>
      </c>
    </row>
    <row r="119" spans="1:18">
      <c r="A119" s="20">
        <v>118</v>
      </c>
      <c r="B119" s="3">
        <f ca="1">_xlfn.NORM.INV(RAND(),AVERAGE(Assumptions!$D$4,Assumptions!$F$4),(Assumptions!$F$4-Assumptions!$D$4)/3.29)*44</f>
        <v>1375391.3739292594</v>
      </c>
      <c r="C119" s="6">
        <f ca="1">_xlfn.NORM.INV(RAND(),AVERAGE(Assumptions!$D$5,Assumptions!$F$5),(Assumptions!$F$5-Assumptions!$D$5)/3.29)*44</f>
        <v>1622375.0589147895</v>
      </c>
      <c r="D119" s="9">
        <f ca="1">_xlfn.NORM.INV(RAND(),AVERAGE(Assumptions!$D$6,Assumptions!$F$6),(Assumptions!$F$6-Assumptions!$D$6)/3.29)*RANDBETWEEN(2,5)</f>
        <v>5777770.0769506413</v>
      </c>
      <c r="E119" s="12">
        <f ca="1">_xlfn.NORM.INV(RAND(),AVERAGE(Assumptions!$D$17,Assumptions!$F$17),(Assumptions!$F$17-Assumptions!$D$17)/3.29)*8</f>
        <v>998472.97661726805</v>
      </c>
      <c r="F119" s="15">
        <f ca="1">_xlfn.NORM.INV(RAND(),AVERAGE(Assumptions!$D$7,Assumptions!$F$7),(Assumptions!$F$7-Assumptions!$D$7)/3.29)*RANDBETWEEN(1,3)</f>
        <v>3419119.6196153495</v>
      </c>
      <c r="G119" s="3">
        <f ca="1">_xlfn.NORM.INV(RAND(),AVERAGE(Assumptions!$D$8,Assumptions!$F$8),(Assumptions!$F$8-Assumptions!$D$8)/3.29)*44</f>
        <v>1123642.5815215937</v>
      </c>
      <c r="H119" s="6">
        <f ca="1">_xlfn.NORM.INV(RAND(),AVERAGE(Assumptions!$D$9,Assumptions!$F$9),(Assumptions!$F$9-Assumptions!$D$9)/3.29)*21</f>
        <v>4795186.0963567896</v>
      </c>
      <c r="I119" s="9">
        <f ca="1">_xlfn.NORM.INV(RAND(),AVERAGE(Assumptions!$D$10,Assumptions!$F$10),(Assumptions!$F$10-Assumptions!$D$10)/3.29)*21</f>
        <v>777885.46565462288</v>
      </c>
      <c r="J119" s="12">
        <f ca="1">NORMINV(RAND(),AVERAGE(Assumptions!$D$11,Assumptions!$F$11),(Assumptions!$F$11-Assumptions!$D$11)/3.29)*44</f>
        <v>3540690.1213349183</v>
      </c>
      <c r="K119" s="15">
        <f ca="1">_xlfn.NORM.INV(RAND(),AVERAGE(Assumptions!$D$12,Assumptions!$F$12),(Assumptions!$F$12-Assumptions!$D$12)/3.29)*44</f>
        <v>5812163.0474424995</v>
      </c>
      <c r="L119" s="3">
        <f ca="1">_xlfn.NORM.INV(RAND(),AVERAGE(Assumptions!$D$13,Assumptions!$F$13),(Assumptions!$F$13-Assumptions!$D$13)/3.29)*44</f>
        <v>15018156.521209</v>
      </c>
      <c r="M119" s="6">
        <f ca="1">_xlfn.NORM.INV(RAND(),AVERAGE(Assumptions!$D$14,Assumptions!$F$14),(Assumptions!$F$14-Assumptions!$D$14)/3.29)*44</f>
        <v>8861469.9575672634</v>
      </c>
      <c r="N119" s="9">
        <f ca="1">_xlfn.NORM.INV(RAND(),AVERAGE(Assumptions!$D$16,Assumptions!$F$16),(Assumptions!$F$16-Assumptions!$D$16)/3.29)*44</f>
        <v>9502631.8828467708</v>
      </c>
      <c r="O119" s="12">
        <f ca="1">_xlfn.NORM.INV(RAND(),AVERAGE(Assumptions!$D$15,Assumptions!$F$15),(Assumptions!$F$15-Assumptions!$D$15)/3.29)*44</f>
        <v>44813127.504220441</v>
      </c>
      <c r="P119" s="15">
        <f>Assumptions!$D$18</f>
        <v>14641750.345627395</v>
      </c>
      <c r="Q119" s="3">
        <f t="shared" ca="1" si="2"/>
        <v>-17811827.275740333</v>
      </c>
      <c r="R119" s="6">
        <f t="shared" ca="1" si="3"/>
        <v>-3170076.9301129375</v>
      </c>
    </row>
    <row r="120" spans="1:18">
      <c r="A120" s="20">
        <v>119</v>
      </c>
      <c r="B120" s="3">
        <f ca="1">_xlfn.NORM.INV(RAND(),AVERAGE(Assumptions!$D$4,Assumptions!$F$4),(Assumptions!$F$4-Assumptions!$D$4)/3.29)*44</f>
        <v>1356831.6964816283</v>
      </c>
      <c r="C120" s="6">
        <f ca="1">_xlfn.NORM.INV(RAND(),AVERAGE(Assumptions!$D$5,Assumptions!$F$5),(Assumptions!$F$5-Assumptions!$D$5)/3.29)*44</f>
        <v>1835235.3039076929</v>
      </c>
      <c r="D120" s="9">
        <f ca="1">_xlfn.NORM.INV(RAND(),AVERAGE(Assumptions!$D$6,Assumptions!$F$6),(Assumptions!$F$6-Assumptions!$D$6)/3.29)*RANDBETWEEN(2,5)</f>
        <v>6633188.2710723523</v>
      </c>
      <c r="E120" s="12">
        <f ca="1">_xlfn.NORM.INV(RAND(),AVERAGE(Assumptions!$D$17,Assumptions!$F$17),(Assumptions!$F$17-Assumptions!$D$17)/3.29)*8</f>
        <v>918495.19337460736</v>
      </c>
      <c r="F120" s="15">
        <f ca="1">_xlfn.NORM.INV(RAND(),AVERAGE(Assumptions!$D$7,Assumptions!$F$7),(Assumptions!$F$7-Assumptions!$D$7)/3.29)*RANDBETWEEN(1,3)</f>
        <v>5105519.7385709621</v>
      </c>
      <c r="G120" s="3">
        <f ca="1">_xlfn.NORM.INV(RAND(),AVERAGE(Assumptions!$D$8,Assumptions!$F$8),(Assumptions!$F$8-Assumptions!$D$8)/3.29)*44</f>
        <v>1116591.4425823593</v>
      </c>
      <c r="H120" s="6">
        <f ca="1">_xlfn.NORM.INV(RAND(),AVERAGE(Assumptions!$D$9,Assumptions!$F$9),(Assumptions!$F$9-Assumptions!$D$9)/3.29)*21</f>
        <v>4198432.448170797</v>
      </c>
      <c r="I120" s="9">
        <f ca="1">_xlfn.NORM.INV(RAND(),AVERAGE(Assumptions!$D$10,Assumptions!$F$10),(Assumptions!$F$10-Assumptions!$D$10)/3.29)*21</f>
        <v>786244.99665612588</v>
      </c>
      <c r="J120" s="12">
        <f ca="1">NORMINV(RAND(),AVERAGE(Assumptions!$D$11,Assumptions!$F$11),(Assumptions!$F$11-Assumptions!$D$11)/3.29)*44</f>
        <v>2652628.4535491667</v>
      </c>
      <c r="K120" s="15">
        <f ca="1">_xlfn.NORM.INV(RAND(),AVERAGE(Assumptions!$D$12,Assumptions!$F$12),(Assumptions!$F$12-Assumptions!$D$12)/3.29)*44</f>
        <v>9203917.6325883791</v>
      </c>
      <c r="L120" s="3">
        <f ca="1">_xlfn.NORM.INV(RAND(),AVERAGE(Assumptions!$D$13,Assumptions!$F$13),(Assumptions!$F$13-Assumptions!$D$13)/3.29)*44</f>
        <v>18973441.226436492</v>
      </c>
      <c r="M120" s="6">
        <f ca="1">_xlfn.NORM.INV(RAND(),AVERAGE(Assumptions!$D$14,Assumptions!$F$14),(Assumptions!$F$14-Assumptions!$D$14)/3.29)*44</f>
        <v>7300580.8288397705</v>
      </c>
      <c r="N120" s="9">
        <f ca="1">_xlfn.NORM.INV(RAND(),AVERAGE(Assumptions!$D$16,Assumptions!$F$16),(Assumptions!$F$16-Assumptions!$D$16)/3.29)*44</f>
        <v>6374014.5046060923</v>
      </c>
      <c r="O120" s="12">
        <f ca="1">_xlfn.NORM.INV(RAND(),AVERAGE(Assumptions!$D$15,Assumptions!$F$15),(Assumptions!$F$15-Assumptions!$D$15)/3.29)*44</f>
        <v>155938254.03804943</v>
      </c>
      <c r="P120" s="15">
        <f>Assumptions!$D$18</f>
        <v>14641750.345627395</v>
      </c>
      <c r="Q120" s="3">
        <f t="shared" ca="1" si="2"/>
        <v>89483132.301213011</v>
      </c>
      <c r="R120" s="6">
        <f t="shared" ca="1" si="3"/>
        <v>104124882.64684041</v>
      </c>
    </row>
    <row r="121" spans="1:18">
      <c r="A121" s="20">
        <v>120</v>
      </c>
      <c r="B121" s="3">
        <f ca="1">_xlfn.NORM.INV(RAND(),AVERAGE(Assumptions!$D$4,Assumptions!$F$4),(Assumptions!$F$4-Assumptions!$D$4)/3.29)*44</f>
        <v>1212797.8533575148</v>
      </c>
      <c r="C121" s="6">
        <f ca="1">_xlfn.NORM.INV(RAND(),AVERAGE(Assumptions!$D$5,Assumptions!$F$5),(Assumptions!$F$5-Assumptions!$D$5)/3.29)*44</f>
        <v>1950083.7190425964</v>
      </c>
      <c r="D121" s="9">
        <f ca="1">_xlfn.NORM.INV(RAND(),AVERAGE(Assumptions!$D$6,Assumptions!$F$6),(Assumptions!$F$6-Assumptions!$D$6)/3.29)*RANDBETWEEN(2,5)</f>
        <v>6255673.9428242063</v>
      </c>
      <c r="E121" s="12">
        <f ca="1">_xlfn.NORM.INV(RAND(),AVERAGE(Assumptions!$D$17,Assumptions!$F$17),(Assumptions!$F$17-Assumptions!$D$17)/3.29)*8</f>
        <v>991225.35092958761</v>
      </c>
      <c r="F121" s="15">
        <f ca="1">_xlfn.NORM.INV(RAND(),AVERAGE(Assumptions!$D$7,Assumptions!$F$7),(Assumptions!$F$7-Assumptions!$D$7)/3.29)*RANDBETWEEN(1,3)</f>
        <v>5083865.2752990015</v>
      </c>
      <c r="G121" s="3">
        <f ca="1">_xlfn.NORM.INV(RAND(),AVERAGE(Assumptions!$D$8,Assumptions!$F$8),(Assumptions!$F$8-Assumptions!$D$8)/3.29)*44</f>
        <v>1487781.061032777</v>
      </c>
      <c r="H121" s="6">
        <f ca="1">_xlfn.NORM.INV(RAND(),AVERAGE(Assumptions!$D$9,Assumptions!$F$9),(Assumptions!$F$9-Assumptions!$D$9)/3.29)*21</f>
        <v>5694040.4358800789</v>
      </c>
      <c r="I121" s="9">
        <f ca="1">_xlfn.NORM.INV(RAND(),AVERAGE(Assumptions!$D$10,Assumptions!$F$10),(Assumptions!$F$10-Assumptions!$D$10)/3.29)*21</f>
        <v>1369814.2030160781</v>
      </c>
      <c r="J121" s="12">
        <f ca="1">NORMINV(RAND(),AVERAGE(Assumptions!$D$11,Assumptions!$F$11),(Assumptions!$F$11-Assumptions!$D$11)/3.29)*44</f>
        <v>5947648.9501971584</v>
      </c>
      <c r="K121" s="15">
        <f ca="1">_xlfn.NORM.INV(RAND(),AVERAGE(Assumptions!$D$12,Assumptions!$F$12),(Assumptions!$F$12-Assumptions!$D$12)/3.29)*44</f>
        <v>9499444.4079387151</v>
      </c>
      <c r="L121" s="3">
        <f ca="1">_xlfn.NORM.INV(RAND(),AVERAGE(Assumptions!$D$13,Assumptions!$F$13),(Assumptions!$F$13-Assumptions!$D$13)/3.29)*44</f>
        <v>13198336.749956276</v>
      </c>
      <c r="M121" s="6">
        <f ca="1">_xlfn.NORM.INV(RAND(),AVERAGE(Assumptions!$D$14,Assumptions!$F$14),(Assumptions!$F$14-Assumptions!$D$14)/3.29)*44</f>
        <v>3587859.0580981006</v>
      </c>
      <c r="N121" s="9">
        <f ca="1">_xlfn.NORM.INV(RAND(),AVERAGE(Assumptions!$D$16,Assumptions!$F$16),(Assumptions!$F$16-Assumptions!$D$16)/3.29)*44</f>
        <v>14496976.782291982</v>
      </c>
      <c r="O121" s="12">
        <f ca="1">_xlfn.NORM.INV(RAND(),AVERAGE(Assumptions!$D$15,Assumptions!$F$15),(Assumptions!$F$15-Assumptions!$D$15)/3.29)*44</f>
        <v>90173722.897873729</v>
      </c>
      <c r="P121" s="15">
        <f>Assumptions!$D$18</f>
        <v>14641750.345627395</v>
      </c>
      <c r="Q121" s="3">
        <f t="shared" ca="1" si="2"/>
        <v>19398175.108009651</v>
      </c>
      <c r="R121" s="6">
        <f t="shared" ca="1" si="3"/>
        <v>34039925.453637049</v>
      </c>
    </row>
    <row r="122" spans="1:18">
      <c r="A122" s="20">
        <v>121</v>
      </c>
      <c r="B122" s="3">
        <f ca="1">_xlfn.NORM.INV(RAND(),AVERAGE(Assumptions!$D$4,Assumptions!$F$4),(Assumptions!$F$4-Assumptions!$D$4)/3.29)*44</f>
        <v>1151103.8829704337</v>
      </c>
      <c r="C122" s="6">
        <f ca="1">_xlfn.NORM.INV(RAND(),AVERAGE(Assumptions!$D$5,Assumptions!$F$5),(Assumptions!$F$5-Assumptions!$D$5)/3.29)*44</f>
        <v>1806185.0076693729</v>
      </c>
      <c r="D122" s="9">
        <f ca="1">_xlfn.NORM.INV(RAND(),AVERAGE(Assumptions!$D$6,Assumptions!$F$6),(Assumptions!$F$6-Assumptions!$D$6)/3.29)*RANDBETWEEN(2,5)</f>
        <v>5256933.0225050822</v>
      </c>
      <c r="E122" s="12">
        <f ca="1">_xlfn.NORM.INV(RAND(),AVERAGE(Assumptions!$D$17,Assumptions!$F$17),(Assumptions!$F$17-Assumptions!$D$17)/3.29)*8</f>
        <v>1136254.1971366992</v>
      </c>
      <c r="F122" s="15">
        <f ca="1">_xlfn.NORM.INV(RAND(),AVERAGE(Assumptions!$D$7,Assumptions!$F$7),(Assumptions!$F$7-Assumptions!$D$7)/3.29)*RANDBETWEEN(1,3)</f>
        <v>4077819.3280216297</v>
      </c>
      <c r="G122" s="3">
        <f ca="1">_xlfn.NORM.INV(RAND(),AVERAGE(Assumptions!$D$8,Assumptions!$F$8),(Assumptions!$F$8-Assumptions!$D$8)/3.29)*44</f>
        <v>1095150.7337601248</v>
      </c>
      <c r="H122" s="6">
        <f ca="1">_xlfn.NORM.INV(RAND(),AVERAGE(Assumptions!$D$9,Assumptions!$F$9),(Assumptions!$F$9-Assumptions!$D$9)/3.29)*21</f>
        <v>5077064.9658458242</v>
      </c>
      <c r="I122" s="9">
        <f ca="1">_xlfn.NORM.INV(RAND(),AVERAGE(Assumptions!$D$10,Assumptions!$F$10),(Assumptions!$F$10-Assumptions!$D$10)/3.29)*21</f>
        <v>795690.33197599789</v>
      </c>
      <c r="J122" s="12">
        <f ca="1">NORMINV(RAND(),AVERAGE(Assumptions!$D$11,Assumptions!$F$11),(Assumptions!$F$11-Assumptions!$D$11)/3.29)*44</f>
        <v>2329738.8448112365</v>
      </c>
      <c r="K122" s="15">
        <f ca="1">_xlfn.NORM.INV(RAND(),AVERAGE(Assumptions!$D$12,Assumptions!$F$12),(Assumptions!$F$12-Assumptions!$D$12)/3.29)*44</f>
        <v>7160264.5723564727</v>
      </c>
      <c r="L122" s="3">
        <f ca="1">_xlfn.NORM.INV(RAND(),AVERAGE(Assumptions!$D$13,Assumptions!$F$13),(Assumptions!$F$13-Assumptions!$D$13)/3.29)*44</f>
        <v>12315799.49180261</v>
      </c>
      <c r="M122" s="6">
        <f ca="1">_xlfn.NORM.INV(RAND(),AVERAGE(Assumptions!$D$14,Assumptions!$F$14),(Assumptions!$F$14-Assumptions!$D$14)/3.29)*44</f>
        <v>4340510.1264057215</v>
      </c>
      <c r="N122" s="9">
        <f ca="1">_xlfn.NORM.INV(RAND(),AVERAGE(Assumptions!$D$16,Assumptions!$F$16),(Assumptions!$F$16-Assumptions!$D$16)/3.29)*44</f>
        <v>11587458.595665637</v>
      </c>
      <c r="O122" s="12">
        <f ca="1">_xlfn.NORM.INV(RAND(),AVERAGE(Assumptions!$D$15,Assumptions!$F$15),(Assumptions!$F$15-Assumptions!$D$15)/3.29)*44</f>
        <v>165514737.64057937</v>
      </c>
      <c r="P122" s="15">
        <f>Assumptions!$D$18</f>
        <v>14641750.345627395</v>
      </c>
      <c r="Q122" s="3">
        <f t="shared" ca="1" si="2"/>
        <v>107384764.53965253</v>
      </c>
      <c r="R122" s="6">
        <f t="shared" ca="1" si="3"/>
        <v>122026514.88527992</v>
      </c>
    </row>
    <row r="123" spans="1:18">
      <c r="A123" s="20">
        <v>122</v>
      </c>
      <c r="B123" s="3">
        <f ca="1">_xlfn.NORM.INV(RAND(),AVERAGE(Assumptions!$D$4,Assumptions!$F$4),(Assumptions!$F$4-Assumptions!$D$4)/3.29)*44</f>
        <v>1303372.8652015983</v>
      </c>
      <c r="C123" s="6">
        <f ca="1">_xlfn.NORM.INV(RAND(),AVERAGE(Assumptions!$D$5,Assumptions!$F$5),(Assumptions!$F$5-Assumptions!$D$5)/3.29)*44</f>
        <v>1818070.504591044</v>
      </c>
      <c r="D123" s="9">
        <f ca="1">_xlfn.NORM.INV(RAND(),AVERAGE(Assumptions!$D$6,Assumptions!$F$6),(Assumptions!$F$6-Assumptions!$D$6)/3.29)*RANDBETWEEN(2,5)</f>
        <v>1212967.5320921023</v>
      </c>
      <c r="E123" s="12">
        <f ca="1">_xlfn.NORM.INV(RAND(),AVERAGE(Assumptions!$D$17,Assumptions!$F$17),(Assumptions!$F$17-Assumptions!$D$17)/3.29)*8</f>
        <v>899341.80667755695</v>
      </c>
      <c r="F123" s="15">
        <f ca="1">_xlfn.NORM.INV(RAND(),AVERAGE(Assumptions!$D$7,Assumptions!$F$7),(Assumptions!$F$7-Assumptions!$D$7)/3.29)*RANDBETWEEN(1,3)</f>
        <v>7524104.8247116506</v>
      </c>
      <c r="G123" s="3">
        <f ca="1">_xlfn.NORM.INV(RAND(),AVERAGE(Assumptions!$D$8,Assumptions!$F$8),(Assumptions!$F$8-Assumptions!$D$8)/3.29)*44</f>
        <v>510716.89045569568</v>
      </c>
      <c r="H123" s="6">
        <f ca="1">_xlfn.NORM.INV(RAND(),AVERAGE(Assumptions!$D$9,Assumptions!$F$9),(Assumptions!$F$9-Assumptions!$D$9)/3.29)*21</f>
        <v>4610647.0790450014</v>
      </c>
      <c r="I123" s="9">
        <f ca="1">_xlfn.NORM.INV(RAND(),AVERAGE(Assumptions!$D$10,Assumptions!$F$10),(Assumptions!$F$10-Assumptions!$D$10)/3.29)*21</f>
        <v>1153528.0791883841</v>
      </c>
      <c r="J123" s="12">
        <f ca="1">NORMINV(RAND(),AVERAGE(Assumptions!$D$11,Assumptions!$F$11),(Assumptions!$F$11-Assumptions!$D$11)/3.29)*44</f>
        <v>3855563.8722254299</v>
      </c>
      <c r="K123" s="15">
        <f ca="1">_xlfn.NORM.INV(RAND(),AVERAGE(Assumptions!$D$12,Assumptions!$F$12),(Assumptions!$F$12-Assumptions!$D$12)/3.29)*44</f>
        <v>7469272.6719457693</v>
      </c>
      <c r="L123" s="3">
        <f ca="1">_xlfn.NORM.INV(RAND(),AVERAGE(Assumptions!$D$13,Assumptions!$F$13),(Assumptions!$F$13-Assumptions!$D$13)/3.29)*44</f>
        <v>21097054.04789412</v>
      </c>
      <c r="M123" s="6">
        <f ca="1">_xlfn.NORM.INV(RAND(),AVERAGE(Assumptions!$D$14,Assumptions!$F$14),(Assumptions!$F$14-Assumptions!$D$14)/3.29)*44</f>
        <v>4954924.9588527698</v>
      </c>
      <c r="N123" s="9">
        <f ca="1">_xlfn.NORM.INV(RAND(),AVERAGE(Assumptions!$D$16,Assumptions!$F$16),(Assumptions!$F$16-Assumptions!$D$16)/3.29)*44</f>
        <v>8992874.084197253</v>
      </c>
      <c r="O123" s="12">
        <f ca="1">_xlfn.NORM.INV(RAND(),AVERAGE(Assumptions!$D$15,Assumptions!$F$15),(Assumptions!$F$15-Assumptions!$D$15)/3.29)*44</f>
        <v>71650075.862193823</v>
      </c>
      <c r="P123" s="15">
        <f>Assumptions!$D$18</f>
        <v>14641750.345627395</v>
      </c>
      <c r="Q123" s="3">
        <f t="shared" ca="1" si="2"/>
        <v>6247636.64511545</v>
      </c>
      <c r="R123" s="6">
        <f t="shared" ca="1" si="3"/>
        <v>20889386.990742847</v>
      </c>
    </row>
    <row r="124" spans="1:18">
      <c r="A124" s="20">
        <v>123</v>
      </c>
      <c r="B124" s="3">
        <f ca="1">_xlfn.NORM.INV(RAND(),AVERAGE(Assumptions!$D$4,Assumptions!$F$4),(Assumptions!$F$4-Assumptions!$D$4)/3.29)*44</f>
        <v>1131361.5741933698</v>
      </c>
      <c r="C124" s="6">
        <f ca="1">_xlfn.NORM.INV(RAND(),AVERAGE(Assumptions!$D$5,Assumptions!$F$5),(Assumptions!$F$5-Assumptions!$D$5)/3.29)*44</f>
        <v>1600262.5212970516</v>
      </c>
      <c r="D124" s="9">
        <f ca="1">_xlfn.NORM.INV(RAND(),AVERAGE(Assumptions!$D$6,Assumptions!$F$6),(Assumptions!$F$6-Assumptions!$D$6)/3.29)*RANDBETWEEN(2,5)</f>
        <v>4575728.5955216875</v>
      </c>
      <c r="E124" s="12">
        <f ca="1">_xlfn.NORM.INV(RAND(),AVERAGE(Assumptions!$D$17,Assumptions!$F$17),(Assumptions!$F$17-Assumptions!$D$17)/3.29)*8</f>
        <v>801634.62275169417</v>
      </c>
      <c r="F124" s="15">
        <f ca="1">_xlfn.NORM.INV(RAND(),AVERAGE(Assumptions!$D$7,Assumptions!$F$7),(Assumptions!$F$7-Assumptions!$D$7)/3.29)*RANDBETWEEN(1,3)</f>
        <v>10329380.845989032</v>
      </c>
      <c r="G124" s="3">
        <f ca="1">_xlfn.NORM.INV(RAND(),AVERAGE(Assumptions!$D$8,Assumptions!$F$8),(Assumptions!$F$8-Assumptions!$D$8)/3.29)*44</f>
        <v>1401463.2489773131</v>
      </c>
      <c r="H124" s="6">
        <f ca="1">_xlfn.NORM.INV(RAND(),AVERAGE(Assumptions!$D$9,Assumptions!$F$9),(Assumptions!$F$9-Assumptions!$D$9)/3.29)*21</f>
        <v>4580156.4866057755</v>
      </c>
      <c r="I124" s="9">
        <f ca="1">_xlfn.NORM.INV(RAND(),AVERAGE(Assumptions!$D$10,Assumptions!$F$10),(Assumptions!$F$10-Assumptions!$D$10)/3.29)*21</f>
        <v>772951.71048518445</v>
      </c>
      <c r="J124" s="12">
        <f ca="1">NORMINV(RAND(),AVERAGE(Assumptions!$D$11,Assumptions!$F$11),(Assumptions!$F$11-Assumptions!$D$11)/3.29)*44</f>
        <v>2436046.2823621724</v>
      </c>
      <c r="K124" s="15">
        <f ca="1">_xlfn.NORM.INV(RAND(),AVERAGE(Assumptions!$D$12,Assumptions!$F$12),(Assumptions!$F$12-Assumptions!$D$12)/3.29)*44</f>
        <v>6979447.945856601</v>
      </c>
      <c r="L124" s="3">
        <f ca="1">_xlfn.NORM.INV(RAND(),AVERAGE(Assumptions!$D$13,Assumptions!$F$13),(Assumptions!$F$13-Assumptions!$D$13)/3.29)*44</f>
        <v>16401794.028582115</v>
      </c>
      <c r="M124" s="6">
        <f ca="1">_xlfn.NORM.INV(RAND(),AVERAGE(Assumptions!$D$14,Assumptions!$F$14),(Assumptions!$F$14-Assumptions!$D$14)/3.29)*44</f>
        <v>5909267.161073287</v>
      </c>
      <c r="N124" s="9">
        <f ca="1">_xlfn.NORM.INV(RAND(),AVERAGE(Assumptions!$D$16,Assumptions!$F$16),(Assumptions!$F$16-Assumptions!$D$16)/3.29)*44</f>
        <v>7314344.1246149074</v>
      </c>
      <c r="O124" s="12">
        <f ca="1">_xlfn.NORM.INV(RAND(),AVERAGE(Assumptions!$D$15,Assumptions!$F$15),(Assumptions!$F$15-Assumptions!$D$15)/3.29)*44</f>
        <v>122340866.9289818</v>
      </c>
      <c r="P124" s="15">
        <f>Assumptions!$D$18</f>
        <v>14641750.345627395</v>
      </c>
      <c r="Q124" s="3">
        <f t="shared" ca="1" si="2"/>
        <v>58107027.780671611</v>
      </c>
      <c r="R124" s="6">
        <f t="shared" ca="1" si="3"/>
        <v>72748778.126299009</v>
      </c>
    </row>
    <row r="125" spans="1:18">
      <c r="A125" s="20">
        <v>124</v>
      </c>
      <c r="B125" s="3">
        <f ca="1">_xlfn.NORM.INV(RAND(),AVERAGE(Assumptions!$D$4,Assumptions!$F$4),(Assumptions!$F$4-Assumptions!$D$4)/3.29)*44</f>
        <v>1155483.4768134747</v>
      </c>
      <c r="C125" s="6">
        <f ca="1">_xlfn.NORM.INV(RAND(),AVERAGE(Assumptions!$D$5,Assumptions!$F$5),(Assumptions!$F$5-Assumptions!$D$5)/3.29)*44</f>
        <v>1645606.2426323586</v>
      </c>
      <c r="D125" s="9">
        <f ca="1">_xlfn.NORM.INV(RAND(),AVERAGE(Assumptions!$D$6,Assumptions!$F$6),(Assumptions!$F$6-Assumptions!$D$6)/3.29)*RANDBETWEEN(2,5)</f>
        <v>3476396.4175870996</v>
      </c>
      <c r="E125" s="12">
        <f ca="1">_xlfn.NORM.INV(RAND(),AVERAGE(Assumptions!$D$17,Assumptions!$F$17),(Assumptions!$F$17-Assumptions!$D$17)/3.29)*8</f>
        <v>897213.70172436186</v>
      </c>
      <c r="F125" s="15">
        <f ca="1">_xlfn.NORM.INV(RAND(),AVERAGE(Assumptions!$D$7,Assumptions!$F$7),(Assumptions!$F$7-Assumptions!$D$7)/3.29)*RANDBETWEEN(1,3)</f>
        <v>4163311.4415746825</v>
      </c>
      <c r="G125" s="3">
        <f ca="1">_xlfn.NORM.INV(RAND(),AVERAGE(Assumptions!$D$8,Assumptions!$F$8),(Assumptions!$F$8-Assumptions!$D$8)/3.29)*44</f>
        <v>1379827.4483302818</v>
      </c>
      <c r="H125" s="6">
        <f ca="1">_xlfn.NORM.INV(RAND(),AVERAGE(Assumptions!$D$9,Assumptions!$F$9),(Assumptions!$F$9-Assumptions!$D$9)/3.29)*21</f>
        <v>5169593.0987354368</v>
      </c>
      <c r="I125" s="9">
        <f ca="1">_xlfn.NORM.INV(RAND(),AVERAGE(Assumptions!$D$10,Assumptions!$F$10),(Assumptions!$F$10-Assumptions!$D$10)/3.29)*21</f>
        <v>110400.63682716414</v>
      </c>
      <c r="J125" s="12">
        <f ca="1">NORMINV(RAND(),AVERAGE(Assumptions!$D$11,Assumptions!$F$11),(Assumptions!$F$11-Assumptions!$D$11)/3.29)*44</f>
        <v>3388743.9964748272</v>
      </c>
      <c r="K125" s="15">
        <f ca="1">_xlfn.NORM.INV(RAND(),AVERAGE(Assumptions!$D$12,Assumptions!$F$12),(Assumptions!$F$12-Assumptions!$D$12)/3.29)*44</f>
        <v>9346662.4764552191</v>
      </c>
      <c r="L125" s="3">
        <f ca="1">_xlfn.NORM.INV(RAND(),AVERAGE(Assumptions!$D$13,Assumptions!$F$13),(Assumptions!$F$13-Assumptions!$D$13)/3.29)*44</f>
        <v>8980250.7526898291</v>
      </c>
      <c r="M125" s="6">
        <f ca="1">_xlfn.NORM.INV(RAND(),AVERAGE(Assumptions!$D$14,Assumptions!$F$14),(Assumptions!$F$14-Assumptions!$D$14)/3.29)*44</f>
        <v>6693660.7460470144</v>
      </c>
      <c r="N125" s="9">
        <f ca="1">_xlfn.NORM.INV(RAND(),AVERAGE(Assumptions!$D$16,Assumptions!$F$16),(Assumptions!$F$16-Assumptions!$D$16)/3.29)*44</f>
        <v>13145046.031561889</v>
      </c>
      <c r="O125" s="12">
        <f ca="1">_xlfn.NORM.INV(RAND(),AVERAGE(Assumptions!$D$15,Assumptions!$F$15),(Assumptions!$F$15-Assumptions!$D$15)/3.29)*44</f>
        <v>99233129.985335141</v>
      </c>
      <c r="P125" s="15">
        <f>Assumptions!$D$18</f>
        <v>14641750.345627395</v>
      </c>
      <c r="Q125" s="3">
        <f t="shared" ca="1" si="2"/>
        <v>39680933.517881505</v>
      </c>
      <c r="R125" s="6">
        <f t="shared" ca="1" si="3"/>
        <v>54322683.863508902</v>
      </c>
    </row>
    <row r="126" spans="1:18">
      <c r="A126" s="20">
        <v>125</v>
      </c>
      <c r="B126" s="3">
        <f ca="1">_xlfn.NORM.INV(RAND(),AVERAGE(Assumptions!$D$4,Assumptions!$F$4),(Assumptions!$F$4-Assumptions!$D$4)/3.29)*44</f>
        <v>1208475.7347035052</v>
      </c>
      <c r="C126" s="6">
        <f ca="1">_xlfn.NORM.INV(RAND(),AVERAGE(Assumptions!$D$5,Assumptions!$F$5),(Assumptions!$F$5-Assumptions!$D$5)/3.29)*44</f>
        <v>1740203.2459026645</v>
      </c>
      <c r="D126" s="9">
        <f ca="1">_xlfn.NORM.INV(RAND(),AVERAGE(Assumptions!$D$6,Assumptions!$F$6),(Assumptions!$F$6-Assumptions!$D$6)/3.29)*RANDBETWEEN(2,5)</f>
        <v>2125556.0413011229</v>
      </c>
      <c r="E126" s="12">
        <f ca="1">_xlfn.NORM.INV(RAND(),AVERAGE(Assumptions!$D$17,Assumptions!$F$17),(Assumptions!$F$17-Assumptions!$D$17)/3.29)*8</f>
        <v>886114.38100935356</v>
      </c>
      <c r="F126" s="15">
        <f ca="1">_xlfn.NORM.INV(RAND(),AVERAGE(Assumptions!$D$7,Assumptions!$F$7),(Assumptions!$F$7-Assumptions!$D$7)/3.29)*RANDBETWEEN(1,3)</f>
        <v>3350849.4040549393</v>
      </c>
      <c r="G126" s="3">
        <f ca="1">_xlfn.NORM.INV(RAND(),AVERAGE(Assumptions!$D$8,Assumptions!$F$8),(Assumptions!$F$8-Assumptions!$D$8)/3.29)*44</f>
        <v>1144030.5131177367</v>
      </c>
      <c r="H126" s="6">
        <f ca="1">_xlfn.NORM.INV(RAND(),AVERAGE(Assumptions!$D$9,Assumptions!$F$9),(Assumptions!$F$9-Assumptions!$D$9)/3.29)*21</f>
        <v>4126812.2375520612</v>
      </c>
      <c r="I126" s="9">
        <f ca="1">_xlfn.NORM.INV(RAND(),AVERAGE(Assumptions!$D$10,Assumptions!$F$10),(Assumptions!$F$10-Assumptions!$D$10)/3.29)*21</f>
        <v>923425.40550184576</v>
      </c>
      <c r="J126" s="12">
        <f ca="1">NORMINV(RAND(),AVERAGE(Assumptions!$D$11,Assumptions!$F$11),(Assumptions!$F$11-Assumptions!$D$11)/3.29)*44</f>
        <v>3631854.8960653492</v>
      </c>
      <c r="K126" s="15">
        <f ca="1">_xlfn.NORM.INV(RAND(),AVERAGE(Assumptions!$D$12,Assumptions!$F$12),(Assumptions!$F$12-Assumptions!$D$12)/3.29)*44</f>
        <v>9903745.6500568837</v>
      </c>
      <c r="L126" s="3">
        <f ca="1">_xlfn.NORM.INV(RAND(),AVERAGE(Assumptions!$D$13,Assumptions!$F$13),(Assumptions!$F$13-Assumptions!$D$13)/3.29)*44</f>
        <v>12567756.018111967</v>
      </c>
      <c r="M126" s="6">
        <f ca="1">_xlfn.NORM.INV(RAND(),AVERAGE(Assumptions!$D$14,Assumptions!$F$14),(Assumptions!$F$14-Assumptions!$D$14)/3.29)*44</f>
        <v>5835093.9390238635</v>
      </c>
      <c r="N126" s="9">
        <f ca="1">_xlfn.NORM.INV(RAND(),AVERAGE(Assumptions!$D$16,Assumptions!$F$16),(Assumptions!$F$16-Assumptions!$D$16)/3.29)*44</f>
        <v>6509922.3572838232</v>
      </c>
      <c r="O126" s="12">
        <f ca="1">_xlfn.NORM.INV(RAND(),AVERAGE(Assumptions!$D$15,Assumptions!$F$15),(Assumptions!$F$15-Assumptions!$D$15)/3.29)*44</f>
        <v>90932477.765977979</v>
      </c>
      <c r="P126" s="15">
        <f>Assumptions!$D$18</f>
        <v>14641750.345627395</v>
      </c>
      <c r="Q126" s="3">
        <f t="shared" ca="1" si="2"/>
        <v>36978637.942292862</v>
      </c>
      <c r="R126" s="6">
        <f t="shared" ca="1" si="3"/>
        <v>51620388.287920259</v>
      </c>
    </row>
    <row r="127" spans="1:18">
      <c r="A127" s="20">
        <v>126</v>
      </c>
      <c r="B127" s="3">
        <f ca="1">_xlfn.NORM.INV(RAND(),AVERAGE(Assumptions!$D$4,Assumptions!$F$4),(Assumptions!$F$4-Assumptions!$D$4)/3.29)*44</f>
        <v>1317348.9903786741</v>
      </c>
      <c r="C127" s="6">
        <f ca="1">_xlfn.NORM.INV(RAND(),AVERAGE(Assumptions!$D$5,Assumptions!$F$5),(Assumptions!$F$5-Assumptions!$D$5)/3.29)*44</f>
        <v>1690245.6634968291</v>
      </c>
      <c r="D127" s="9">
        <f ca="1">_xlfn.NORM.INV(RAND(),AVERAGE(Assumptions!$D$6,Assumptions!$F$6),(Assumptions!$F$6-Assumptions!$D$6)/3.29)*RANDBETWEEN(2,5)</f>
        <v>3451041.5042094523</v>
      </c>
      <c r="E127" s="12">
        <f ca="1">_xlfn.NORM.INV(RAND(),AVERAGE(Assumptions!$D$17,Assumptions!$F$17),(Assumptions!$F$17-Assumptions!$D$17)/3.29)*8</f>
        <v>983146.49136943743</v>
      </c>
      <c r="F127" s="15">
        <f ca="1">_xlfn.NORM.INV(RAND(),AVERAGE(Assumptions!$D$7,Assumptions!$F$7),(Assumptions!$F$7-Assumptions!$D$7)/3.29)*RANDBETWEEN(1,3)</f>
        <v>2987231.6938055055</v>
      </c>
      <c r="G127" s="3">
        <f ca="1">_xlfn.NORM.INV(RAND(),AVERAGE(Assumptions!$D$8,Assumptions!$F$8),(Assumptions!$F$8-Assumptions!$D$8)/3.29)*44</f>
        <v>1450993.3926940674</v>
      </c>
      <c r="H127" s="6">
        <f ca="1">_xlfn.NORM.INV(RAND(),AVERAGE(Assumptions!$D$9,Assumptions!$F$9),(Assumptions!$F$9-Assumptions!$D$9)/3.29)*21</f>
        <v>3404020.7171521285</v>
      </c>
      <c r="I127" s="9">
        <f ca="1">_xlfn.NORM.INV(RAND(),AVERAGE(Assumptions!$D$10,Assumptions!$F$10),(Assumptions!$F$10-Assumptions!$D$10)/3.29)*21</f>
        <v>914090.93837409932</v>
      </c>
      <c r="J127" s="12">
        <f ca="1">NORMINV(RAND(),AVERAGE(Assumptions!$D$11,Assumptions!$F$11),(Assumptions!$F$11-Assumptions!$D$11)/3.29)*44</f>
        <v>3881606.4089314919</v>
      </c>
      <c r="K127" s="15">
        <f ca="1">_xlfn.NORM.INV(RAND(),AVERAGE(Assumptions!$D$12,Assumptions!$F$12),(Assumptions!$F$12-Assumptions!$D$12)/3.29)*44</f>
        <v>9419046.8659647182</v>
      </c>
      <c r="L127" s="3">
        <f ca="1">_xlfn.NORM.INV(RAND(),AVERAGE(Assumptions!$D$13,Assumptions!$F$13),(Assumptions!$F$13-Assumptions!$D$13)/3.29)*44</f>
        <v>15094160.549800549</v>
      </c>
      <c r="M127" s="6">
        <f ca="1">_xlfn.NORM.INV(RAND(),AVERAGE(Assumptions!$D$14,Assumptions!$F$14),(Assumptions!$F$14-Assumptions!$D$14)/3.29)*44</f>
        <v>6267066.061677346</v>
      </c>
      <c r="N127" s="9">
        <f ca="1">_xlfn.NORM.INV(RAND(),AVERAGE(Assumptions!$D$16,Assumptions!$F$16),(Assumptions!$F$16-Assumptions!$D$16)/3.29)*44</f>
        <v>8235039.543868959</v>
      </c>
      <c r="O127" s="12">
        <f ca="1">_xlfn.NORM.INV(RAND(),AVERAGE(Assumptions!$D$15,Assumptions!$F$15),(Assumptions!$F$15-Assumptions!$D$15)/3.29)*44</f>
        <v>97593824.957020402</v>
      </c>
      <c r="P127" s="15">
        <f>Assumptions!$D$18</f>
        <v>14641750.345627395</v>
      </c>
      <c r="Q127" s="3">
        <f t="shared" ca="1" si="2"/>
        <v>38498786.135297149</v>
      </c>
      <c r="R127" s="6">
        <f t="shared" ca="1" si="3"/>
        <v>53140536.480924547</v>
      </c>
    </row>
    <row r="128" spans="1:18">
      <c r="A128" s="20">
        <v>127</v>
      </c>
      <c r="B128" s="3">
        <f ca="1">_xlfn.NORM.INV(RAND(),AVERAGE(Assumptions!$D$4,Assumptions!$F$4),(Assumptions!$F$4-Assumptions!$D$4)/3.29)*44</f>
        <v>1128309.6270352404</v>
      </c>
      <c r="C128" s="6">
        <f ca="1">_xlfn.NORM.INV(RAND(),AVERAGE(Assumptions!$D$5,Assumptions!$F$5),(Assumptions!$F$5-Assumptions!$D$5)/3.29)*44</f>
        <v>2178156.7531189462</v>
      </c>
      <c r="D128" s="9">
        <f ca="1">_xlfn.NORM.INV(RAND(),AVERAGE(Assumptions!$D$6,Assumptions!$F$6),(Assumptions!$F$6-Assumptions!$D$6)/3.29)*RANDBETWEEN(2,5)</f>
        <v>6592367.6620372711</v>
      </c>
      <c r="E128" s="12">
        <f ca="1">_xlfn.NORM.INV(RAND(),AVERAGE(Assumptions!$D$17,Assumptions!$F$17),(Assumptions!$F$17-Assumptions!$D$17)/3.29)*8</f>
        <v>747324.76816476719</v>
      </c>
      <c r="F128" s="15">
        <f ca="1">_xlfn.NORM.INV(RAND(),AVERAGE(Assumptions!$D$7,Assumptions!$F$7),(Assumptions!$F$7-Assumptions!$D$7)/3.29)*RANDBETWEEN(1,3)</f>
        <v>6617370.7020589411</v>
      </c>
      <c r="G128" s="3">
        <f ca="1">_xlfn.NORM.INV(RAND(),AVERAGE(Assumptions!$D$8,Assumptions!$F$8),(Assumptions!$F$8-Assumptions!$D$8)/3.29)*44</f>
        <v>700601.48826029419</v>
      </c>
      <c r="H128" s="6">
        <f ca="1">_xlfn.NORM.INV(RAND(),AVERAGE(Assumptions!$D$9,Assumptions!$F$9),(Assumptions!$F$9-Assumptions!$D$9)/3.29)*21</f>
        <v>4499609.2685177289</v>
      </c>
      <c r="I128" s="9">
        <f ca="1">_xlfn.NORM.INV(RAND(),AVERAGE(Assumptions!$D$10,Assumptions!$F$10),(Assumptions!$F$10-Assumptions!$D$10)/3.29)*21</f>
        <v>1139935.7554191865</v>
      </c>
      <c r="J128" s="12">
        <f ca="1">NORMINV(RAND(),AVERAGE(Assumptions!$D$11,Assumptions!$F$11),(Assumptions!$F$11-Assumptions!$D$11)/3.29)*44</f>
        <v>4618869.9786940571</v>
      </c>
      <c r="K128" s="15">
        <f ca="1">_xlfn.NORM.INV(RAND(),AVERAGE(Assumptions!$D$12,Assumptions!$F$12),(Assumptions!$F$12-Assumptions!$D$12)/3.29)*44</f>
        <v>5171671.6348896809</v>
      </c>
      <c r="L128" s="3">
        <f ca="1">_xlfn.NORM.INV(RAND(),AVERAGE(Assumptions!$D$13,Assumptions!$F$13),(Assumptions!$F$13-Assumptions!$D$13)/3.29)*44</f>
        <v>12166188.595149538</v>
      </c>
      <c r="M128" s="6">
        <f ca="1">_xlfn.NORM.INV(RAND(),AVERAGE(Assumptions!$D$14,Assumptions!$F$14),(Assumptions!$F$14-Assumptions!$D$14)/3.29)*44</f>
        <v>5195140.2919856887</v>
      </c>
      <c r="N128" s="9">
        <f ca="1">_xlfn.NORM.INV(RAND(),AVERAGE(Assumptions!$D$16,Assumptions!$F$16),(Assumptions!$F$16-Assumptions!$D$16)/3.29)*44</f>
        <v>1209239.2896360015</v>
      </c>
      <c r="O128" s="12">
        <f ca="1">_xlfn.NORM.INV(RAND(),AVERAGE(Assumptions!$D$15,Assumptions!$F$15),(Assumptions!$F$15-Assumptions!$D$15)/3.29)*44</f>
        <v>94114224.947723284</v>
      </c>
      <c r="P128" s="15">
        <f>Assumptions!$D$18</f>
        <v>14641750.345627395</v>
      </c>
      <c r="Q128" s="3">
        <f t="shared" ca="1" si="2"/>
        <v>42149439.132755943</v>
      </c>
      <c r="R128" s="6">
        <f t="shared" ca="1" si="3"/>
        <v>56791189.47838334</v>
      </c>
    </row>
    <row r="129" spans="1:18">
      <c r="A129" s="20">
        <v>128</v>
      </c>
      <c r="B129" s="3">
        <f ca="1">_xlfn.NORM.INV(RAND(),AVERAGE(Assumptions!$D$4,Assumptions!$F$4),(Assumptions!$F$4-Assumptions!$D$4)/3.29)*44</f>
        <v>1121680.8329489536</v>
      </c>
      <c r="C129" s="6">
        <f ca="1">_xlfn.NORM.INV(RAND(),AVERAGE(Assumptions!$D$5,Assumptions!$F$5),(Assumptions!$F$5-Assumptions!$D$5)/3.29)*44</f>
        <v>1890605.2927693052</v>
      </c>
      <c r="D129" s="9">
        <f ca="1">_xlfn.NORM.INV(RAND(),AVERAGE(Assumptions!$D$6,Assumptions!$F$6),(Assumptions!$F$6-Assumptions!$D$6)/3.29)*RANDBETWEEN(2,5)</f>
        <v>1538578.6703393869</v>
      </c>
      <c r="E129" s="12">
        <f ca="1">_xlfn.NORM.INV(RAND(),AVERAGE(Assumptions!$D$17,Assumptions!$F$17),(Assumptions!$F$17-Assumptions!$D$17)/3.29)*8</f>
        <v>897437.96777027473</v>
      </c>
      <c r="F129" s="15">
        <f ca="1">_xlfn.NORM.INV(RAND(),AVERAGE(Assumptions!$D$7,Assumptions!$F$7),(Assumptions!$F$7-Assumptions!$D$7)/3.29)*RANDBETWEEN(1,3)</f>
        <v>4434099.685263806</v>
      </c>
      <c r="G129" s="3">
        <f ca="1">_xlfn.NORM.INV(RAND(),AVERAGE(Assumptions!$D$8,Assumptions!$F$8),(Assumptions!$F$8-Assumptions!$D$8)/3.29)*44</f>
        <v>1001744.7251206839</v>
      </c>
      <c r="H129" s="6">
        <f ca="1">_xlfn.NORM.INV(RAND(),AVERAGE(Assumptions!$D$9,Assumptions!$F$9),(Assumptions!$F$9-Assumptions!$D$9)/3.29)*21</f>
        <v>6076180.779314083</v>
      </c>
      <c r="I129" s="9">
        <f ca="1">_xlfn.NORM.INV(RAND(),AVERAGE(Assumptions!$D$10,Assumptions!$F$10),(Assumptions!$F$10-Assumptions!$D$10)/3.29)*21</f>
        <v>1090773.3315557546</v>
      </c>
      <c r="J129" s="12">
        <f ca="1">NORMINV(RAND(),AVERAGE(Assumptions!$D$11,Assumptions!$F$11),(Assumptions!$F$11-Assumptions!$D$11)/3.29)*44</f>
        <v>2964301.6139936219</v>
      </c>
      <c r="K129" s="15">
        <f ca="1">_xlfn.NORM.INV(RAND(),AVERAGE(Assumptions!$D$12,Assumptions!$F$12),(Assumptions!$F$12-Assumptions!$D$12)/3.29)*44</f>
        <v>8839336.321023846</v>
      </c>
      <c r="L129" s="3">
        <f ca="1">_xlfn.NORM.INV(RAND(),AVERAGE(Assumptions!$D$13,Assumptions!$F$13),(Assumptions!$F$13-Assumptions!$D$13)/3.29)*44</f>
        <v>17666206.890819039</v>
      </c>
      <c r="M129" s="6">
        <f ca="1">_xlfn.NORM.INV(RAND(),AVERAGE(Assumptions!$D$14,Assumptions!$F$14),(Assumptions!$F$14-Assumptions!$D$14)/3.29)*44</f>
        <v>8306858.4512022454</v>
      </c>
      <c r="N129" s="9">
        <f ca="1">_xlfn.NORM.INV(RAND(),AVERAGE(Assumptions!$D$16,Assumptions!$F$16),(Assumptions!$F$16-Assumptions!$D$16)/3.29)*44</f>
        <v>19508965.326131299</v>
      </c>
      <c r="O129" s="12">
        <f ca="1">_xlfn.NORM.INV(RAND(),AVERAGE(Assumptions!$D$15,Assumptions!$F$15),(Assumptions!$F$15-Assumptions!$D$15)/3.29)*44</f>
        <v>130787231.66313417</v>
      </c>
      <c r="P129" s="15">
        <f>Assumptions!$D$18</f>
        <v>14641750.345627395</v>
      </c>
      <c r="Q129" s="3">
        <f t="shared" ca="1" si="2"/>
        <v>55450461.77488187</v>
      </c>
      <c r="R129" s="6">
        <f t="shared" ca="1" si="3"/>
        <v>70092212.120509267</v>
      </c>
    </row>
    <row r="130" spans="1:18">
      <c r="A130" s="20">
        <v>129</v>
      </c>
      <c r="B130" s="3">
        <f ca="1">_xlfn.NORM.INV(RAND(),AVERAGE(Assumptions!$D$4,Assumptions!$F$4),(Assumptions!$F$4-Assumptions!$D$4)/3.29)*44</f>
        <v>1222338.2926701822</v>
      </c>
      <c r="C130" s="6">
        <f ca="1">_xlfn.NORM.INV(RAND(),AVERAGE(Assumptions!$D$5,Assumptions!$F$5),(Assumptions!$F$5-Assumptions!$D$5)/3.29)*44</f>
        <v>2123931.2613636861</v>
      </c>
      <c r="D130" s="9">
        <f ca="1">_xlfn.NORM.INV(RAND(),AVERAGE(Assumptions!$D$6,Assumptions!$F$6),(Assumptions!$F$6-Assumptions!$D$6)/3.29)*RANDBETWEEN(2,5)</f>
        <v>4027255.5686885426</v>
      </c>
      <c r="E130" s="12">
        <f ca="1">_xlfn.NORM.INV(RAND(),AVERAGE(Assumptions!$D$17,Assumptions!$F$17),(Assumptions!$F$17-Assumptions!$D$17)/3.29)*8</f>
        <v>873833.15808013163</v>
      </c>
      <c r="F130" s="15">
        <f ca="1">_xlfn.NORM.INV(RAND(),AVERAGE(Assumptions!$D$7,Assumptions!$F$7),(Assumptions!$F$7-Assumptions!$D$7)/3.29)*RANDBETWEEN(1,3)</f>
        <v>3948530.780025681</v>
      </c>
      <c r="G130" s="3">
        <f ca="1">_xlfn.NORM.INV(RAND(),AVERAGE(Assumptions!$D$8,Assumptions!$F$8),(Assumptions!$F$8-Assumptions!$D$8)/3.29)*44</f>
        <v>760689.66244419501</v>
      </c>
      <c r="H130" s="6">
        <f ca="1">_xlfn.NORM.INV(RAND(),AVERAGE(Assumptions!$D$9,Assumptions!$F$9),(Assumptions!$F$9-Assumptions!$D$9)/3.29)*21</f>
        <v>455437.41053095419</v>
      </c>
      <c r="I130" s="9">
        <f ca="1">_xlfn.NORM.INV(RAND(),AVERAGE(Assumptions!$D$10,Assumptions!$F$10),(Assumptions!$F$10-Assumptions!$D$10)/3.29)*21</f>
        <v>1011921.8647521322</v>
      </c>
      <c r="J130" s="12">
        <f ca="1">NORMINV(RAND(),AVERAGE(Assumptions!$D$11,Assumptions!$F$11),(Assumptions!$F$11-Assumptions!$D$11)/3.29)*44</f>
        <v>2681096.4211783614</v>
      </c>
      <c r="K130" s="15">
        <f ca="1">_xlfn.NORM.INV(RAND(),AVERAGE(Assumptions!$D$12,Assumptions!$F$12),(Assumptions!$F$12-Assumptions!$D$12)/3.29)*44</f>
        <v>10464980.208471686</v>
      </c>
      <c r="L130" s="3">
        <f ca="1">_xlfn.NORM.INV(RAND(),AVERAGE(Assumptions!$D$13,Assumptions!$F$13),(Assumptions!$F$13-Assumptions!$D$13)/3.29)*44</f>
        <v>10215555.692145385</v>
      </c>
      <c r="M130" s="6">
        <f ca="1">_xlfn.NORM.INV(RAND(),AVERAGE(Assumptions!$D$14,Assumptions!$F$14),(Assumptions!$F$14-Assumptions!$D$14)/3.29)*44</f>
        <v>6952814.2673905389</v>
      </c>
      <c r="N130" s="9">
        <f ca="1">_xlfn.NORM.INV(RAND(),AVERAGE(Assumptions!$D$16,Assumptions!$F$16),(Assumptions!$F$16-Assumptions!$D$16)/3.29)*44</f>
        <v>13275136.663965039</v>
      </c>
      <c r="O130" s="12">
        <f ca="1">_xlfn.NORM.INV(RAND(),AVERAGE(Assumptions!$D$15,Assumptions!$F$15),(Assumptions!$F$15-Assumptions!$D$15)/3.29)*44</f>
        <v>80223749.611324102</v>
      </c>
      <c r="P130" s="15">
        <f>Assumptions!$D$18</f>
        <v>14641750.345627395</v>
      </c>
      <c r="Q130" s="3">
        <f t="shared" ca="1" si="2"/>
        <v>22210228.359617583</v>
      </c>
      <c r="R130" s="6">
        <f t="shared" ca="1" si="3"/>
        <v>36851978.705244981</v>
      </c>
    </row>
    <row r="131" spans="1:18">
      <c r="A131" s="20">
        <v>130</v>
      </c>
      <c r="B131" s="3">
        <f ca="1">_xlfn.NORM.INV(RAND(),AVERAGE(Assumptions!$D$4,Assumptions!$F$4),(Assumptions!$F$4-Assumptions!$D$4)/3.29)*44</f>
        <v>1230668.354419515</v>
      </c>
      <c r="C131" s="6">
        <f ca="1">_xlfn.NORM.INV(RAND(),AVERAGE(Assumptions!$D$5,Assumptions!$F$5),(Assumptions!$F$5-Assumptions!$D$5)/3.29)*44</f>
        <v>2128357.1469879588</v>
      </c>
      <c r="D131" s="9">
        <f ca="1">_xlfn.NORM.INV(RAND(),AVERAGE(Assumptions!$D$6,Assumptions!$F$6),(Assumptions!$F$6-Assumptions!$D$6)/3.29)*RANDBETWEEN(2,5)</f>
        <v>3235950.6265578764</v>
      </c>
      <c r="E131" s="12">
        <f ca="1">_xlfn.NORM.INV(RAND(),AVERAGE(Assumptions!$D$17,Assumptions!$F$17),(Assumptions!$F$17-Assumptions!$D$17)/3.29)*8</f>
        <v>988793.89035622485</v>
      </c>
      <c r="F131" s="15">
        <f ca="1">_xlfn.NORM.INV(RAND(),AVERAGE(Assumptions!$D$7,Assumptions!$F$7),(Assumptions!$F$7-Assumptions!$D$7)/3.29)*RANDBETWEEN(1,3)</f>
        <v>10190272.201614279</v>
      </c>
      <c r="G131" s="3">
        <f ca="1">_xlfn.NORM.INV(RAND(),AVERAGE(Assumptions!$D$8,Assumptions!$F$8),(Assumptions!$F$8-Assumptions!$D$8)/3.29)*44</f>
        <v>1611999.9345288728</v>
      </c>
      <c r="H131" s="6">
        <f ca="1">_xlfn.NORM.INV(RAND(),AVERAGE(Assumptions!$D$9,Assumptions!$F$9),(Assumptions!$F$9-Assumptions!$D$9)/3.29)*21</f>
        <v>2184035.1924042706</v>
      </c>
      <c r="I131" s="9">
        <f ca="1">_xlfn.NORM.INV(RAND(),AVERAGE(Assumptions!$D$10,Assumptions!$F$10),(Assumptions!$F$10-Assumptions!$D$10)/3.29)*21</f>
        <v>843231.13285283267</v>
      </c>
      <c r="J131" s="12">
        <f ca="1">NORMINV(RAND(),AVERAGE(Assumptions!$D$11,Assumptions!$F$11),(Assumptions!$F$11-Assumptions!$D$11)/3.29)*44</f>
        <v>4606994.2709388044</v>
      </c>
      <c r="K131" s="15">
        <f ca="1">_xlfn.NORM.INV(RAND(),AVERAGE(Assumptions!$D$12,Assumptions!$F$12),(Assumptions!$F$12-Assumptions!$D$12)/3.29)*44</f>
        <v>7353514.6522436617</v>
      </c>
      <c r="L131" s="3">
        <f ca="1">_xlfn.NORM.INV(RAND(),AVERAGE(Assumptions!$D$13,Assumptions!$F$13),(Assumptions!$F$13-Assumptions!$D$13)/3.29)*44</f>
        <v>13480941.325420719</v>
      </c>
      <c r="M131" s="6">
        <f ca="1">_xlfn.NORM.INV(RAND(),AVERAGE(Assumptions!$D$14,Assumptions!$F$14),(Assumptions!$F$14-Assumptions!$D$14)/3.29)*44</f>
        <v>4447806.276316232</v>
      </c>
      <c r="N131" s="9">
        <f ca="1">_xlfn.NORM.INV(RAND(),AVERAGE(Assumptions!$D$16,Assumptions!$F$16),(Assumptions!$F$16-Assumptions!$D$16)/3.29)*44</f>
        <v>1019816.4777723834</v>
      </c>
      <c r="O131" s="12">
        <f ca="1">_xlfn.NORM.INV(RAND(),AVERAGE(Assumptions!$D$15,Assumptions!$F$15),(Assumptions!$F$15-Assumptions!$D$15)/3.29)*44</f>
        <v>112342122.44135159</v>
      </c>
      <c r="P131" s="15">
        <f>Assumptions!$D$18</f>
        <v>14641750.345627395</v>
      </c>
      <c r="Q131" s="3">
        <f t="shared" ref="Q131:Q194" ca="1" si="4">O131-(B131+C131+D131+F131+G131+H131+I131+J131+K131+L131+M131+N131+E131)</f>
        <v>59019740.958937958</v>
      </c>
      <c r="R131" s="6">
        <f t="shared" ref="R131:R194" ca="1" si="5">Q131+P131</f>
        <v>73661491.304565355</v>
      </c>
    </row>
    <row r="132" spans="1:18">
      <c r="A132" s="20">
        <v>131</v>
      </c>
      <c r="B132" s="3">
        <f ca="1">_xlfn.NORM.INV(RAND(),AVERAGE(Assumptions!$D$4,Assumptions!$F$4),(Assumptions!$F$4-Assumptions!$D$4)/3.29)*44</f>
        <v>1113435.8729616054</v>
      </c>
      <c r="C132" s="6">
        <f ca="1">_xlfn.NORM.INV(RAND(),AVERAGE(Assumptions!$D$5,Assumptions!$F$5),(Assumptions!$F$5-Assumptions!$D$5)/3.29)*44</f>
        <v>1977498.2493531853</v>
      </c>
      <c r="D132" s="9">
        <f ca="1">_xlfn.NORM.INV(RAND(),AVERAGE(Assumptions!$D$6,Assumptions!$F$6),(Assumptions!$F$6-Assumptions!$D$6)/3.29)*RANDBETWEEN(2,5)</f>
        <v>2769786.7935067015</v>
      </c>
      <c r="E132" s="12">
        <f ca="1">_xlfn.NORM.INV(RAND(),AVERAGE(Assumptions!$D$17,Assumptions!$F$17),(Assumptions!$F$17-Assumptions!$D$17)/3.29)*8</f>
        <v>988839.95674967137</v>
      </c>
      <c r="F132" s="15">
        <f ca="1">_xlfn.NORM.INV(RAND(),AVERAGE(Assumptions!$D$7,Assumptions!$F$7),(Assumptions!$F$7-Assumptions!$D$7)/3.29)*RANDBETWEEN(1,3)</f>
        <v>6406187.2656422742</v>
      </c>
      <c r="G132" s="3">
        <f ca="1">_xlfn.NORM.INV(RAND(),AVERAGE(Assumptions!$D$8,Assumptions!$F$8),(Assumptions!$F$8-Assumptions!$D$8)/3.29)*44</f>
        <v>1065707.6019478345</v>
      </c>
      <c r="H132" s="6">
        <f ca="1">_xlfn.NORM.INV(RAND(),AVERAGE(Assumptions!$D$9,Assumptions!$F$9),(Assumptions!$F$9-Assumptions!$D$9)/3.29)*21</f>
        <v>1709063.7677339336</v>
      </c>
      <c r="I132" s="9">
        <f ca="1">_xlfn.NORM.INV(RAND(),AVERAGE(Assumptions!$D$10,Assumptions!$F$10),(Assumptions!$F$10-Assumptions!$D$10)/3.29)*21</f>
        <v>776483.49038987292</v>
      </c>
      <c r="J132" s="12">
        <f ca="1">NORMINV(RAND(),AVERAGE(Assumptions!$D$11,Assumptions!$F$11),(Assumptions!$F$11-Assumptions!$D$11)/3.29)*44</f>
        <v>4351492.902943762</v>
      </c>
      <c r="K132" s="15">
        <f ca="1">_xlfn.NORM.INV(RAND(),AVERAGE(Assumptions!$D$12,Assumptions!$F$12),(Assumptions!$F$12-Assumptions!$D$12)/3.29)*44</f>
        <v>7485585.4574226374</v>
      </c>
      <c r="L132" s="3">
        <f ca="1">_xlfn.NORM.INV(RAND(),AVERAGE(Assumptions!$D$13,Assumptions!$F$13),(Assumptions!$F$13-Assumptions!$D$13)/3.29)*44</f>
        <v>14993805.716999449</v>
      </c>
      <c r="M132" s="6">
        <f ca="1">_xlfn.NORM.INV(RAND(),AVERAGE(Assumptions!$D$14,Assumptions!$F$14),(Assumptions!$F$14-Assumptions!$D$14)/3.29)*44</f>
        <v>4267861.3948954502</v>
      </c>
      <c r="N132" s="9">
        <f ca="1">_xlfn.NORM.INV(RAND(),AVERAGE(Assumptions!$D$16,Assumptions!$F$16),(Assumptions!$F$16-Assumptions!$D$16)/3.29)*44</f>
        <v>12839525.369696025</v>
      </c>
      <c r="O132" s="12">
        <f ca="1">_xlfn.NORM.INV(RAND(),AVERAGE(Assumptions!$D$15,Assumptions!$F$15),(Assumptions!$F$15-Assumptions!$D$15)/3.29)*44</f>
        <v>30150943.000843558</v>
      </c>
      <c r="P132" s="15">
        <f>Assumptions!$D$18</f>
        <v>14641750.345627395</v>
      </c>
      <c r="Q132" s="3">
        <f t="shared" ca="1" si="4"/>
        <v>-30594330.839398835</v>
      </c>
      <c r="R132" s="6">
        <f t="shared" ca="1" si="5"/>
        <v>-15952580.493771439</v>
      </c>
    </row>
    <row r="133" spans="1:18">
      <c r="A133" s="20">
        <v>132</v>
      </c>
      <c r="B133" s="3">
        <f ca="1">_xlfn.NORM.INV(RAND(),AVERAGE(Assumptions!$D$4,Assumptions!$F$4),(Assumptions!$F$4-Assumptions!$D$4)/3.29)*44</f>
        <v>1336347.2015297562</v>
      </c>
      <c r="C133" s="6">
        <f ca="1">_xlfn.NORM.INV(RAND(),AVERAGE(Assumptions!$D$5,Assumptions!$F$5),(Assumptions!$F$5-Assumptions!$D$5)/3.29)*44</f>
        <v>1796050.2359344736</v>
      </c>
      <c r="D133" s="9">
        <f ca="1">_xlfn.NORM.INV(RAND(),AVERAGE(Assumptions!$D$6,Assumptions!$F$6),(Assumptions!$F$6-Assumptions!$D$6)/3.29)*RANDBETWEEN(2,5)</f>
        <v>3718830.9891090207</v>
      </c>
      <c r="E133" s="12">
        <f ca="1">_xlfn.NORM.INV(RAND(),AVERAGE(Assumptions!$D$17,Assumptions!$F$17),(Assumptions!$F$17-Assumptions!$D$17)/3.29)*8</f>
        <v>1134407.5195288172</v>
      </c>
      <c r="F133" s="15">
        <f ca="1">_xlfn.NORM.INV(RAND(),AVERAGE(Assumptions!$D$7,Assumptions!$F$7),(Assumptions!$F$7-Assumptions!$D$7)/3.29)*RANDBETWEEN(1,3)</f>
        <v>4448264.9840596113</v>
      </c>
      <c r="G133" s="3">
        <f ca="1">_xlfn.NORM.INV(RAND(),AVERAGE(Assumptions!$D$8,Assumptions!$F$8),(Assumptions!$F$8-Assumptions!$D$8)/3.29)*44</f>
        <v>1540897.4749519383</v>
      </c>
      <c r="H133" s="6">
        <f ca="1">_xlfn.NORM.INV(RAND(),AVERAGE(Assumptions!$D$9,Assumptions!$F$9),(Assumptions!$F$9-Assumptions!$D$9)/3.29)*21</f>
        <v>5123533.8744642027</v>
      </c>
      <c r="I133" s="9">
        <f ca="1">_xlfn.NORM.INV(RAND(),AVERAGE(Assumptions!$D$10,Assumptions!$F$10),(Assumptions!$F$10-Assumptions!$D$10)/3.29)*21</f>
        <v>424688.5447813397</v>
      </c>
      <c r="J133" s="12">
        <f ca="1">NORMINV(RAND(),AVERAGE(Assumptions!$D$11,Assumptions!$F$11),(Assumptions!$F$11-Assumptions!$D$11)/3.29)*44</f>
        <v>3840280.7681840854</v>
      </c>
      <c r="K133" s="15">
        <f ca="1">_xlfn.NORM.INV(RAND(),AVERAGE(Assumptions!$D$12,Assumptions!$F$12),(Assumptions!$F$12-Assumptions!$D$12)/3.29)*44</f>
        <v>8689670.264538236</v>
      </c>
      <c r="L133" s="3">
        <f ca="1">_xlfn.NORM.INV(RAND(),AVERAGE(Assumptions!$D$13,Assumptions!$F$13),(Assumptions!$F$13-Assumptions!$D$13)/3.29)*44</f>
        <v>19740821.891666118</v>
      </c>
      <c r="M133" s="6">
        <f ca="1">_xlfn.NORM.INV(RAND(),AVERAGE(Assumptions!$D$14,Assumptions!$F$14),(Assumptions!$F$14-Assumptions!$D$14)/3.29)*44</f>
        <v>7594012.1115506971</v>
      </c>
      <c r="N133" s="9">
        <f ca="1">_xlfn.NORM.INV(RAND(),AVERAGE(Assumptions!$D$16,Assumptions!$F$16),(Assumptions!$F$16-Assumptions!$D$16)/3.29)*44</f>
        <v>11316052.609295242</v>
      </c>
      <c r="O133" s="12">
        <f ca="1">_xlfn.NORM.INV(RAND(),AVERAGE(Assumptions!$D$15,Assumptions!$F$15),(Assumptions!$F$15-Assumptions!$D$15)/3.29)*44</f>
        <v>147478189.89259359</v>
      </c>
      <c r="P133" s="15">
        <f>Assumptions!$D$18</f>
        <v>14641750.345627395</v>
      </c>
      <c r="Q133" s="3">
        <f t="shared" ca="1" si="4"/>
        <v>76774331.423000053</v>
      </c>
      <c r="R133" s="6">
        <f t="shared" ca="1" si="5"/>
        <v>91416081.76862745</v>
      </c>
    </row>
    <row r="134" spans="1:18">
      <c r="A134" s="20">
        <v>133</v>
      </c>
      <c r="B134" s="3">
        <f ca="1">_xlfn.NORM.INV(RAND(),AVERAGE(Assumptions!$D$4,Assumptions!$F$4),(Assumptions!$F$4-Assumptions!$D$4)/3.29)*44</f>
        <v>1184070.55199926</v>
      </c>
      <c r="C134" s="6">
        <f ca="1">_xlfn.NORM.INV(RAND(),AVERAGE(Assumptions!$D$5,Assumptions!$F$5),(Assumptions!$F$5-Assumptions!$D$5)/3.29)*44</f>
        <v>1521429.3774734603</v>
      </c>
      <c r="D134" s="9">
        <f ca="1">_xlfn.NORM.INV(RAND(),AVERAGE(Assumptions!$D$6,Assumptions!$F$6),(Assumptions!$F$6-Assumptions!$D$6)/3.29)*RANDBETWEEN(2,5)</f>
        <v>10939656.086064642</v>
      </c>
      <c r="E134" s="12">
        <f ca="1">_xlfn.NORM.INV(RAND(),AVERAGE(Assumptions!$D$17,Assumptions!$F$17),(Assumptions!$F$17-Assumptions!$D$17)/3.29)*8</f>
        <v>926117.2780939457</v>
      </c>
      <c r="F134" s="15">
        <f ca="1">_xlfn.NORM.INV(RAND(),AVERAGE(Assumptions!$D$7,Assumptions!$F$7),(Assumptions!$F$7-Assumptions!$D$7)/3.29)*RANDBETWEEN(1,3)</f>
        <v>2296221.8583995122</v>
      </c>
      <c r="G134" s="3">
        <f ca="1">_xlfn.NORM.INV(RAND(),AVERAGE(Assumptions!$D$8,Assumptions!$F$8),(Assumptions!$F$8-Assumptions!$D$8)/3.29)*44</f>
        <v>899562.30090821814</v>
      </c>
      <c r="H134" s="6">
        <f ca="1">_xlfn.NORM.INV(RAND(),AVERAGE(Assumptions!$D$9,Assumptions!$F$9),(Assumptions!$F$9-Assumptions!$D$9)/3.29)*21</f>
        <v>5412139.0691919029</v>
      </c>
      <c r="I134" s="9">
        <f ca="1">_xlfn.NORM.INV(RAND(),AVERAGE(Assumptions!$D$10,Assumptions!$F$10),(Assumptions!$F$10-Assumptions!$D$10)/3.29)*21</f>
        <v>1063477.6685344456</v>
      </c>
      <c r="J134" s="12">
        <f ca="1">NORMINV(RAND(),AVERAGE(Assumptions!$D$11,Assumptions!$F$11),(Assumptions!$F$11-Assumptions!$D$11)/3.29)*44</f>
        <v>3800632.8716485733</v>
      </c>
      <c r="K134" s="15">
        <f ca="1">_xlfn.NORM.INV(RAND(),AVERAGE(Assumptions!$D$12,Assumptions!$F$12),(Assumptions!$F$12-Assumptions!$D$12)/3.29)*44</f>
        <v>7468564.2238255246</v>
      </c>
      <c r="L134" s="3">
        <f ca="1">_xlfn.NORM.INV(RAND(),AVERAGE(Assumptions!$D$13,Assumptions!$F$13),(Assumptions!$F$13-Assumptions!$D$13)/3.29)*44</f>
        <v>6195672.9556431603</v>
      </c>
      <c r="M134" s="6">
        <f ca="1">_xlfn.NORM.INV(RAND(),AVERAGE(Assumptions!$D$14,Assumptions!$F$14),(Assumptions!$F$14-Assumptions!$D$14)/3.29)*44</f>
        <v>5752889.7339039026</v>
      </c>
      <c r="N134" s="9">
        <f ca="1">_xlfn.NORM.INV(RAND(),AVERAGE(Assumptions!$D$16,Assumptions!$F$16),(Assumptions!$F$16-Assumptions!$D$16)/3.29)*44</f>
        <v>10866530.136445392</v>
      </c>
      <c r="O134" s="12">
        <f ca="1">_xlfn.NORM.INV(RAND(),AVERAGE(Assumptions!$D$15,Assumptions!$F$15),(Assumptions!$F$15-Assumptions!$D$15)/3.29)*44</f>
        <v>52059876.08385209</v>
      </c>
      <c r="P134" s="15">
        <f>Assumptions!$D$18</f>
        <v>14641750.345627395</v>
      </c>
      <c r="Q134" s="3">
        <f t="shared" ca="1" si="4"/>
        <v>-6267088.0282798484</v>
      </c>
      <c r="R134" s="6">
        <f t="shared" ca="1" si="5"/>
        <v>8374662.317347547</v>
      </c>
    </row>
    <row r="135" spans="1:18">
      <c r="A135" s="20">
        <v>134</v>
      </c>
      <c r="B135" s="3">
        <f ca="1">_xlfn.NORM.INV(RAND(),AVERAGE(Assumptions!$D$4,Assumptions!$F$4),(Assumptions!$F$4-Assumptions!$D$4)/3.29)*44</f>
        <v>1165455.9289057788</v>
      </c>
      <c r="C135" s="6">
        <f ca="1">_xlfn.NORM.INV(RAND(),AVERAGE(Assumptions!$D$5,Assumptions!$F$5),(Assumptions!$F$5-Assumptions!$D$5)/3.29)*44</f>
        <v>1739104.3369861974</v>
      </c>
      <c r="D135" s="9">
        <f ca="1">_xlfn.NORM.INV(RAND(),AVERAGE(Assumptions!$D$6,Assumptions!$F$6),(Assumptions!$F$6-Assumptions!$D$6)/3.29)*RANDBETWEEN(2,5)</f>
        <v>2587182.0137992012</v>
      </c>
      <c r="E135" s="12">
        <f ca="1">_xlfn.NORM.INV(RAND(),AVERAGE(Assumptions!$D$17,Assumptions!$F$17),(Assumptions!$F$17-Assumptions!$D$17)/3.29)*8</f>
        <v>982357.54860575905</v>
      </c>
      <c r="F135" s="15">
        <f ca="1">_xlfn.NORM.INV(RAND(),AVERAGE(Assumptions!$D$7,Assumptions!$F$7),(Assumptions!$F$7-Assumptions!$D$7)/3.29)*RANDBETWEEN(1,3)</f>
        <v>7439117.340478925</v>
      </c>
      <c r="G135" s="3">
        <f ca="1">_xlfn.NORM.INV(RAND(),AVERAGE(Assumptions!$D$8,Assumptions!$F$8),(Assumptions!$F$8-Assumptions!$D$8)/3.29)*44</f>
        <v>1069623.9266699199</v>
      </c>
      <c r="H135" s="6">
        <f ca="1">_xlfn.NORM.INV(RAND(),AVERAGE(Assumptions!$D$9,Assumptions!$F$9),(Assumptions!$F$9-Assumptions!$D$9)/3.29)*21</f>
        <v>6829112.1968430616</v>
      </c>
      <c r="I135" s="9">
        <f ca="1">_xlfn.NORM.INV(RAND(),AVERAGE(Assumptions!$D$10,Assumptions!$F$10),(Assumptions!$F$10-Assumptions!$D$10)/3.29)*21</f>
        <v>903861.8689531089</v>
      </c>
      <c r="J135" s="12">
        <f ca="1">NORMINV(RAND(),AVERAGE(Assumptions!$D$11,Assumptions!$F$11),(Assumptions!$F$11-Assumptions!$D$11)/3.29)*44</f>
        <v>4844804.8281417247</v>
      </c>
      <c r="K135" s="15">
        <f ca="1">_xlfn.NORM.INV(RAND(),AVERAGE(Assumptions!$D$12,Assumptions!$F$12),(Assumptions!$F$12-Assumptions!$D$12)/3.29)*44</f>
        <v>7385229.8351081982</v>
      </c>
      <c r="L135" s="3">
        <f ca="1">_xlfn.NORM.INV(RAND(),AVERAGE(Assumptions!$D$13,Assumptions!$F$13),(Assumptions!$F$13-Assumptions!$D$13)/3.29)*44</f>
        <v>20896112.498754226</v>
      </c>
      <c r="M135" s="6">
        <f ca="1">_xlfn.NORM.INV(RAND(),AVERAGE(Assumptions!$D$14,Assumptions!$F$14),(Assumptions!$F$14-Assumptions!$D$14)/3.29)*44</f>
        <v>6637925.2246860592</v>
      </c>
      <c r="N135" s="9">
        <f ca="1">_xlfn.NORM.INV(RAND(),AVERAGE(Assumptions!$D$16,Assumptions!$F$16),(Assumptions!$F$16-Assumptions!$D$16)/3.29)*44</f>
        <v>9619965.2689970117</v>
      </c>
      <c r="O135" s="12">
        <f ca="1">_xlfn.NORM.INV(RAND(),AVERAGE(Assumptions!$D$15,Assumptions!$F$15),(Assumptions!$F$15-Assumptions!$D$15)/3.29)*44</f>
        <v>61297982.799197011</v>
      </c>
      <c r="P135" s="15">
        <f>Assumptions!$D$18</f>
        <v>14641750.345627395</v>
      </c>
      <c r="Q135" s="3">
        <f t="shared" ca="1" si="4"/>
        <v>-10801870.017732151</v>
      </c>
      <c r="R135" s="6">
        <f t="shared" ca="1" si="5"/>
        <v>3839880.3278952446</v>
      </c>
    </row>
    <row r="136" spans="1:18">
      <c r="A136" s="20">
        <v>135</v>
      </c>
      <c r="B136" s="3">
        <f ca="1">_xlfn.NORM.INV(RAND(),AVERAGE(Assumptions!$D$4,Assumptions!$F$4),(Assumptions!$F$4-Assumptions!$D$4)/3.29)*44</f>
        <v>1338368.7277808078</v>
      </c>
      <c r="C136" s="6">
        <f ca="1">_xlfn.NORM.INV(RAND(),AVERAGE(Assumptions!$D$5,Assumptions!$F$5),(Assumptions!$F$5-Assumptions!$D$5)/3.29)*44</f>
        <v>1792747.3312742985</v>
      </c>
      <c r="D136" s="9">
        <f ca="1">_xlfn.NORM.INV(RAND(),AVERAGE(Assumptions!$D$6,Assumptions!$F$6),(Assumptions!$F$6-Assumptions!$D$6)/3.29)*RANDBETWEEN(2,5)</f>
        <v>3762024.9470219808</v>
      </c>
      <c r="E136" s="12">
        <f ca="1">_xlfn.NORM.INV(RAND(),AVERAGE(Assumptions!$D$17,Assumptions!$F$17),(Assumptions!$F$17-Assumptions!$D$17)/3.29)*8</f>
        <v>991875.76152771385</v>
      </c>
      <c r="F136" s="15">
        <f ca="1">_xlfn.NORM.INV(RAND(),AVERAGE(Assumptions!$D$7,Assumptions!$F$7),(Assumptions!$F$7-Assumptions!$D$7)/3.29)*RANDBETWEEN(1,3)</f>
        <v>3951104.3114866363</v>
      </c>
      <c r="G136" s="3">
        <f ca="1">_xlfn.NORM.INV(RAND(),AVERAGE(Assumptions!$D$8,Assumptions!$F$8),(Assumptions!$F$8-Assumptions!$D$8)/3.29)*44</f>
        <v>496445.37716509192</v>
      </c>
      <c r="H136" s="6">
        <f ca="1">_xlfn.NORM.INV(RAND(),AVERAGE(Assumptions!$D$9,Assumptions!$F$9),(Assumptions!$F$9-Assumptions!$D$9)/3.29)*21</f>
        <v>7631651.6823169105</v>
      </c>
      <c r="I136" s="9">
        <f ca="1">_xlfn.NORM.INV(RAND(),AVERAGE(Assumptions!$D$10,Assumptions!$F$10),(Assumptions!$F$10-Assumptions!$D$10)/3.29)*21</f>
        <v>1212756.4343187129</v>
      </c>
      <c r="J136" s="12">
        <f ca="1">NORMINV(RAND(),AVERAGE(Assumptions!$D$11,Assumptions!$F$11),(Assumptions!$F$11-Assumptions!$D$11)/3.29)*44</f>
        <v>4297771.8438409865</v>
      </c>
      <c r="K136" s="15">
        <f ca="1">_xlfn.NORM.INV(RAND(),AVERAGE(Assumptions!$D$12,Assumptions!$F$12),(Assumptions!$F$12-Assumptions!$D$12)/3.29)*44</f>
        <v>10425273.815382609</v>
      </c>
      <c r="L136" s="3">
        <f ca="1">_xlfn.NORM.INV(RAND(),AVERAGE(Assumptions!$D$13,Assumptions!$F$13),(Assumptions!$F$13-Assumptions!$D$13)/3.29)*44</f>
        <v>166988.99076534319</v>
      </c>
      <c r="M136" s="6">
        <f ca="1">_xlfn.NORM.INV(RAND(),AVERAGE(Assumptions!$D$14,Assumptions!$F$14),(Assumptions!$F$14-Assumptions!$D$14)/3.29)*44</f>
        <v>4065465.6518916674</v>
      </c>
      <c r="N136" s="9">
        <f ca="1">_xlfn.NORM.INV(RAND(),AVERAGE(Assumptions!$D$16,Assumptions!$F$16),(Assumptions!$F$16-Assumptions!$D$16)/3.29)*44</f>
        <v>14437486.377777822</v>
      </c>
      <c r="O136" s="12">
        <f ca="1">_xlfn.NORM.INV(RAND(),AVERAGE(Assumptions!$D$15,Assumptions!$F$15),(Assumptions!$F$15-Assumptions!$D$15)/3.29)*44</f>
        <v>104049556.00404723</v>
      </c>
      <c r="P136" s="15">
        <f>Assumptions!$D$18</f>
        <v>14641750.345627395</v>
      </c>
      <c r="Q136" s="3">
        <f t="shared" ca="1" si="4"/>
        <v>49479594.75149665</v>
      </c>
      <c r="R136" s="6">
        <f t="shared" ca="1" si="5"/>
        <v>64121345.097124048</v>
      </c>
    </row>
    <row r="137" spans="1:18">
      <c r="A137" s="20">
        <v>136</v>
      </c>
      <c r="B137" s="3">
        <f ca="1">_xlfn.NORM.INV(RAND(),AVERAGE(Assumptions!$D$4,Assumptions!$F$4),(Assumptions!$F$4-Assumptions!$D$4)/3.29)*44</f>
        <v>1189673.7471343779</v>
      </c>
      <c r="C137" s="6">
        <f ca="1">_xlfn.NORM.INV(RAND(),AVERAGE(Assumptions!$D$5,Assumptions!$F$5),(Assumptions!$F$5-Assumptions!$D$5)/3.29)*44</f>
        <v>1988470.6787331905</v>
      </c>
      <c r="D137" s="9">
        <f ca="1">_xlfn.NORM.INV(RAND(),AVERAGE(Assumptions!$D$6,Assumptions!$F$6),(Assumptions!$F$6-Assumptions!$D$6)/3.29)*RANDBETWEEN(2,5)</f>
        <v>665883.39945639786</v>
      </c>
      <c r="E137" s="12">
        <f ca="1">_xlfn.NORM.INV(RAND(),AVERAGE(Assumptions!$D$17,Assumptions!$F$17),(Assumptions!$F$17-Assumptions!$D$17)/3.29)*8</f>
        <v>1074861.4794233702</v>
      </c>
      <c r="F137" s="15">
        <f ca="1">_xlfn.NORM.INV(RAND(),AVERAGE(Assumptions!$D$7,Assumptions!$F$7),(Assumptions!$F$7-Assumptions!$D$7)/3.29)*RANDBETWEEN(1,3)</f>
        <v>6885592.836672063</v>
      </c>
      <c r="G137" s="3">
        <f ca="1">_xlfn.NORM.INV(RAND(),AVERAGE(Assumptions!$D$8,Assumptions!$F$8),(Assumptions!$F$8-Assumptions!$D$8)/3.29)*44</f>
        <v>1271680.5740617488</v>
      </c>
      <c r="H137" s="6">
        <f ca="1">_xlfn.NORM.INV(RAND(),AVERAGE(Assumptions!$D$9,Assumptions!$F$9),(Assumptions!$F$9-Assumptions!$D$9)/3.29)*21</f>
        <v>6117971.7721934607</v>
      </c>
      <c r="I137" s="9">
        <f ca="1">_xlfn.NORM.INV(RAND(),AVERAGE(Assumptions!$D$10,Assumptions!$F$10),(Assumptions!$F$10-Assumptions!$D$10)/3.29)*21</f>
        <v>951082.73423229379</v>
      </c>
      <c r="J137" s="12">
        <f ca="1">NORMINV(RAND(),AVERAGE(Assumptions!$D$11,Assumptions!$F$11),(Assumptions!$F$11-Assumptions!$D$11)/3.29)*44</f>
        <v>6129909.3356330656</v>
      </c>
      <c r="K137" s="15">
        <f ca="1">_xlfn.NORM.INV(RAND(),AVERAGE(Assumptions!$D$12,Assumptions!$F$12),(Assumptions!$F$12-Assumptions!$D$12)/3.29)*44</f>
        <v>9370287.5557048991</v>
      </c>
      <c r="L137" s="3">
        <f ca="1">_xlfn.NORM.INV(RAND(),AVERAGE(Assumptions!$D$13,Assumptions!$F$13),(Assumptions!$F$13-Assumptions!$D$13)/3.29)*44</f>
        <v>10589190.498036128</v>
      </c>
      <c r="M137" s="6">
        <f ca="1">_xlfn.NORM.INV(RAND(),AVERAGE(Assumptions!$D$14,Assumptions!$F$14),(Assumptions!$F$14-Assumptions!$D$14)/3.29)*44</f>
        <v>4602284.0151791414</v>
      </c>
      <c r="N137" s="9">
        <f ca="1">_xlfn.NORM.INV(RAND(),AVERAGE(Assumptions!$D$16,Assumptions!$F$16),(Assumptions!$F$16-Assumptions!$D$16)/3.29)*44</f>
        <v>13866518.341840789</v>
      </c>
      <c r="O137" s="12">
        <f ca="1">_xlfn.NORM.INV(RAND(),AVERAGE(Assumptions!$D$15,Assumptions!$F$15),(Assumptions!$F$15-Assumptions!$D$15)/3.29)*44</f>
        <v>90001381.397676915</v>
      </c>
      <c r="P137" s="15">
        <f>Assumptions!$D$18</f>
        <v>14641750.345627395</v>
      </c>
      <c r="Q137" s="3">
        <f t="shared" ca="1" si="4"/>
        <v>25297974.429375976</v>
      </c>
      <c r="R137" s="6">
        <f t="shared" ca="1" si="5"/>
        <v>39939724.775003374</v>
      </c>
    </row>
    <row r="138" spans="1:18">
      <c r="A138" s="20">
        <v>137</v>
      </c>
      <c r="B138" s="3">
        <f ca="1">_xlfn.NORM.INV(RAND(),AVERAGE(Assumptions!$D$4,Assumptions!$F$4),(Assumptions!$F$4-Assumptions!$D$4)/3.29)*44</f>
        <v>1143439.2785479759</v>
      </c>
      <c r="C138" s="6">
        <f ca="1">_xlfn.NORM.INV(RAND(),AVERAGE(Assumptions!$D$5,Assumptions!$F$5),(Assumptions!$F$5-Assumptions!$D$5)/3.29)*44</f>
        <v>1994463.9350066325</v>
      </c>
      <c r="D138" s="9">
        <f ca="1">_xlfn.NORM.INV(RAND(),AVERAGE(Assumptions!$D$6,Assumptions!$F$6),(Assumptions!$F$6-Assumptions!$D$6)/3.29)*RANDBETWEEN(2,5)</f>
        <v>2490786.4617344569</v>
      </c>
      <c r="E138" s="12">
        <f ca="1">_xlfn.NORM.INV(RAND(),AVERAGE(Assumptions!$D$17,Assumptions!$F$17),(Assumptions!$F$17-Assumptions!$D$17)/3.29)*8</f>
        <v>939429.51848498371</v>
      </c>
      <c r="F138" s="15">
        <f ca="1">_xlfn.NORM.INV(RAND(),AVERAGE(Assumptions!$D$7,Assumptions!$F$7),(Assumptions!$F$7-Assumptions!$D$7)/3.29)*RANDBETWEEN(1,3)</f>
        <v>3561143.7643102594</v>
      </c>
      <c r="G138" s="3">
        <f ca="1">_xlfn.NORM.INV(RAND(),AVERAGE(Assumptions!$D$8,Assumptions!$F$8),(Assumptions!$F$8-Assumptions!$D$8)/3.29)*44</f>
        <v>1118736.3543539091</v>
      </c>
      <c r="H138" s="6">
        <f ca="1">_xlfn.NORM.INV(RAND(),AVERAGE(Assumptions!$D$9,Assumptions!$F$9),(Assumptions!$F$9-Assumptions!$D$9)/3.29)*21</f>
        <v>2415179.9812441613</v>
      </c>
      <c r="I138" s="9">
        <f ca="1">_xlfn.NORM.INV(RAND(),AVERAGE(Assumptions!$D$10,Assumptions!$F$10),(Assumptions!$F$10-Assumptions!$D$10)/3.29)*21</f>
        <v>1049637.7631440419</v>
      </c>
      <c r="J138" s="12">
        <f ca="1">NORMINV(RAND(),AVERAGE(Assumptions!$D$11,Assumptions!$F$11),(Assumptions!$F$11-Assumptions!$D$11)/3.29)*44</f>
        <v>1871335.7115800579</v>
      </c>
      <c r="K138" s="15">
        <f ca="1">_xlfn.NORM.INV(RAND(),AVERAGE(Assumptions!$D$12,Assumptions!$F$12),(Assumptions!$F$12-Assumptions!$D$12)/3.29)*44</f>
        <v>8626183.6967917662</v>
      </c>
      <c r="L138" s="3">
        <f ca="1">_xlfn.NORM.INV(RAND(),AVERAGE(Assumptions!$D$13,Assumptions!$F$13),(Assumptions!$F$13-Assumptions!$D$13)/3.29)*44</f>
        <v>16234790.187976146</v>
      </c>
      <c r="M138" s="6">
        <f ca="1">_xlfn.NORM.INV(RAND(),AVERAGE(Assumptions!$D$14,Assumptions!$F$14),(Assumptions!$F$14-Assumptions!$D$14)/3.29)*44</f>
        <v>5814140.9758474426</v>
      </c>
      <c r="N138" s="9">
        <f ca="1">_xlfn.NORM.INV(RAND(),AVERAGE(Assumptions!$D$16,Assumptions!$F$16),(Assumptions!$F$16-Assumptions!$D$16)/3.29)*44</f>
        <v>13389133.176964162</v>
      </c>
      <c r="O138" s="12">
        <f ca="1">_xlfn.NORM.INV(RAND(),AVERAGE(Assumptions!$D$15,Assumptions!$F$15),(Assumptions!$F$15-Assumptions!$D$15)/3.29)*44</f>
        <v>116866062.63636321</v>
      </c>
      <c r="P138" s="15">
        <f>Assumptions!$D$18</f>
        <v>14641750.345627395</v>
      </c>
      <c r="Q138" s="3">
        <f t="shared" ca="1" si="4"/>
        <v>56217661.830377206</v>
      </c>
      <c r="R138" s="6">
        <f t="shared" ca="1" si="5"/>
        <v>70859412.176004604</v>
      </c>
    </row>
    <row r="139" spans="1:18">
      <c r="A139" s="20">
        <v>138</v>
      </c>
      <c r="B139" s="3">
        <f ca="1">_xlfn.NORM.INV(RAND(),AVERAGE(Assumptions!$D$4,Assumptions!$F$4),(Assumptions!$F$4-Assumptions!$D$4)/3.29)*44</f>
        <v>1288148.1338355283</v>
      </c>
      <c r="C139" s="6">
        <f ca="1">_xlfn.NORM.INV(RAND(),AVERAGE(Assumptions!$D$5,Assumptions!$F$5),(Assumptions!$F$5-Assumptions!$D$5)/3.29)*44</f>
        <v>1653917.5454699006</v>
      </c>
      <c r="D139" s="9">
        <f ca="1">_xlfn.NORM.INV(RAND(),AVERAGE(Assumptions!$D$6,Assumptions!$F$6),(Assumptions!$F$6-Assumptions!$D$6)/3.29)*RANDBETWEEN(2,5)</f>
        <v>2530413.1965195015</v>
      </c>
      <c r="E139" s="12">
        <f ca="1">_xlfn.NORM.INV(RAND(),AVERAGE(Assumptions!$D$17,Assumptions!$F$17),(Assumptions!$F$17-Assumptions!$D$17)/3.29)*8</f>
        <v>519422.17868377228</v>
      </c>
      <c r="F139" s="15">
        <f ca="1">_xlfn.NORM.INV(RAND(),AVERAGE(Assumptions!$D$7,Assumptions!$F$7),(Assumptions!$F$7-Assumptions!$D$7)/3.29)*RANDBETWEEN(1,3)</f>
        <v>4683923.0788722634</v>
      </c>
      <c r="G139" s="3">
        <f ca="1">_xlfn.NORM.INV(RAND(),AVERAGE(Assumptions!$D$8,Assumptions!$F$8),(Assumptions!$F$8-Assumptions!$D$8)/3.29)*44</f>
        <v>989227.92063838081</v>
      </c>
      <c r="H139" s="6">
        <f ca="1">_xlfn.NORM.INV(RAND(),AVERAGE(Assumptions!$D$9,Assumptions!$F$9),(Assumptions!$F$9-Assumptions!$D$9)/3.29)*21</f>
        <v>2937038.6174543854</v>
      </c>
      <c r="I139" s="9">
        <f ca="1">_xlfn.NORM.INV(RAND(),AVERAGE(Assumptions!$D$10,Assumptions!$F$10),(Assumptions!$F$10-Assumptions!$D$10)/3.29)*21</f>
        <v>700852.85186766286</v>
      </c>
      <c r="J139" s="12">
        <f ca="1">NORMINV(RAND(),AVERAGE(Assumptions!$D$11,Assumptions!$F$11),(Assumptions!$F$11-Assumptions!$D$11)/3.29)*44</f>
        <v>6112565.5171453347</v>
      </c>
      <c r="K139" s="15">
        <f ca="1">_xlfn.NORM.INV(RAND(),AVERAGE(Assumptions!$D$12,Assumptions!$F$12),(Assumptions!$F$12-Assumptions!$D$12)/3.29)*44</f>
        <v>9457842.4422442559</v>
      </c>
      <c r="L139" s="3">
        <f ca="1">_xlfn.NORM.INV(RAND(),AVERAGE(Assumptions!$D$13,Assumptions!$F$13),(Assumptions!$F$13-Assumptions!$D$13)/3.29)*44</f>
        <v>14108267.753527282</v>
      </c>
      <c r="M139" s="6">
        <f ca="1">_xlfn.NORM.INV(RAND(),AVERAGE(Assumptions!$D$14,Assumptions!$F$14),(Assumptions!$F$14-Assumptions!$D$14)/3.29)*44</f>
        <v>5868975.1558363987</v>
      </c>
      <c r="N139" s="9">
        <f ca="1">_xlfn.NORM.INV(RAND(),AVERAGE(Assumptions!$D$16,Assumptions!$F$16),(Assumptions!$F$16-Assumptions!$D$16)/3.29)*44</f>
        <v>4245808.8161671339</v>
      </c>
      <c r="O139" s="12">
        <f ca="1">_xlfn.NORM.INV(RAND(),AVERAGE(Assumptions!$D$15,Assumptions!$F$15),(Assumptions!$F$15-Assumptions!$D$15)/3.29)*44</f>
        <v>100008758.52192999</v>
      </c>
      <c r="P139" s="15">
        <f>Assumptions!$D$18</f>
        <v>14641750.345627395</v>
      </c>
      <c r="Q139" s="3">
        <f t="shared" ca="1" si="4"/>
        <v>44912355.313668199</v>
      </c>
      <c r="R139" s="6">
        <f t="shared" ca="1" si="5"/>
        <v>59554105.659295596</v>
      </c>
    </row>
    <row r="140" spans="1:18">
      <c r="A140" s="20">
        <v>139</v>
      </c>
      <c r="B140" s="3">
        <f ca="1">_xlfn.NORM.INV(RAND(),AVERAGE(Assumptions!$D$4,Assumptions!$F$4),(Assumptions!$F$4-Assumptions!$D$4)/3.29)*44</f>
        <v>1313739.7625668824</v>
      </c>
      <c r="C140" s="6">
        <f ca="1">_xlfn.NORM.INV(RAND(),AVERAGE(Assumptions!$D$5,Assumptions!$F$5),(Assumptions!$F$5-Assumptions!$D$5)/3.29)*44</f>
        <v>1776252.9932020493</v>
      </c>
      <c r="D140" s="9">
        <f ca="1">_xlfn.NORM.INV(RAND(),AVERAGE(Assumptions!$D$6,Assumptions!$F$6),(Assumptions!$F$6-Assumptions!$D$6)/3.29)*RANDBETWEEN(2,5)</f>
        <v>6068893.4932725234</v>
      </c>
      <c r="E140" s="12">
        <f ca="1">_xlfn.NORM.INV(RAND(),AVERAGE(Assumptions!$D$17,Assumptions!$F$17),(Assumptions!$F$17-Assumptions!$D$17)/3.29)*8</f>
        <v>1012069.0983562862</v>
      </c>
      <c r="F140" s="15">
        <f ca="1">_xlfn.NORM.INV(RAND(),AVERAGE(Assumptions!$D$7,Assumptions!$F$7),(Assumptions!$F$7-Assumptions!$D$7)/3.29)*RANDBETWEEN(1,3)</f>
        <v>6455035.260474259</v>
      </c>
      <c r="G140" s="3">
        <f ca="1">_xlfn.NORM.INV(RAND(),AVERAGE(Assumptions!$D$8,Assumptions!$F$8),(Assumptions!$F$8-Assumptions!$D$8)/3.29)*44</f>
        <v>980166.11800517759</v>
      </c>
      <c r="H140" s="6">
        <f ca="1">_xlfn.NORM.INV(RAND(),AVERAGE(Assumptions!$D$9,Assumptions!$F$9),(Assumptions!$F$9-Assumptions!$D$9)/3.29)*21</f>
        <v>3300235.1754602566</v>
      </c>
      <c r="I140" s="9">
        <f ca="1">_xlfn.NORM.INV(RAND(),AVERAGE(Assumptions!$D$10,Assumptions!$F$10),(Assumptions!$F$10-Assumptions!$D$10)/3.29)*21</f>
        <v>1089381.0944825117</v>
      </c>
      <c r="J140" s="12">
        <f ca="1">NORMINV(RAND(),AVERAGE(Assumptions!$D$11,Assumptions!$F$11),(Assumptions!$F$11-Assumptions!$D$11)/3.29)*44</f>
        <v>3491478.3900844892</v>
      </c>
      <c r="K140" s="15">
        <f ca="1">_xlfn.NORM.INV(RAND(),AVERAGE(Assumptions!$D$12,Assumptions!$F$12),(Assumptions!$F$12-Assumptions!$D$12)/3.29)*44</f>
        <v>8457800.2898227517</v>
      </c>
      <c r="L140" s="3">
        <f ca="1">_xlfn.NORM.INV(RAND(),AVERAGE(Assumptions!$D$13,Assumptions!$F$13),(Assumptions!$F$13-Assumptions!$D$13)/3.29)*44</f>
        <v>15768690.903016606</v>
      </c>
      <c r="M140" s="6">
        <f ca="1">_xlfn.NORM.INV(RAND(),AVERAGE(Assumptions!$D$14,Assumptions!$F$14),(Assumptions!$F$14-Assumptions!$D$14)/3.29)*44</f>
        <v>5612921.776489594</v>
      </c>
      <c r="N140" s="9">
        <f ca="1">_xlfn.NORM.INV(RAND(),AVERAGE(Assumptions!$D$16,Assumptions!$F$16),(Assumptions!$F$16-Assumptions!$D$16)/3.29)*44</f>
        <v>6844860.2147277072</v>
      </c>
      <c r="O140" s="12">
        <f ca="1">_xlfn.NORM.INV(RAND(),AVERAGE(Assumptions!$D$15,Assumptions!$F$15),(Assumptions!$F$15-Assumptions!$D$15)/3.29)*44</f>
        <v>111018584.08994693</v>
      </c>
      <c r="P140" s="15">
        <f>Assumptions!$D$18</f>
        <v>14641750.345627395</v>
      </c>
      <c r="Q140" s="3">
        <f t="shared" ca="1" si="4"/>
        <v>48847059.51998584</v>
      </c>
      <c r="R140" s="6">
        <f t="shared" ca="1" si="5"/>
        <v>63488809.865613237</v>
      </c>
    </row>
    <row r="141" spans="1:18">
      <c r="A141" s="20">
        <v>140</v>
      </c>
      <c r="B141" s="3">
        <f ca="1">_xlfn.NORM.INV(RAND(),AVERAGE(Assumptions!$D$4,Assumptions!$F$4),(Assumptions!$F$4-Assumptions!$D$4)/3.29)*44</f>
        <v>1123673.99096112</v>
      </c>
      <c r="C141" s="6">
        <f ca="1">_xlfn.NORM.INV(RAND(),AVERAGE(Assumptions!$D$5,Assumptions!$F$5),(Assumptions!$F$5-Assumptions!$D$5)/3.29)*44</f>
        <v>1532029.3588826028</v>
      </c>
      <c r="D141" s="9">
        <f ca="1">_xlfn.NORM.INV(RAND(),AVERAGE(Assumptions!$D$6,Assumptions!$F$6),(Assumptions!$F$6-Assumptions!$D$6)/3.29)*RANDBETWEEN(2,5)</f>
        <v>6738479.0949414708</v>
      </c>
      <c r="E141" s="12">
        <f ca="1">_xlfn.NORM.INV(RAND(),AVERAGE(Assumptions!$D$17,Assumptions!$F$17),(Assumptions!$F$17-Assumptions!$D$17)/3.29)*8</f>
        <v>743615.71865224373</v>
      </c>
      <c r="F141" s="15">
        <f ca="1">_xlfn.NORM.INV(RAND(),AVERAGE(Assumptions!$D$7,Assumptions!$F$7),(Assumptions!$F$7-Assumptions!$D$7)/3.29)*RANDBETWEEN(1,3)</f>
        <v>8869119.9696694259</v>
      </c>
      <c r="G141" s="3">
        <f ca="1">_xlfn.NORM.INV(RAND(),AVERAGE(Assumptions!$D$8,Assumptions!$F$8),(Assumptions!$F$8-Assumptions!$D$8)/3.29)*44</f>
        <v>1277999.1857324077</v>
      </c>
      <c r="H141" s="6">
        <f ca="1">_xlfn.NORM.INV(RAND(),AVERAGE(Assumptions!$D$9,Assumptions!$F$9),(Assumptions!$F$9-Assumptions!$D$9)/3.29)*21</f>
        <v>6946636.0049539581</v>
      </c>
      <c r="I141" s="9">
        <f ca="1">_xlfn.NORM.INV(RAND(),AVERAGE(Assumptions!$D$10,Assumptions!$F$10),(Assumptions!$F$10-Assumptions!$D$10)/3.29)*21</f>
        <v>1187685.592077883</v>
      </c>
      <c r="J141" s="12">
        <f ca="1">NORMINV(RAND(),AVERAGE(Assumptions!$D$11,Assumptions!$F$11),(Assumptions!$F$11-Assumptions!$D$11)/3.29)*44</f>
        <v>5601966.2866946254</v>
      </c>
      <c r="K141" s="15">
        <f ca="1">_xlfn.NORM.INV(RAND(),AVERAGE(Assumptions!$D$12,Assumptions!$F$12),(Assumptions!$F$12-Assumptions!$D$12)/3.29)*44</f>
        <v>7830088.5895255301</v>
      </c>
      <c r="L141" s="3">
        <f ca="1">_xlfn.NORM.INV(RAND(),AVERAGE(Assumptions!$D$13,Assumptions!$F$13),(Assumptions!$F$13-Assumptions!$D$13)/3.29)*44</f>
        <v>15240565.49875088</v>
      </c>
      <c r="M141" s="6">
        <f ca="1">_xlfn.NORM.INV(RAND(),AVERAGE(Assumptions!$D$14,Assumptions!$F$14),(Assumptions!$F$14-Assumptions!$D$14)/3.29)*44</f>
        <v>7869271.2372595537</v>
      </c>
      <c r="N141" s="9">
        <f ca="1">_xlfn.NORM.INV(RAND(),AVERAGE(Assumptions!$D$16,Assumptions!$F$16),(Assumptions!$F$16-Assumptions!$D$16)/3.29)*44</f>
        <v>14134656.807467062</v>
      </c>
      <c r="O141" s="12">
        <f ca="1">_xlfn.NORM.INV(RAND(),AVERAGE(Assumptions!$D$15,Assumptions!$F$15),(Assumptions!$F$15-Assumptions!$D$15)/3.29)*44</f>
        <v>48798130.232025839</v>
      </c>
      <c r="P141" s="15">
        <f>Assumptions!$D$18</f>
        <v>14641750.345627395</v>
      </c>
      <c r="Q141" s="3">
        <f t="shared" ca="1" si="4"/>
        <v>-30297657.103542916</v>
      </c>
      <c r="R141" s="6">
        <f t="shared" ca="1" si="5"/>
        <v>-15655906.757915521</v>
      </c>
    </row>
    <row r="142" spans="1:18">
      <c r="A142" s="20">
        <v>141</v>
      </c>
      <c r="B142" s="3">
        <f ca="1">_xlfn.NORM.INV(RAND(),AVERAGE(Assumptions!$D$4,Assumptions!$F$4),(Assumptions!$F$4-Assumptions!$D$4)/3.29)*44</f>
        <v>1196156.5323978544</v>
      </c>
      <c r="C142" s="6">
        <f ca="1">_xlfn.NORM.INV(RAND(),AVERAGE(Assumptions!$D$5,Assumptions!$F$5),(Assumptions!$F$5-Assumptions!$D$5)/3.29)*44</f>
        <v>1958267.1390817654</v>
      </c>
      <c r="D142" s="9">
        <f ca="1">_xlfn.NORM.INV(RAND(),AVERAGE(Assumptions!$D$6,Assumptions!$F$6),(Assumptions!$F$6-Assumptions!$D$6)/3.29)*RANDBETWEEN(2,5)</f>
        <v>1320649.1976343645</v>
      </c>
      <c r="E142" s="12">
        <f ca="1">_xlfn.NORM.INV(RAND(),AVERAGE(Assumptions!$D$17,Assumptions!$F$17),(Assumptions!$F$17-Assumptions!$D$17)/3.29)*8</f>
        <v>831475.56860920752</v>
      </c>
      <c r="F142" s="15">
        <f ca="1">_xlfn.NORM.INV(RAND(),AVERAGE(Assumptions!$D$7,Assumptions!$F$7),(Assumptions!$F$7-Assumptions!$D$7)/3.29)*RANDBETWEEN(1,3)</f>
        <v>4706264.5607028576</v>
      </c>
      <c r="G142" s="3">
        <f ca="1">_xlfn.NORM.INV(RAND(),AVERAGE(Assumptions!$D$8,Assumptions!$F$8),(Assumptions!$F$8-Assumptions!$D$8)/3.29)*44</f>
        <v>1178634.4645999961</v>
      </c>
      <c r="H142" s="6">
        <f ca="1">_xlfn.NORM.INV(RAND(),AVERAGE(Assumptions!$D$9,Assumptions!$F$9),(Assumptions!$F$9-Assumptions!$D$9)/3.29)*21</f>
        <v>4945378.3032309487</v>
      </c>
      <c r="I142" s="9">
        <f ca="1">_xlfn.NORM.INV(RAND(),AVERAGE(Assumptions!$D$10,Assumptions!$F$10),(Assumptions!$F$10-Assumptions!$D$10)/3.29)*21</f>
        <v>895915.36497451132</v>
      </c>
      <c r="J142" s="12">
        <f ca="1">NORMINV(RAND(),AVERAGE(Assumptions!$D$11,Assumptions!$F$11),(Assumptions!$F$11-Assumptions!$D$11)/3.29)*44</f>
        <v>4560308.4885266395</v>
      </c>
      <c r="K142" s="15">
        <f ca="1">_xlfn.NORM.INV(RAND(),AVERAGE(Assumptions!$D$12,Assumptions!$F$12),(Assumptions!$F$12-Assumptions!$D$12)/3.29)*44</f>
        <v>8228545.0041886419</v>
      </c>
      <c r="L142" s="3">
        <f ca="1">_xlfn.NORM.INV(RAND(),AVERAGE(Assumptions!$D$13,Assumptions!$F$13),(Assumptions!$F$13-Assumptions!$D$13)/3.29)*44</f>
        <v>15960457.031141868</v>
      </c>
      <c r="M142" s="6">
        <f ca="1">_xlfn.NORM.INV(RAND(),AVERAGE(Assumptions!$D$14,Assumptions!$F$14),(Assumptions!$F$14-Assumptions!$D$14)/3.29)*44</f>
        <v>5193382.8560122102</v>
      </c>
      <c r="N142" s="9">
        <f ca="1">_xlfn.NORM.INV(RAND(),AVERAGE(Assumptions!$D$16,Assumptions!$F$16),(Assumptions!$F$16-Assumptions!$D$16)/3.29)*44</f>
        <v>6214035.0957360845</v>
      </c>
      <c r="O142" s="12">
        <f ca="1">_xlfn.NORM.INV(RAND(),AVERAGE(Assumptions!$D$15,Assumptions!$F$15),(Assumptions!$F$15-Assumptions!$D$15)/3.29)*44</f>
        <v>47053598.500139564</v>
      </c>
      <c r="P142" s="15">
        <f>Assumptions!$D$18</f>
        <v>14641750.345627395</v>
      </c>
      <c r="Q142" s="3">
        <f t="shared" ca="1" si="4"/>
        <v>-10135871.106697388</v>
      </c>
      <c r="R142" s="6">
        <f t="shared" ca="1" si="5"/>
        <v>4505879.2389300074</v>
      </c>
    </row>
    <row r="143" spans="1:18">
      <c r="A143" s="20">
        <v>142</v>
      </c>
      <c r="B143" s="3">
        <f ca="1">_xlfn.NORM.INV(RAND(),AVERAGE(Assumptions!$D$4,Assumptions!$F$4),(Assumptions!$F$4-Assumptions!$D$4)/3.29)*44</f>
        <v>1209002.2220299807</v>
      </c>
      <c r="C143" s="6">
        <f ca="1">_xlfn.NORM.INV(RAND(),AVERAGE(Assumptions!$D$5,Assumptions!$F$5),(Assumptions!$F$5-Assumptions!$D$5)/3.29)*44</f>
        <v>1879965.1546857231</v>
      </c>
      <c r="D143" s="9">
        <f ca="1">_xlfn.NORM.INV(RAND(),AVERAGE(Assumptions!$D$6,Assumptions!$F$6),(Assumptions!$F$6-Assumptions!$D$6)/3.29)*RANDBETWEEN(2,5)</f>
        <v>1265678.3453581037</v>
      </c>
      <c r="E143" s="12">
        <f ca="1">_xlfn.NORM.INV(RAND(),AVERAGE(Assumptions!$D$17,Assumptions!$F$17),(Assumptions!$F$17-Assumptions!$D$17)/3.29)*8</f>
        <v>779669.32305616059</v>
      </c>
      <c r="F143" s="15">
        <f ca="1">_xlfn.NORM.INV(RAND(),AVERAGE(Assumptions!$D$7,Assumptions!$F$7),(Assumptions!$F$7-Assumptions!$D$7)/3.29)*RANDBETWEEN(1,3)</f>
        <v>8852595.7209590692</v>
      </c>
      <c r="G143" s="3">
        <f ca="1">_xlfn.NORM.INV(RAND(),AVERAGE(Assumptions!$D$8,Assumptions!$F$8),(Assumptions!$F$8-Assumptions!$D$8)/3.29)*44</f>
        <v>1349111.5240045281</v>
      </c>
      <c r="H143" s="6">
        <f ca="1">_xlfn.NORM.INV(RAND(),AVERAGE(Assumptions!$D$9,Assumptions!$F$9),(Assumptions!$F$9-Assumptions!$D$9)/3.29)*21</f>
        <v>5192152.3064658698</v>
      </c>
      <c r="I143" s="9">
        <f ca="1">_xlfn.NORM.INV(RAND(),AVERAGE(Assumptions!$D$10,Assumptions!$F$10),(Assumptions!$F$10-Assumptions!$D$10)/3.29)*21</f>
        <v>1299272.8445710151</v>
      </c>
      <c r="J143" s="12">
        <f ca="1">NORMINV(RAND(),AVERAGE(Assumptions!$D$11,Assumptions!$F$11),(Assumptions!$F$11-Assumptions!$D$11)/3.29)*44</f>
        <v>4206332.898916685</v>
      </c>
      <c r="K143" s="15">
        <f ca="1">_xlfn.NORM.INV(RAND(),AVERAGE(Assumptions!$D$12,Assumptions!$F$12),(Assumptions!$F$12-Assumptions!$D$12)/3.29)*44</f>
        <v>8435732.5466910843</v>
      </c>
      <c r="L143" s="3">
        <f ca="1">_xlfn.NORM.INV(RAND(),AVERAGE(Assumptions!$D$13,Assumptions!$F$13),(Assumptions!$F$13-Assumptions!$D$13)/3.29)*44</f>
        <v>19177938.266590513</v>
      </c>
      <c r="M143" s="6">
        <f ca="1">_xlfn.NORM.INV(RAND(),AVERAGE(Assumptions!$D$14,Assumptions!$F$14),(Assumptions!$F$14-Assumptions!$D$14)/3.29)*44</f>
        <v>7396709.7560684253</v>
      </c>
      <c r="N143" s="9">
        <f ca="1">_xlfn.NORM.INV(RAND(),AVERAGE(Assumptions!$D$16,Assumptions!$F$16),(Assumptions!$F$16-Assumptions!$D$16)/3.29)*44</f>
        <v>6798659.1212892886</v>
      </c>
      <c r="O143" s="12">
        <f ca="1">_xlfn.NORM.INV(RAND(),AVERAGE(Assumptions!$D$15,Assumptions!$F$15),(Assumptions!$F$15-Assumptions!$D$15)/3.29)*44</f>
        <v>186513763.46797436</v>
      </c>
      <c r="P143" s="15">
        <f>Assumptions!$D$18</f>
        <v>14641750.345627395</v>
      </c>
      <c r="Q143" s="3">
        <f t="shared" ca="1" si="4"/>
        <v>118670943.43728793</v>
      </c>
      <c r="R143" s="6">
        <f t="shared" ca="1" si="5"/>
        <v>133312693.78291532</v>
      </c>
    </row>
    <row r="144" spans="1:18">
      <c r="A144" s="20">
        <v>143</v>
      </c>
      <c r="B144" s="3">
        <f ca="1">_xlfn.NORM.INV(RAND(),AVERAGE(Assumptions!$D$4,Assumptions!$F$4),(Assumptions!$F$4-Assumptions!$D$4)/3.29)*44</f>
        <v>1187528.2018617792</v>
      </c>
      <c r="C144" s="6">
        <f ca="1">_xlfn.NORM.INV(RAND(),AVERAGE(Assumptions!$D$5,Assumptions!$F$5),(Assumptions!$F$5-Assumptions!$D$5)/3.29)*44</f>
        <v>1919701.1961509255</v>
      </c>
      <c r="D144" s="9">
        <f ca="1">_xlfn.NORM.INV(RAND(),AVERAGE(Assumptions!$D$6,Assumptions!$F$6),(Assumptions!$F$6-Assumptions!$D$6)/3.29)*RANDBETWEEN(2,5)</f>
        <v>2148754.6871929485</v>
      </c>
      <c r="E144" s="12">
        <f ca="1">_xlfn.NORM.INV(RAND(),AVERAGE(Assumptions!$D$17,Assumptions!$F$17),(Assumptions!$F$17-Assumptions!$D$17)/3.29)*8</f>
        <v>1026557.5039612268</v>
      </c>
      <c r="F144" s="15">
        <f ca="1">_xlfn.NORM.INV(RAND(),AVERAGE(Assumptions!$D$7,Assumptions!$F$7),(Assumptions!$F$7-Assumptions!$D$7)/3.29)*RANDBETWEEN(1,3)</f>
        <v>7025996.6121393498</v>
      </c>
      <c r="G144" s="3">
        <f ca="1">_xlfn.NORM.INV(RAND(),AVERAGE(Assumptions!$D$8,Assumptions!$F$8),(Assumptions!$F$8-Assumptions!$D$8)/3.29)*44</f>
        <v>1460388.7935524164</v>
      </c>
      <c r="H144" s="6">
        <f ca="1">_xlfn.NORM.INV(RAND(),AVERAGE(Assumptions!$D$9,Assumptions!$F$9),(Assumptions!$F$9-Assumptions!$D$9)/3.29)*21</f>
        <v>2007404.4391879181</v>
      </c>
      <c r="I144" s="9">
        <f ca="1">_xlfn.NORM.INV(RAND(),AVERAGE(Assumptions!$D$10,Assumptions!$F$10),(Assumptions!$F$10-Assumptions!$D$10)/3.29)*21</f>
        <v>795432.20097633917</v>
      </c>
      <c r="J144" s="12">
        <f ca="1">NORMINV(RAND(),AVERAGE(Assumptions!$D$11,Assumptions!$F$11),(Assumptions!$F$11-Assumptions!$D$11)/3.29)*44</f>
        <v>1730420.2480155686</v>
      </c>
      <c r="K144" s="15">
        <f ca="1">_xlfn.NORM.INV(RAND(),AVERAGE(Assumptions!$D$12,Assumptions!$F$12),(Assumptions!$F$12-Assumptions!$D$12)/3.29)*44</f>
        <v>6871925.7339077676</v>
      </c>
      <c r="L144" s="3">
        <f ca="1">_xlfn.NORM.INV(RAND(),AVERAGE(Assumptions!$D$13,Assumptions!$F$13),(Assumptions!$F$13-Assumptions!$D$13)/3.29)*44</f>
        <v>22912797.328031063</v>
      </c>
      <c r="M144" s="6">
        <f ca="1">_xlfn.NORM.INV(RAND(),AVERAGE(Assumptions!$D$14,Assumptions!$F$14),(Assumptions!$F$14-Assumptions!$D$14)/3.29)*44</f>
        <v>6059040.2643028665</v>
      </c>
      <c r="N144" s="9">
        <f ca="1">_xlfn.NORM.INV(RAND(),AVERAGE(Assumptions!$D$16,Assumptions!$F$16),(Assumptions!$F$16-Assumptions!$D$16)/3.29)*44</f>
        <v>1910622.2862737027</v>
      </c>
      <c r="O144" s="12">
        <f ca="1">_xlfn.NORM.INV(RAND(),AVERAGE(Assumptions!$D$15,Assumptions!$F$15),(Assumptions!$F$15-Assumptions!$D$15)/3.29)*44</f>
        <v>236055843.15711078</v>
      </c>
      <c r="P144" s="15">
        <f>Assumptions!$D$18</f>
        <v>14641750.345627395</v>
      </c>
      <c r="Q144" s="3">
        <f t="shared" ca="1" si="4"/>
        <v>178999273.6615569</v>
      </c>
      <c r="R144" s="6">
        <f t="shared" ca="1" si="5"/>
        <v>193641024.0071843</v>
      </c>
    </row>
    <row r="145" spans="1:18">
      <c r="A145" s="20">
        <v>144</v>
      </c>
      <c r="B145" s="3">
        <f ca="1">_xlfn.NORM.INV(RAND(),AVERAGE(Assumptions!$D$4,Assumptions!$F$4),(Assumptions!$F$4-Assumptions!$D$4)/3.29)*44</f>
        <v>1155249.7068090839</v>
      </c>
      <c r="C145" s="6">
        <f ca="1">_xlfn.NORM.INV(RAND(),AVERAGE(Assumptions!$D$5,Assumptions!$F$5),(Assumptions!$F$5-Assumptions!$D$5)/3.29)*44</f>
        <v>1937921.9348556369</v>
      </c>
      <c r="D145" s="9">
        <f ca="1">_xlfn.NORM.INV(RAND(),AVERAGE(Assumptions!$D$6,Assumptions!$F$6),(Assumptions!$F$6-Assumptions!$D$6)/3.29)*RANDBETWEEN(2,5)</f>
        <v>9668503.8523588777</v>
      </c>
      <c r="E145" s="12">
        <f ca="1">_xlfn.NORM.INV(RAND(),AVERAGE(Assumptions!$D$17,Assumptions!$F$17),(Assumptions!$F$17-Assumptions!$D$17)/3.29)*8</f>
        <v>1029086.9969433727</v>
      </c>
      <c r="F145" s="15">
        <f ca="1">_xlfn.NORM.INV(RAND(),AVERAGE(Assumptions!$D$7,Assumptions!$F$7),(Assumptions!$F$7-Assumptions!$D$7)/3.29)*RANDBETWEEN(1,3)</f>
        <v>7198020.1331687523</v>
      </c>
      <c r="G145" s="3">
        <f ca="1">_xlfn.NORM.INV(RAND(),AVERAGE(Assumptions!$D$8,Assumptions!$F$8),(Assumptions!$F$8-Assumptions!$D$8)/3.29)*44</f>
        <v>1027771.7955287063</v>
      </c>
      <c r="H145" s="6">
        <f ca="1">_xlfn.NORM.INV(RAND(),AVERAGE(Assumptions!$D$9,Assumptions!$F$9),(Assumptions!$F$9-Assumptions!$D$9)/3.29)*21</f>
        <v>3591144.1843708921</v>
      </c>
      <c r="I145" s="9">
        <f ca="1">_xlfn.NORM.INV(RAND(),AVERAGE(Assumptions!$D$10,Assumptions!$F$10),(Assumptions!$F$10-Assumptions!$D$10)/3.29)*21</f>
        <v>801644.17493724695</v>
      </c>
      <c r="J145" s="12">
        <f ca="1">NORMINV(RAND(),AVERAGE(Assumptions!$D$11,Assumptions!$F$11),(Assumptions!$F$11-Assumptions!$D$11)/3.29)*44</f>
        <v>1365836.9133261261</v>
      </c>
      <c r="K145" s="15">
        <f ca="1">_xlfn.NORM.INV(RAND(),AVERAGE(Assumptions!$D$12,Assumptions!$F$12),(Assumptions!$F$12-Assumptions!$D$12)/3.29)*44</f>
        <v>9685945.8720746301</v>
      </c>
      <c r="L145" s="3">
        <f ca="1">_xlfn.NORM.INV(RAND(),AVERAGE(Assumptions!$D$13,Assumptions!$F$13),(Assumptions!$F$13-Assumptions!$D$13)/3.29)*44</f>
        <v>20682289.635492463</v>
      </c>
      <c r="M145" s="6">
        <f ca="1">_xlfn.NORM.INV(RAND(),AVERAGE(Assumptions!$D$14,Assumptions!$F$14),(Assumptions!$F$14-Assumptions!$D$14)/3.29)*44</f>
        <v>5591934.4277252005</v>
      </c>
      <c r="N145" s="9">
        <f ca="1">_xlfn.NORM.INV(RAND(),AVERAGE(Assumptions!$D$16,Assumptions!$F$16),(Assumptions!$F$16-Assumptions!$D$16)/3.29)*44</f>
        <v>8326188.7089268938</v>
      </c>
      <c r="O145" s="12">
        <f ca="1">_xlfn.NORM.INV(RAND(),AVERAGE(Assumptions!$D$15,Assumptions!$F$15),(Assumptions!$F$15-Assumptions!$D$15)/3.29)*44</f>
        <v>88518026.575263768</v>
      </c>
      <c r="P145" s="15">
        <f>Assumptions!$D$18</f>
        <v>14641750.345627395</v>
      </c>
      <c r="Q145" s="3">
        <f t="shared" ca="1" si="4"/>
        <v>16456488.238745883</v>
      </c>
      <c r="R145" s="6">
        <f t="shared" ca="1" si="5"/>
        <v>31098238.58437328</v>
      </c>
    </row>
    <row r="146" spans="1:18">
      <c r="A146" s="20">
        <v>145</v>
      </c>
      <c r="B146" s="3">
        <f ca="1">_xlfn.NORM.INV(RAND(),AVERAGE(Assumptions!$D$4,Assumptions!$F$4),(Assumptions!$F$4-Assumptions!$D$4)/3.29)*44</f>
        <v>1272902.5397570098</v>
      </c>
      <c r="C146" s="6">
        <f ca="1">_xlfn.NORM.INV(RAND(),AVERAGE(Assumptions!$D$5,Assumptions!$F$5),(Assumptions!$F$5-Assumptions!$D$5)/3.29)*44</f>
        <v>1608192.9348037445</v>
      </c>
      <c r="D146" s="9">
        <f ca="1">_xlfn.NORM.INV(RAND(),AVERAGE(Assumptions!$D$6,Assumptions!$F$6),(Assumptions!$F$6-Assumptions!$D$6)/3.29)*RANDBETWEEN(2,5)</f>
        <v>6768949.6528023286</v>
      </c>
      <c r="E146" s="12">
        <f ca="1">_xlfn.NORM.INV(RAND(),AVERAGE(Assumptions!$D$17,Assumptions!$F$17),(Assumptions!$F$17-Assumptions!$D$17)/3.29)*8</f>
        <v>1090040.8215660015</v>
      </c>
      <c r="F146" s="15">
        <f ca="1">_xlfn.NORM.INV(RAND(),AVERAGE(Assumptions!$D$7,Assumptions!$F$7),(Assumptions!$F$7-Assumptions!$D$7)/3.29)*RANDBETWEEN(1,3)</f>
        <v>2800486.7627875395</v>
      </c>
      <c r="G146" s="3">
        <f ca="1">_xlfn.NORM.INV(RAND(),AVERAGE(Assumptions!$D$8,Assumptions!$F$8),(Assumptions!$F$8-Assumptions!$D$8)/3.29)*44</f>
        <v>1427711.3366434237</v>
      </c>
      <c r="H146" s="6">
        <f ca="1">_xlfn.NORM.INV(RAND(),AVERAGE(Assumptions!$D$9,Assumptions!$F$9),(Assumptions!$F$9-Assumptions!$D$9)/3.29)*21</f>
        <v>4719649.2483362705</v>
      </c>
      <c r="I146" s="9">
        <f ca="1">_xlfn.NORM.INV(RAND(),AVERAGE(Assumptions!$D$10,Assumptions!$F$10),(Assumptions!$F$10-Assumptions!$D$10)/3.29)*21</f>
        <v>680349.30248739349</v>
      </c>
      <c r="J146" s="12">
        <f ca="1">NORMINV(RAND(),AVERAGE(Assumptions!$D$11,Assumptions!$F$11),(Assumptions!$F$11-Assumptions!$D$11)/3.29)*44</f>
        <v>4763178.682266538</v>
      </c>
      <c r="K146" s="15">
        <f ca="1">_xlfn.NORM.INV(RAND(),AVERAGE(Assumptions!$D$12,Assumptions!$F$12),(Assumptions!$F$12-Assumptions!$D$12)/3.29)*44</f>
        <v>9957147.0235852245</v>
      </c>
      <c r="L146" s="3">
        <f ca="1">_xlfn.NORM.INV(RAND(),AVERAGE(Assumptions!$D$13,Assumptions!$F$13),(Assumptions!$F$13-Assumptions!$D$13)/3.29)*44</f>
        <v>13567846.587508874</v>
      </c>
      <c r="M146" s="6">
        <f ca="1">_xlfn.NORM.INV(RAND(),AVERAGE(Assumptions!$D$14,Assumptions!$F$14),(Assumptions!$F$14-Assumptions!$D$14)/3.29)*44</f>
        <v>7301667.4660888081</v>
      </c>
      <c r="N146" s="9">
        <f ca="1">_xlfn.NORM.INV(RAND(),AVERAGE(Assumptions!$D$16,Assumptions!$F$16),(Assumptions!$F$16-Assumptions!$D$16)/3.29)*44</f>
        <v>15379202.47138191</v>
      </c>
      <c r="O146" s="12">
        <f ca="1">_xlfn.NORM.INV(RAND(),AVERAGE(Assumptions!$D$15,Assumptions!$F$15),(Assumptions!$F$15-Assumptions!$D$15)/3.29)*44</f>
        <v>104521288.27696984</v>
      </c>
      <c r="P146" s="15">
        <f>Assumptions!$D$18</f>
        <v>14641750.345627395</v>
      </c>
      <c r="Q146" s="3">
        <f t="shared" ca="1" si="4"/>
        <v>33183963.446954772</v>
      </c>
      <c r="R146" s="6">
        <f t="shared" ca="1" si="5"/>
        <v>47825713.792582169</v>
      </c>
    </row>
    <row r="147" spans="1:18">
      <c r="A147" s="20">
        <v>146</v>
      </c>
      <c r="B147" s="3">
        <f ca="1">_xlfn.NORM.INV(RAND(),AVERAGE(Assumptions!$D$4,Assumptions!$F$4),(Assumptions!$F$4-Assumptions!$D$4)/3.29)*44</f>
        <v>1176249.3043803677</v>
      </c>
      <c r="C147" s="6">
        <f ca="1">_xlfn.NORM.INV(RAND(),AVERAGE(Assumptions!$D$5,Assumptions!$F$5),(Assumptions!$F$5-Assumptions!$D$5)/3.29)*44</f>
        <v>1753783.4918749125</v>
      </c>
      <c r="D147" s="9">
        <f ca="1">_xlfn.NORM.INV(RAND(),AVERAGE(Assumptions!$D$6,Assumptions!$F$6),(Assumptions!$F$6-Assumptions!$D$6)/3.29)*RANDBETWEEN(2,5)</f>
        <v>7951861.9929555859</v>
      </c>
      <c r="E147" s="12">
        <f ca="1">_xlfn.NORM.INV(RAND(),AVERAGE(Assumptions!$D$17,Assumptions!$F$17),(Assumptions!$F$17-Assumptions!$D$17)/3.29)*8</f>
        <v>942922.92342798307</v>
      </c>
      <c r="F147" s="15">
        <f ca="1">_xlfn.NORM.INV(RAND(),AVERAGE(Assumptions!$D$7,Assumptions!$F$7),(Assumptions!$F$7-Assumptions!$D$7)/3.29)*RANDBETWEEN(1,3)</f>
        <v>3197962.9216149366</v>
      </c>
      <c r="G147" s="3">
        <f ca="1">_xlfn.NORM.INV(RAND(),AVERAGE(Assumptions!$D$8,Assumptions!$F$8),(Assumptions!$F$8-Assumptions!$D$8)/3.29)*44</f>
        <v>1221463.5982428882</v>
      </c>
      <c r="H147" s="6">
        <f ca="1">_xlfn.NORM.INV(RAND(),AVERAGE(Assumptions!$D$9,Assumptions!$F$9),(Assumptions!$F$9-Assumptions!$D$9)/3.29)*21</f>
        <v>5548091.2585418317</v>
      </c>
      <c r="I147" s="9">
        <f ca="1">_xlfn.NORM.INV(RAND(),AVERAGE(Assumptions!$D$10,Assumptions!$F$10),(Assumptions!$F$10-Assumptions!$D$10)/3.29)*21</f>
        <v>1346882.7005772754</v>
      </c>
      <c r="J147" s="12">
        <f ca="1">NORMINV(RAND(),AVERAGE(Assumptions!$D$11,Assumptions!$F$11),(Assumptions!$F$11-Assumptions!$D$11)/3.29)*44</f>
        <v>3699245.342333958</v>
      </c>
      <c r="K147" s="15">
        <f ca="1">_xlfn.NORM.INV(RAND(),AVERAGE(Assumptions!$D$12,Assumptions!$F$12),(Assumptions!$F$12-Assumptions!$D$12)/3.29)*44</f>
        <v>9137700.337737849</v>
      </c>
      <c r="L147" s="3">
        <f ca="1">_xlfn.NORM.INV(RAND(),AVERAGE(Assumptions!$D$13,Assumptions!$F$13),(Assumptions!$F$13-Assumptions!$D$13)/3.29)*44</f>
        <v>18304423.075209733</v>
      </c>
      <c r="M147" s="6">
        <f ca="1">_xlfn.NORM.INV(RAND(),AVERAGE(Assumptions!$D$14,Assumptions!$F$14),(Assumptions!$F$14-Assumptions!$D$14)/3.29)*44</f>
        <v>5676778.0995628983</v>
      </c>
      <c r="N147" s="9">
        <f ca="1">_xlfn.NORM.INV(RAND(),AVERAGE(Assumptions!$D$16,Assumptions!$F$16),(Assumptions!$F$16-Assumptions!$D$16)/3.29)*44</f>
        <v>12463604.765311236</v>
      </c>
      <c r="O147" s="12">
        <f ca="1">_xlfn.NORM.INV(RAND(),AVERAGE(Assumptions!$D$15,Assumptions!$F$15),(Assumptions!$F$15-Assumptions!$D$15)/3.29)*44</f>
        <v>106754648.47358575</v>
      </c>
      <c r="P147" s="15">
        <f>Assumptions!$D$18</f>
        <v>14641750.345627395</v>
      </c>
      <c r="Q147" s="3">
        <f t="shared" ca="1" si="4"/>
        <v>34333678.661814287</v>
      </c>
      <c r="R147" s="6">
        <f t="shared" ca="1" si="5"/>
        <v>48975429.007441685</v>
      </c>
    </row>
    <row r="148" spans="1:18">
      <c r="A148" s="20">
        <v>147</v>
      </c>
      <c r="B148" s="3">
        <f ca="1">_xlfn.NORM.INV(RAND(),AVERAGE(Assumptions!$D$4,Assumptions!$F$4),(Assumptions!$F$4-Assumptions!$D$4)/3.29)*44</f>
        <v>1118921.5308618918</v>
      </c>
      <c r="C148" s="6">
        <f ca="1">_xlfn.NORM.INV(RAND(),AVERAGE(Assumptions!$D$5,Assumptions!$F$5),(Assumptions!$F$5-Assumptions!$D$5)/3.29)*44</f>
        <v>1827443.4414459756</v>
      </c>
      <c r="D148" s="9">
        <f ca="1">_xlfn.NORM.INV(RAND(),AVERAGE(Assumptions!$D$6,Assumptions!$F$6),(Assumptions!$F$6-Assumptions!$D$6)/3.29)*RANDBETWEEN(2,5)</f>
        <v>2876429.144064507</v>
      </c>
      <c r="E148" s="12">
        <f ca="1">_xlfn.NORM.INV(RAND(),AVERAGE(Assumptions!$D$17,Assumptions!$F$17),(Assumptions!$F$17-Assumptions!$D$17)/3.29)*8</f>
        <v>868953.92188059504</v>
      </c>
      <c r="F148" s="15">
        <f ca="1">_xlfn.NORM.INV(RAND(),AVERAGE(Assumptions!$D$7,Assumptions!$F$7),(Assumptions!$F$7-Assumptions!$D$7)/3.29)*RANDBETWEEN(1,3)</f>
        <v>7649319.0374887064</v>
      </c>
      <c r="G148" s="3">
        <f ca="1">_xlfn.NORM.INV(RAND(),AVERAGE(Assumptions!$D$8,Assumptions!$F$8),(Assumptions!$F$8-Assumptions!$D$8)/3.29)*44</f>
        <v>1331786.0323428044</v>
      </c>
      <c r="H148" s="6">
        <f ca="1">_xlfn.NORM.INV(RAND(),AVERAGE(Assumptions!$D$9,Assumptions!$F$9),(Assumptions!$F$9-Assumptions!$D$9)/3.29)*21</f>
        <v>6327221.3674459746</v>
      </c>
      <c r="I148" s="9">
        <f ca="1">_xlfn.NORM.INV(RAND(),AVERAGE(Assumptions!$D$10,Assumptions!$F$10),(Assumptions!$F$10-Assumptions!$D$10)/3.29)*21</f>
        <v>999966.49332011212</v>
      </c>
      <c r="J148" s="12">
        <f ca="1">NORMINV(RAND(),AVERAGE(Assumptions!$D$11,Assumptions!$F$11),(Assumptions!$F$11-Assumptions!$D$11)/3.29)*44</f>
        <v>3652515.8627072475</v>
      </c>
      <c r="K148" s="15">
        <f ca="1">_xlfn.NORM.INV(RAND(),AVERAGE(Assumptions!$D$12,Assumptions!$F$12),(Assumptions!$F$12-Assumptions!$D$12)/3.29)*44</f>
        <v>6173495.7664635666</v>
      </c>
      <c r="L148" s="3">
        <f ca="1">_xlfn.NORM.INV(RAND(),AVERAGE(Assumptions!$D$13,Assumptions!$F$13),(Assumptions!$F$13-Assumptions!$D$13)/3.29)*44</f>
        <v>14489087.228216901</v>
      </c>
      <c r="M148" s="6">
        <f ca="1">_xlfn.NORM.INV(RAND(),AVERAGE(Assumptions!$D$14,Assumptions!$F$14),(Assumptions!$F$14-Assumptions!$D$14)/3.29)*44</f>
        <v>4826005.1905995328</v>
      </c>
      <c r="N148" s="9">
        <f ca="1">_xlfn.NORM.INV(RAND(),AVERAGE(Assumptions!$D$16,Assumptions!$F$16),(Assumptions!$F$16-Assumptions!$D$16)/3.29)*44</f>
        <v>9229742.3644258585</v>
      </c>
      <c r="O148" s="12">
        <f ca="1">_xlfn.NORM.INV(RAND(),AVERAGE(Assumptions!$D$15,Assumptions!$F$15),(Assumptions!$F$15-Assumptions!$D$15)/3.29)*44</f>
        <v>95252798.151956365</v>
      </c>
      <c r="P148" s="15">
        <f>Assumptions!$D$18</f>
        <v>14641750.345627395</v>
      </c>
      <c r="Q148" s="3">
        <f t="shared" ca="1" si="4"/>
        <v>33881910.770692691</v>
      </c>
      <c r="R148" s="6">
        <f t="shared" ca="1" si="5"/>
        <v>48523661.116320089</v>
      </c>
    </row>
    <row r="149" spans="1:18">
      <c r="A149" s="20">
        <v>148</v>
      </c>
      <c r="B149" s="3">
        <f ca="1">_xlfn.NORM.INV(RAND(),AVERAGE(Assumptions!$D$4,Assumptions!$F$4),(Assumptions!$F$4-Assumptions!$D$4)/3.29)*44</f>
        <v>1200374.6138571859</v>
      </c>
      <c r="C149" s="6">
        <f ca="1">_xlfn.NORM.INV(RAND(),AVERAGE(Assumptions!$D$5,Assumptions!$F$5),(Assumptions!$F$5-Assumptions!$D$5)/3.29)*44</f>
        <v>1862268.5076363662</v>
      </c>
      <c r="D149" s="9">
        <f ca="1">_xlfn.NORM.INV(RAND(),AVERAGE(Assumptions!$D$6,Assumptions!$F$6),(Assumptions!$F$6-Assumptions!$D$6)/3.29)*RANDBETWEEN(2,5)</f>
        <v>6699713.4054119326</v>
      </c>
      <c r="E149" s="12">
        <f ca="1">_xlfn.NORM.INV(RAND(),AVERAGE(Assumptions!$D$17,Assumptions!$F$17),(Assumptions!$F$17-Assumptions!$D$17)/3.29)*8</f>
        <v>947151.97958169994</v>
      </c>
      <c r="F149" s="15">
        <f ca="1">_xlfn.NORM.INV(RAND(),AVERAGE(Assumptions!$D$7,Assumptions!$F$7),(Assumptions!$F$7-Assumptions!$D$7)/3.29)*RANDBETWEEN(1,3)</f>
        <v>3705977.5964070819</v>
      </c>
      <c r="G149" s="3">
        <f ca="1">_xlfn.NORM.INV(RAND(),AVERAGE(Assumptions!$D$8,Assumptions!$F$8),(Assumptions!$F$8-Assumptions!$D$8)/3.29)*44</f>
        <v>1161613.0504713091</v>
      </c>
      <c r="H149" s="6">
        <f ca="1">_xlfn.NORM.INV(RAND(),AVERAGE(Assumptions!$D$9,Assumptions!$F$9),(Assumptions!$F$9-Assumptions!$D$9)/3.29)*21</f>
        <v>4576099.6221547127</v>
      </c>
      <c r="I149" s="9">
        <f ca="1">_xlfn.NORM.INV(RAND(),AVERAGE(Assumptions!$D$10,Assumptions!$F$10),(Assumptions!$F$10-Assumptions!$D$10)/3.29)*21</f>
        <v>1010666.4160712548</v>
      </c>
      <c r="J149" s="12">
        <f ca="1">NORMINV(RAND(),AVERAGE(Assumptions!$D$11,Assumptions!$F$11),(Assumptions!$F$11-Assumptions!$D$11)/3.29)*44</f>
        <v>1480328.0376181323</v>
      </c>
      <c r="K149" s="15">
        <f ca="1">_xlfn.NORM.INV(RAND(),AVERAGE(Assumptions!$D$12,Assumptions!$F$12),(Assumptions!$F$12-Assumptions!$D$12)/3.29)*44</f>
        <v>10920687.901917363</v>
      </c>
      <c r="L149" s="3">
        <f ca="1">_xlfn.NORM.INV(RAND(),AVERAGE(Assumptions!$D$13,Assumptions!$F$13),(Assumptions!$F$13-Assumptions!$D$13)/3.29)*44</f>
        <v>16675779.794340337</v>
      </c>
      <c r="M149" s="6">
        <f ca="1">_xlfn.NORM.INV(RAND(),AVERAGE(Assumptions!$D$14,Assumptions!$F$14),(Assumptions!$F$14-Assumptions!$D$14)/3.29)*44</f>
        <v>7719620.3773868987</v>
      </c>
      <c r="N149" s="9">
        <f ca="1">_xlfn.NORM.INV(RAND(),AVERAGE(Assumptions!$D$16,Assumptions!$F$16),(Assumptions!$F$16-Assumptions!$D$16)/3.29)*44</f>
        <v>6632347.4775475003</v>
      </c>
      <c r="O149" s="12">
        <f ca="1">_xlfn.NORM.INV(RAND(),AVERAGE(Assumptions!$D$15,Assumptions!$F$15),(Assumptions!$F$15-Assumptions!$D$15)/3.29)*44</f>
        <v>72884458.918742537</v>
      </c>
      <c r="P149" s="15">
        <f>Assumptions!$D$18</f>
        <v>14641750.345627395</v>
      </c>
      <c r="Q149" s="3">
        <f t="shared" ca="1" si="4"/>
        <v>8291830.1383407712</v>
      </c>
      <c r="R149" s="6">
        <f t="shared" ca="1" si="5"/>
        <v>22933580.483968168</v>
      </c>
    </row>
    <row r="150" spans="1:18">
      <c r="A150" s="20">
        <v>149</v>
      </c>
      <c r="B150" s="3">
        <f ca="1">_xlfn.NORM.INV(RAND(),AVERAGE(Assumptions!$D$4,Assumptions!$F$4),(Assumptions!$F$4-Assumptions!$D$4)/3.29)*44</f>
        <v>1217096.5282028229</v>
      </c>
      <c r="C150" s="6">
        <f ca="1">_xlfn.NORM.INV(RAND(),AVERAGE(Assumptions!$D$5,Assumptions!$F$5),(Assumptions!$F$5-Assumptions!$D$5)/3.29)*44</f>
        <v>1693821.8304890825</v>
      </c>
      <c r="D150" s="9">
        <f ca="1">_xlfn.NORM.INV(RAND(),AVERAGE(Assumptions!$D$6,Assumptions!$F$6),(Assumptions!$F$6-Assumptions!$D$6)/3.29)*RANDBETWEEN(2,5)</f>
        <v>5638181.8835549317</v>
      </c>
      <c r="E150" s="12">
        <f ca="1">_xlfn.NORM.INV(RAND(),AVERAGE(Assumptions!$D$17,Assumptions!$F$17),(Assumptions!$F$17-Assumptions!$D$17)/3.29)*8</f>
        <v>800155.28437318606</v>
      </c>
      <c r="F150" s="15">
        <f ca="1">_xlfn.NORM.INV(RAND(),AVERAGE(Assumptions!$D$7,Assumptions!$F$7),(Assumptions!$F$7-Assumptions!$D$7)/3.29)*RANDBETWEEN(1,3)</f>
        <v>1709075.6730671837</v>
      </c>
      <c r="G150" s="3">
        <f ca="1">_xlfn.NORM.INV(RAND(),AVERAGE(Assumptions!$D$8,Assumptions!$F$8),(Assumptions!$F$8-Assumptions!$D$8)/3.29)*44</f>
        <v>802743.94883396407</v>
      </c>
      <c r="H150" s="6">
        <f ca="1">_xlfn.NORM.INV(RAND(),AVERAGE(Assumptions!$D$9,Assumptions!$F$9),(Assumptions!$F$9-Assumptions!$D$9)/3.29)*21</f>
        <v>2286992.5060600154</v>
      </c>
      <c r="I150" s="9">
        <f ca="1">_xlfn.NORM.INV(RAND(),AVERAGE(Assumptions!$D$10,Assumptions!$F$10),(Assumptions!$F$10-Assumptions!$D$10)/3.29)*21</f>
        <v>612652.52510906185</v>
      </c>
      <c r="J150" s="12">
        <f ca="1">NORMINV(RAND(),AVERAGE(Assumptions!$D$11,Assumptions!$F$11),(Assumptions!$F$11-Assumptions!$D$11)/3.29)*44</f>
        <v>3132788.356750071</v>
      </c>
      <c r="K150" s="15">
        <f ca="1">_xlfn.NORM.INV(RAND(),AVERAGE(Assumptions!$D$12,Assumptions!$F$12),(Assumptions!$F$12-Assumptions!$D$12)/3.29)*44</f>
        <v>8678880.4882648252</v>
      </c>
      <c r="L150" s="3">
        <f ca="1">_xlfn.NORM.INV(RAND(),AVERAGE(Assumptions!$D$13,Assumptions!$F$13),(Assumptions!$F$13-Assumptions!$D$13)/3.29)*44</f>
        <v>18115506.766660281</v>
      </c>
      <c r="M150" s="6">
        <f ca="1">_xlfn.NORM.INV(RAND(),AVERAGE(Assumptions!$D$14,Assumptions!$F$14),(Assumptions!$F$14-Assumptions!$D$14)/3.29)*44</f>
        <v>4272591.9969337815</v>
      </c>
      <c r="N150" s="9">
        <f ca="1">_xlfn.NORM.INV(RAND(),AVERAGE(Assumptions!$D$16,Assumptions!$F$16),(Assumptions!$F$16-Assumptions!$D$16)/3.29)*44</f>
        <v>1917186.1988374293</v>
      </c>
      <c r="O150" s="12">
        <f ca="1">_xlfn.NORM.INV(RAND(),AVERAGE(Assumptions!$D$15,Assumptions!$F$15),(Assumptions!$F$15-Assumptions!$D$15)/3.29)*44</f>
        <v>7039231.8605630593</v>
      </c>
      <c r="P150" s="15">
        <f>Assumptions!$D$18</f>
        <v>14641750.345627395</v>
      </c>
      <c r="Q150" s="3">
        <f t="shared" ca="1" si="4"/>
        <v>-43838442.12657357</v>
      </c>
      <c r="R150" s="6">
        <f t="shared" ca="1" si="5"/>
        <v>-29196691.780946173</v>
      </c>
    </row>
    <row r="151" spans="1:18">
      <c r="A151" s="20">
        <v>150</v>
      </c>
      <c r="B151" s="3">
        <f ca="1">_xlfn.NORM.INV(RAND(),AVERAGE(Assumptions!$D$4,Assumptions!$F$4),(Assumptions!$F$4-Assumptions!$D$4)/3.29)*44</f>
        <v>1226136.8115582096</v>
      </c>
      <c r="C151" s="6">
        <f ca="1">_xlfn.NORM.INV(RAND(),AVERAGE(Assumptions!$D$5,Assumptions!$F$5),(Assumptions!$F$5-Assumptions!$D$5)/3.29)*44</f>
        <v>1788841.411370201</v>
      </c>
      <c r="D151" s="9">
        <f ca="1">_xlfn.NORM.INV(RAND(),AVERAGE(Assumptions!$D$6,Assumptions!$F$6),(Assumptions!$F$6-Assumptions!$D$6)/3.29)*RANDBETWEEN(2,5)</f>
        <v>7980510.7927374989</v>
      </c>
      <c r="E151" s="12">
        <f ca="1">_xlfn.NORM.INV(RAND(),AVERAGE(Assumptions!$D$17,Assumptions!$F$17),(Assumptions!$F$17-Assumptions!$D$17)/3.29)*8</f>
        <v>968339.29852050438</v>
      </c>
      <c r="F151" s="15">
        <f ca="1">_xlfn.NORM.INV(RAND(),AVERAGE(Assumptions!$D$7,Assumptions!$F$7),(Assumptions!$F$7-Assumptions!$D$7)/3.29)*RANDBETWEEN(1,3)</f>
        <v>8049013.2050877688</v>
      </c>
      <c r="G151" s="3">
        <f ca="1">_xlfn.NORM.INV(RAND(),AVERAGE(Assumptions!$D$8,Assumptions!$F$8),(Assumptions!$F$8-Assumptions!$D$8)/3.29)*44</f>
        <v>1120852.3921815192</v>
      </c>
      <c r="H151" s="6">
        <f ca="1">_xlfn.NORM.INV(RAND(),AVERAGE(Assumptions!$D$9,Assumptions!$F$9),(Assumptions!$F$9-Assumptions!$D$9)/3.29)*21</f>
        <v>5619523.7818678394</v>
      </c>
      <c r="I151" s="9">
        <f ca="1">_xlfn.NORM.INV(RAND(),AVERAGE(Assumptions!$D$10,Assumptions!$F$10),(Assumptions!$F$10-Assumptions!$D$10)/3.29)*21</f>
        <v>1195971.8314437335</v>
      </c>
      <c r="J151" s="12">
        <f ca="1">NORMINV(RAND(),AVERAGE(Assumptions!$D$11,Assumptions!$F$11),(Assumptions!$F$11-Assumptions!$D$11)/3.29)*44</f>
        <v>4301099.7776027219</v>
      </c>
      <c r="K151" s="15">
        <f ca="1">_xlfn.NORM.INV(RAND(),AVERAGE(Assumptions!$D$12,Assumptions!$F$12),(Assumptions!$F$12-Assumptions!$D$12)/3.29)*44</f>
        <v>10119848.612196699</v>
      </c>
      <c r="L151" s="3">
        <f ca="1">_xlfn.NORM.INV(RAND(),AVERAGE(Assumptions!$D$13,Assumptions!$F$13),(Assumptions!$F$13-Assumptions!$D$13)/3.29)*44</f>
        <v>10021413.309620304</v>
      </c>
      <c r="M151" s="6">
        <f ca="1">_xlfn.NORM.INV(RAND(),AVERAGE(Assumptions!$D$14,Assumptions!$F$14),(Assumptions!$F$14-Assumptions!$D$14)/3.29)*44</f>
        <v>7701259.7554022372</v>
      </c>
      <c r="N151" s="9">
        <f ca="1">_xlfn.NORM.INV(RAND(),AVERAGE(Assumptions!$D$16,Assumptions!$F$16),(Assumptions!$F$16-Assumptions!$D$16)/3.29)*44</f>
        <v>12579784.689974967</v>
      </c>
      <c r="O151" s="12">
        <f ca="1">_xlfn.NORM.INV(RAND(),AVERAGE(Assumptions!$D$15,Assumptions!$F$15),(Assumptions!$F$15-Assumptions!$D$15)/3.29)*44</f>
        <v>138228940.87549371</v>
      </c>
      <c r="P151" s="15">
        <f>Assumptions!$D$18</f>
        <v>14641750.345627395</v>
      </c>
      <c r="Q151" s="3">
        <f t="shared" ca="1" si="4"/>
        <v>65556345.205929503</v>
      </c>
      <c r="R151" s="6">
        <f t="shared" ca="1" si="5"/>
        <v>80198095.5515569</v>
      </c>
    </row>
    <row r="152" spans="1:18">
      <c r="A152" s="20">
        <v>151</v>
      </c>
      <c r="B152" s="3">
        <f ca="1">_xlfn.NORM.INV(RAND(),AVERAGE(Assumptions!$D$4,Assumptions!$F$4),(Assumptions!$F$4-Assumptions!$D$4)/3.29)*44</f>
        <v>1220854.5499198921</v>
      </c>
      <c r="C152" s="6">
        <f ca="1">_xlfn.NORM.INV(RAND(),AVERAGE(Assumptions!$D$5,Assumptions!$F$5),(Assumptions!$F$5-Assumptions!$D$5)/3.29)*44</f>
        <v>1691240.2549329803</v>
      </c>
      <c r="D152" s="9">
        <f ca="1">_xlfn.NORM.INV(RAND(),AVERAGE(Assumptions!$D$6,Assumptions!$F$6),(Assumptions!$F$6-Assumptions!$D$6)/3.29)*RANDBETWEEN(2,5)</f>
        <v>2934309.0751538328</v>
      </c>
      <c r="E152" s="12">
        <f ca="1">_xlfn.NORM.INV(RAND(),AVERAGE(Assumptions!$D$17,Assumptions!$F$17),(Assumptions!$F$17-Assumptions!$D$17)/3.29)*8</f>
        <v>1116002.8556643866</v>
      </c>
      <c r="F152" s="15">
        <f ca="1">_xlfn.NORM.INV(RAND(),AVERAGE(Assumptions!$D$7,Assumptions!$F$7),(Assumptions!$F$7-Assumptions!$D$7)/3.29)*RANDBETWEEN(1,3)</f>
        <v>7283386.8308486771</v>
      </c>
      <c r="G152" s="3">
        <f ca="1">_xlfn.NORM.INV(RAND(),AVERAGE(Assumptions!$D$8,Assumptions!$F$8),(Assumptions!$F$8-Assumptions!$D$8)/3.29)*44</f>
        <v>1719644.6475133309</v>
      </c>
      <c r="H152" s="6">
        <f ca="1">_xlfn.NORM.INV(RAND(),AVERAGE(Assumptions!$D$9,Assumptions!$F$9),(Assumptions!$F$9-Assumptions!$D$9)/3.29)*21</f>
        <v>3554403.2779969471</v>
      </c>
      <c r="I152" s="9">
        <f ca="1">_xlfn.NORM.INV(RAND(),AVERAGE(Assumptions!$D$10,Assumptions!$F$10),(Assumptions!$F$10-Assumptions!$D$10)/3.29)*21</f>
        <v>1276268.9876226657</v>
      </c>
      <c r="J152" s="12">
        <f ca="1">NORMINV(RAND(),AVERAGE(Assumptions!$D$11,Assumptions!$F$11),(Assumptions!$F$11-Assumptions!$D$11)/3.29)*44</f>
        <v>3357987.0040223962</v>
      </c>
      <c r="K152" s="15">
        <f ca="1">_xlfn.NORM.INV(RAND(),AVERAGE(Assumptions!$D$12,Assumptions!$F$12),(Assumptions!$F$12-Assumptions!$D$12)/3.29)*44</f>
        <v>10158171.348885668</v>
      </c>
      <c r="L152" s="3">
        <f ca="1">_xlfn.NORM.INV(RAND(),AVERAGE(Assumptions!$D$13,Assumptions!$F$13),(Assumptions!$F$13-Assumptions!$D$13)/3.29)*44</f>
        <v>14027060.972287549</v>
      </c>
      <c r="M152" s="6">
        <f ca="1">_xlfn.NORM.INV(RAND(),AVERAGE(Assumptions!$D$14,Assumptions!$F$14),(Assumptions!$F$14-Assumptions!$D$14)/3.29)*44</f>
        <v>5970083.8397877971</v>
      </c>
      <c r="N152" s="9">
        <f ca="1">_xlfn.NORM.INV(RAND(),AVERAGE(Assumptions!$D$16,Assumptions!$F$16),(Assumptions!$F$16-Assumptions!$D$16)/3.29)*44</f>
        <v>8102352.6072933292</v>
      </c>
      <c r="O152" s="12">
        <f ca="1">_xlfn.NORM.INV(RAND(),AVERAGE(Assumptions!$D$15,Assumptions!$F$15),(Assumptions!$F$15-Assumptions!$D$15)/3.29)*44</f>
        <v>141771364.13443971</v>
      </c>
      <c r="P152" s="15">
        <f>Assumptions!$D$18</f>
        <v>14641750.345627395</v>
      </c>
      <c r="Q152" s="3">
        <f t="shared" ca="1" si="4"/>
        <v>79359597.882510245</v>
      </c>
      <c r="R152" s="6">
        <f t="shared" ca="1" si="5"/>
        <v>94001348.228137642</v>
      </c>
    </row>
    <row r="153" spans="1:18">
      <c r="A153" s="20">
        <v>152</v>
      </c>
      <c r="B153" s="3">
        <f ca="1">_xlfn.NORM.INV(RAND(),AVERAGE(Assumptions!$D$4,Assumptions!$F$4),(Assumptions!$F$4-Assumptions!$D$4)/3.29)*44</f>
        <v>1223792.7240801207</v>
      </c>
      <c r="C153" s="6">
        <f ca="1">_xlfn.NORM.INV(RAND(),AVERAGE(Assumptions!$D$5,Assumptions!$F$5),(Assumptions!$F$5-Assumptions!$D$5)/3.29)*44</f>
        <v>2065527.9278739179</v>
      </c>
      <c r="D153" s="9">
        <f ca="1">_xlfn.NORM.INV(RAND(),AVERAGE(Assumptions!$D$6,Assumptions!$F$6),(Assumptions!$F$6-Assumptions!$D$6)/3.29)*RANDBETWEEN(2,5)</f>
        <v>1640321.2739743022</v>
      </c>
      <c r="E153" s="12">
        <f ca="1">_xlfn.NORM.INV(RAND(),AVERAGE(Assumptions!$D$17,Assumptions!$F$17),(Assumptions!$F$17-Assumptions!$D$17)/3.29)*8</f>
        <v>931509.07581306575</v>
      </c>
      <c r="F153" s="15">
        <f ca="1">_xlfn.NORM.INV(RAND(),AVERAGE(Assumptions!$D$7,Assumptions!$F$7),(Assumptions!$F$7-Assumptions!$D$7)/3.29)*RANDBETWEEN(1,3)</f>
        <v>9442518.4702888373</v>
      </c>
      <c r="G153" s="3">
        <f ca="1">_xlfn.NORM.INV(RAND(),AVERAGE(Assumptions!$D$8,Assumptions!$F$8),(Assumptions!$F$8-Assumptions!$D$8)/3.29)*44</f>
        <v>778540.89461711794</v>
      </c>
      <c r="H153" s="6">
        <f ca="1">_xlfn.NORM.INV(RAND(),AVERAGE(Assumptions!$D$9,Assumptions!$F$9),(Assumptions!$F$9-Assumptions!$D$9)/3.29)*21</f>
        <v>2808973.1034493614</v>
      </c>
      <c r="I153" s="9">
        <f ca="1">_xlfn.NORM.INV(RAND(),AVERAGE(Assumptions!$D$10,Assumptions!$F$10),(Assumptions!$F$10-Assumptions!$D$10)/3.29)*21</f>
        <v>904607.95436900249</v>
      </c>
      <c r="J153" s="12">
        <f ca="1">NORMINV(RAND(),AVERAGE(Assumptions!$D$11,Assumptions!$F$11),(Assumptions!$F$11-Assumptions!$D$11)/3.29)*44</f>
        <v>2648095.7475663996</v>
      </c>
      <c r="K153" s="15">
        <f ca="1">_xlfn.NORM.INV(RAND(),AVERAGE(Assumptions!$D$12,Assumptions!$F$12),(Assumptions!$F$12-Assumptions!$D$12)/3.29)*44</f>
        <v>8427749.9776212461</v>
      </c>
      <c r="L153" s="3">
        <f ca="1">_xlfn.NORM.INV(RAND(),AVERAGE(Assumptions!$D$13,Assumptions!$F$13),(Assumptions!$F$13-Assumptions!$D$13)/3.29)*44</f>
        <v>15727290.107549643</v>
      </c>
      <c r="M153" s="6">
        <f ca="1">_xlfn.NORM.INV(RAND(),AVERAGE(Assumptions!$D$14,Assumptions!$F$14),(Assumptions!$F$14-Assumptions!$D$14)/3.29)*44</f>
        <v>5948545.9606773341</v>
      </c>
      <c r="N153" s="9">
        <f ca="1">_xlfn.NORM.INV(RAND(),AVERAGE(Assumptions!$D$16,Assumptions!$F$16),(Assumptions!$F$16-Assumptions!$D$16)/3.29)*44</f>
        <v>11829242.397236703</v>
      </c>
      <c r="O153" s="12">
        <f ca="1">_xlfn.NORM.INV(RAND(),AVERAGE(Assumptions!$D$15,Assumptions!$F$15),(Assumptions!$F$15-Assumptions!$D$15)/3.29)*44</f>
        <v>101592378.30765496</v>
      </c>
      <c r="P153" s="15">
        <f>Assumptions!$D$18</f>
        <v>14641750.345627395</v>
      </c>
      <c r="Q153" s="3">
        <f t="shared" ca="1" si="4"/>
        <v>37215662.692537911</v>
      </c>
      <c r="R153" s="6">
        <f t="shared" ca="1" si="5"/>
        <v>51857413.038165309</v>
      </c>
    </row>
    <row r="154" spans="1:18">
      <c r="A154" s="20">
        <v>153</v>
      </c>
      <c r="B154" s="3">
        <f ca="1">_xlfn.NORM.INV(RAND(),AVERAGE(Assumptions!$D$4,Assumptions!$F$4),(Assumptions!$F$4-Assumptions!$D$4)/3.29)*44</f>
        <v>1112480.1135086706</v>
      </c>
      <c r="C154" s="6">
        <f ca="1">_xlfn.NORM.INV(RAND(),AVERAGE(Assumptions!$D$5,Assumptions!$F$5),(Assumptions!$F$5-Assumptions!$D$5)/3.29)*44</f>
        <v>1381080.856383909</v>
      </c>
      <c r="D154" s="9">
        <f ca="1">_xlfn.NORM.INV(RAND(),AVERAGE(Assumptions!$D$6,Assumptions!$F$6),(Assumptions!$F$6-Assumptions!$D$6)/3.29)*RANDBETWEEN(2,5)</f>
        <v>3565959.4791099606</v>
      </c>
      <c r="E154" s="12">
        <f ca="1">_xlfn.NORM.INV(RAND(),AVERAGE(Assumptions!$D$17,Assumptions!$F$17),(Assumptions!$F$17-Assumptions!$D$17)/3.29)*8</f>
        <v>961290.16882306174</v>
      </c>
      <c r="F154" s="15">
        <f ca="1">_xlfn.NORM.INV(RAND(),AVERAGE(Assumptions!$D$7,Assumptions!$F$7),(Assumptions!$F$7-Assumptions!$D$7)/3.29)*RANDBETWEEN(1,3)</f>
        <v>6971430.8992544925</v>
      </c>
      <c r="G154" s="3">
        <f ca="1">_xlfn.NORM.INV(RAND(),AVERAGE(Assumptions!$D$8,Assumptions!$F$8),(Assumptions!$F$8-Assumptions!$D$8)/3.29)*44</f>
        <v>1367548.0507881227</v>
      </c>
      <c r="H154" s="6">
        <f ca="1">_xlfn.NORM.INV(RAND(),AVERAGE(Assumptions!$D$9,Assumptions!$F$9),(Assumptions!$F$9-Assumptions!$D$9)/3.29)*21</f>
        <v>2952697.7244431521</v>
      </c>
      <c r="I154" s="9">
        <f ca="1">_xlfn.NORM.INV(RAND(),AVERAGE(Assumptions!$D$10,Assumptions!$F$10),(Assumptions!$F$10-Assumptions!$D$10)/3.29)*21</f>
        <v>817610.50877854298</v>
      </c>
      <c r="J154" s="12">
        <f ca="1">NORMINV(RAND(),AVERAGE(Assumptions!$D$11,Assumptions!$F$11),(Assumptions!$F$11-Assumptions!$D$11)/3.29)*44</f>
        <v>2891982.1231920803</v>
      </c>
      <c r="K154" s="15">
        <f ca="1">_xlfn.NORM.INV(RAND(),AVERAGE(Assumptions!$D$12,Assumptions!$F$12),(Assumptions!$F$12-Assumptions!$D$12)/3.29)*44</f>
        <v>11210444.797791786</v>
      </c>
      <c r="L154" s="3">
        <f ca="1">_xlfn.NORM.INV(RAND(),AVERAGE(Assumptions!$D$13,Assumptions!$F$13),(Assumptions!$F$13-Assumptions!$D$13)/3.29)*44</f>
        <v>22223705.004944265</v>
      </c>
      <c r="M154" s="6">
        <f ca="1">_xlfn.NORM.INV(RAND(),AVERAGE(Assumptions!$D$14,Assumptions!$F$14),(Assumptions!$F$14-Assumptions!$D$14)/3.29)*44</f>
        <v>6748891.2646988491</v>
      </c>
      <c r="N154" s="9">
        <f ca="1">_xlfn.NORM.INV(RAND(),AVERAGE(Assumptions!$D$16,Assumptions!$F$16),(Assumptions!$F$16-Assumptions!$D$16)/3.29)*44</f>
        <v>15215403.568515938</v>
      </c>
      <c r="O154" s="12">
        <f ca="1">_xlfn.NORM.INV(RAND(),AVERAGE(Assumptions!$D$15,Assumptions!$F$15),(Assumptions!$F$15-Assumptions!$D$15)/3.29)*44</f>
        <v>87620008.617846385</v>
      </c>
      <c r="P154" s="15">
        <f>Assumptions!$D$18</f>
        <v>14641750.345627395</v>
      </c>
      <c r="Q154" s="3">
        <f t="shared" ca="1" si="4"/>
        <v>10199484.057613552</v>
      </c>
      <c r="R154" s="6">
        <f t="shared" ca="1" si="5"/>
        <v>24841234.403240949</v>
      </c>
    </row>
    <row r="155" spans="1:18">
      <c r="A155" s="20">
        <v>154</v>
      </c>
      <c r="B155" s="3">
        <f ca="1">_xlfn.NORM.INV(RAND(),AVERAGE(Assumptions!$D$4,Assumptions!$F$4),(Assumptions!$F$4-Assumptions!$D$4)/3.29)*44</f>
        <v>1278190.0481251229</v>
      </c>
      <c r="C155" s="6">
        <f ca="1">_xlfn.NORM.INV(RAND(),AVERAGE(Assumptions!$D$5,Assumptions!$F$5),(Assumptions!$F$5-Assumptions!$D$5)/3.29)*44</f>
        <v>1757975.4082570728</v>
      </c>
      <c r="D155" s="9">
        <f ca="1">_xlfn.NORM.INV(RAND(),AVERAGE(Assumptions!$D$6,Assumptions!$F$6),(Assumptions!$F$6-Assumptions!$D$6)/3.29)*RANDBETWEEN(2,5)</f>
        <v>3236358.4224731</v>
      </c>
      <c r="E155" s="12">
        <f ca="1">_xlfn.NORM.INV(RAND(),AVERAGE(Assumptions!$D$17,Assumptions!$F$17),(Assumptions!$F$17-Assumptions!$D$17)/3.29)*8</f>
        <v>946542.20115833171</v>
      </c>
      <c r="F155" s="15">
        <f ca="1">_xlfn.NORM.INV(RAND(),AVERAGE(Assumptions!$D$7,Assumptions!$F$7),(Assumptions!$F$7-Assumptions!$D$7)/3.29)*RANDBETWEEN(1,3)</f>
        <v>8934883.7494658418</v>
      </c>
      <c r="G155" s="3">
        <f ca="1">_xlfn.NORM.INV(RAND(),AVERAGE(Assumptions!$D$8,Assumptions!$F$8),(Assumptions!$F$8-Assumptions!$D$8)/3.29)*44</f>
        <v>1273635.7635531377</v>
      </c>
      <c r="H155" s="6">
        <f ca="1">_xlfn.NORM.INV(RAND(),AVERAGE(Assumptions!$D$9,Assumptions!$F$9),(Assumptions!$F$9-Assumptions!$D$9)/3.29)*21</f>
        <v>4547767.7309928061</v>
      </c>
      <c r="I155" s="9">
        <f ca="1">_xlfn.NORM.INV(RAND(),AVERAGE(Assumptions!$D$10,Assumptions!$F$10),(Assumptions!$F$10-Assumptions!$D$10)/3.29)*21</f>
        <v>900189.83428739745</v>
      </c>
      <c r="J155" s="12">
        <f ca="1">NORMINV(RAND(),AVERAGE(Assumptions!$D$11,Assumptions!$F$11),(Assumptions!$F$11-Assumptions!$D$11)/3.29)*44</f>
        <v>2174533.6078582928</v>
      </c>
      <c r="K155" s="15">
        <f ca="1">_xlfn.NORM.INV(RAND(),AVERAGE(Assumptions!$D$12,Assumptions!$F$12),(Assumptions!$F$12-Assumptions!$D$12)/3.29)*44</f>
        <v>9604826.9929783903</v>
      </c>
      <c r="L155" s="3">
        <f ca="1">_xlfn.NORM.INV(RAND(),AVERAGE(Assumptions!$D$13,Assumptions!$F$13),(Assumptions!$F$13-Assumptions!$D$13)/3.29)*44</f>
        <v>22792224.649482828</v>
      </c>
      <c r="M155" s="6">
        <f ca="1">_xlfn.NORM.INV(RAND(),AVERAGE(Assumptions!$D$14,Assumptions!$F$14),(Assumptions!$F$14-Assumptions!$D$14)/3.29)*44</f>
        <v>4672306.5677034408</v>
      </c>
      <c r="N155" s="9">
        <f ca="1">_xlfn.NORM.INV(RAND(),AVERAGE(Assumptions!$D$16,Assumptions!$F$16),(Assumptions!$F$16-Assumptions!$D$16)/3.29)*44</f>
        <v>6376013.2712951433</v>
      </c>
      <c r="O155" s="12">
        <f ca="1">_xlfn.NORM.INV(RAND(),AVERAGE(Assumptions!$D$15,Assumptions!$F$15),(Assumptions!$F$15-Assumptions!$D$15)/3.29)*44</f>
        <v>62209286.036055692</v>
      </c>
      <c r="P155" s="15">
        <f>Assumptions!$D$18</f>
        <v>14641750.345627395</v>
      </c>
      <c r="Q155" s="3">
        <f t="shared" ca="1" si="4"/>
        <v>-6286162.2115752175</v>
      </c>
      <c r="R155" s="6">
        <f t="shared" ca="1" si="5"/>
        <v>8355588.1340521779</v>
      </c>
    </row>
    <row r="156" spans="1:18">
      <c r="A156" s="20">
        <v>155</v>
      </c>
      <c r="B156" s="3">
        <f ca="1">_xlfn.NORM.INV(RAND(),AVERAGE(Assumptions!$D$4,Assumptions!$F$4),(Assumptions!$F$4-Assumptions!$D$4)/3.29)*44</f>
        <v>1290465.7786740118</v>
      </c>
      <c r="C156" s="6">
        <f ca="1">_xlfn.NORM.INV(RAND(),AVERAGE(Assumptions!$D$5,Assumptions!$F$5),(Assumptions!$F$5-Assumptions!$D$5)/3.29)*44</f>
        <v>1801694.9048516371</v>
      </c>
      <c r="D156" s="9">
        <f ca="1">_xlfn.NORM.INV(RAND(),AVERAGE(Assumptions!$D$6,Assumptions!$F$6),(Assumptions!$F$6-Assumptions!$D$6)/3.29)*RANDBETWEEN(2,5)</f>
        <v>2452276.4106758088</v>
      </c>
      <c r="E156" s="12">
        <f ca="1">_xlfn.NORM.INV(RAND(),AVERAGE(Assumptions!$D$17,Assumptions!$F$17),(Assumptions!$F$17-Assumptions!$D$17)/3.29)*8</f>
        <v>905853.87770676659</v>
      </c>
      <c r="F156" s="15">
        <f ca="1">_xlfn.NORM.INV(RAND(),AVERAGE(Assumptions!$D$7,Assumptions!$F$7),(Assumptions!$F$7-Assumptions!$D$7)/3.29)*RANDBETWEEN(1,3)</f>
        <v>5181362.2972870944</v>
      </c>
      <c r="G156" s="3">
        <f ca="1">_xlfn.NORM.INV(RAND(),AVERAGE(Assumptions!$D$8,Assumptions!$F$8),(Assumptions!$F$8-Assumptions!$D$8)/3.29)*44</f>
        <v>706181.60432163603</v>
      </c>
      <c r="H156" s="6">
        <f ca="1">_xlfn.NORM.INV(RAND(),AVERAGE(Assumptions!$D$9,Assumptions!$F$9),(Assumptions!$F$9-Assumptions!$D$9)/3.29)*21</f>
        <v>3662625.0604535956</v>
      </c>
      <c r="I156" s="9">
        <f ca="1">_xlfn.NORM.INV(RAND(),AVERAGE(Assumptions!$D$10,Assumptions!$F$10),(Assumptions!$F$10-Assumptions!$D$10)/3.29)*21</f>
        <v>763129.35385505005</v>
      </c>
      <c r="J156" s="12">
        <f ca="1">NORMINV(RAND(),AVERAGE(Assumptions!$D$11,Assumptions!$F$11),(Assumptions!$F$11-Assumptions!$D$11)/3.29)*44</f>
        <v>4686191.6460496858</v>
      </c>
      <c r="K156" s="15">
        <f ca="1">_xlfn.NORM.INV(RAND(),AVERAGE(Assumptions!$D$12,Assumptions!$F$12),(Assumptions!$F$12-Assumptions!$D$12)/3.29)*44</f>
        <v>10804323.894068206</v>
      </c>
      <c r="L156" s="3">
        <f ca="1">_xlfn.NORM.INV(RAND(),AVERAGE(Assumptions!$D$13,Assumptions!$F$13),(Assumptions!$F$13-Assumptions!$D$13)/3.29)*44</f>
        <v>16083026.265719509</v>
      </c>
      <c r="M156" s="6">
        <f ca="1">_xlfn.NORM.INV(RAND(),AVERAGE(Assumptions!$D$14,Assumptions!$F$14),(Assumptions!$F$14-Assumptions!$D$14)/3.29)*44</f>
        <v>7526605.2045911727</v>
      </c>
      <c r="N156" s="9">
        <f ca="1">_xlfn.NORM.INV(RAND(),AVERAGE(Assumptions!$D$16,Assumptions!$F$16),(Assumptions!$F$16-Assumptions!$D$16)/3.29)*44</f>
        <v>9640827.1423160732</v>
      </c>
      <c r="O156" s="12">
        <f ca="1">_xlfn.NORM.INV(RAND(),AVERAGE(Assumptions!$D$15,Assumptions!$F$15),(Assumptions!$F$15-Assumptions!$D$15)/3.29)*44</f>
        <v>49812868.863086626</v>
      </c>
      <c r="P156" s="15">
        <f>Assumptions!$D$18</f>
        <v>14641750.345627395</v>
      </c>
      <c r="Q156" s="3">
        <f t="shared" ca="1" si="4"/>
        <v>-15691694.577483617</v>
      </c>
      <c r="R156" s="6">
        <f t="shared" ca="1" si="5"/>
        <v>-1049944.2318562213</v>
      </c>
    </row>
    <row r="157" spans="1:18">
      <c r="A157" s="20">
        <v>156</v>
      </c>
      <c r="B157" s="3">
        <f ca="1">_xlfn.NORM.INV(RAND(),AVERAGE(Assumptions!$D$4,Assumptions!$F$4),(Assumptions!$F$4-Assumptions!$D$4)/3.29)*44</f>
        <v>1058902.7399476075</v>
      </c>
      <c r="C157" s="6">
        <f ca="1">_xlfn.NORM.INV(RAND(),AVERAGE(Assumptions!$D$5,Assumptions!$F$5),(Assumptions!$F$5-Assumptions!$D$5)/3.29)*44</f>
        <v>1736420.6194981697</v>
      </c>
      <c r="D157" s="9">
        <f ca="1">_xlfn.NORM.INV(RAND(),AVERAGE(Assumptions!$D$6,Assumptions!$F$6),(Assumptions!$F$6-Assumptions!$D$6)/3.29)*RANDBETWEEN(2,5)</f>
        <v>4404370.3421198847</v>
      </c>
      <c r="E157" s="12">
        <f ca="1">_xlfn.NORM.INV(RAND(),AVERAGE(Assumptions!$D$17,Assumptions!$F$17),(Assumptions!$F$17-Assumptions!$D$17)/3.29)*8</f>
        <v>946517.47844350664</v>
      </c>
      <c r="F157" s="15">
        <f ca="1">_xlfn.NORM.INV(RAND(),AVERAGE(Assumptions!$D$7,Assumptions!$F$7),(Assumptions!$F$7-Assumptions!$D$7)/3.29)*RANDBETWEEN(1,3)</f>
        <v>4346262.9931130623</v>
      </c>
      <c r="G157" s="3">
        <f ca="1">_xlfn.NORM.INV(RAND(),AVERAGE(Assumptions!$D$8,Assumptions!$F$8),(Assumptions!$F$8-Assumptions!$D$8)/3.29)*44</f>
        <v>1188077.5834896071</v>
      </c>
      <c r="H157" s="6">
        <f ca="1">_xlfn.NORM.INV(RAND(),AVERAGE(Assumptions!$D$9,Assumptions!$F$9),(Assumptions!$F$9-Assumptions!$D$9)/3.29)*21</f>
        <v>5997077.8121106746</v>
      </c>
      <c r="I157" s="9">
        <f ca="1">_xlfn.NORM.INV(RAND(),AVERAGE(Assumptions!$D$10,Assumptions!$F$10),(Assumptions!$F$10-Assumptions!$D$10)/3.29)*21</f>
        <v>936396.9960504442</v>
      </c>
      <c r="J157" s="12">
        <f ca="1">NORMINV(RAND(),AVERAGE(Assumptions!$D$11,Assumptions!$F$11),(Assumptions!$F$11-Assumptions!$D$11)/3.29)*44</f>
        <v>3302362.4332691608</v>
      </c>
      <c r="K157" s="15">
        <f ca="1">_xlfn.NORM.INV(RAND(),AVERAGE(Assumptions!$D$12,Assumptions!$F$12),(Assumptions!$F$12-Assumptions!$D$12)/3.29)*44</f>
        <v>10042855.024488728</v>
      </c>
      <c r="L157" s="3">
        <f ca="1">_xlfn.NORM.INV(RAND(),AVERAGE(Assumptions!$D$13,Assumptions!$F$13),(Assumptions!$F$13-Assumptions!$D$13)/3.29)*44</f>
        <v>24044163.560219437</v>
      </c>
      <c r="M157" s="6">
        <f ca="1">_xlfn.NORM.INV(RAND(),AVERAGE(Assumptions!$D$14,Assumptions!$F$14),(Assumptions!$F$14-Assumptions!$D$14)/3.29)*44</f>
        <v>4933438.3596150149</v>
      </c>
      <c r="N157" s="9">
        <f ca="1">_xlfn.NORM.INV(RAND(),AVERAGE(Assumptions!$D$16,Assumptions!$F$16),(Assumptions!$F$16-Assumptions!$D$16)/3.29)*44</f>
        <v>9722771.2875475734</v>
      </c>
      <c r="O157" s="12">
        <f ca="1">_xlfn.NORM.INV(RAND(),AVERAGE(Assumptions!$D$15,Assumptions!$F$15),(Assumptions!$F$15-Assumptions!$D$15)/3.29)*44</f>
        <v>111991795.37569261</v>
      </c>
      <c r="P157" s="15">
        <f>Assumptions!$D$18</f>
        <v>14641750.345627395</v>
      </c>
      <c r="Q157" s="3">
        <f t="shared" ca="1" si="4"/>
        <v>39332178.145779744</v>
      </c>
      <c r="R157" s="6">
        <f t="shared" ca="1" si="5"/>
        <v>53973928.491407141</v>
      </c>
    </row>
    <row r="158" spans="1:18">
      <c r="A158" s="20">
        <v>157</v>
      </c>
      <c r="B158" s="3">
        <f ca="1">_xlfn.NORM.INV(RAND(),AVERAGE(Assumptions!$D$4,Assumptions!$F$4),(Assumptions!$F$4-Assumptions!$D$4)/3.29)*44</f>
        <v>1153147.0850430799</v>
      </c>
      <c r="C158" s="6">
        <f ca="1">_xlfn.NORM.INV(RAND(),AVERAGE(Assumptions!$D$5,Assumptions!$F$5),(Assumptions!$F$5-Assumptions!$D$5)/3.29)*44</f>
        <v>1892209.137239835</v>
      </c>
      <c r="D158" s="9">
        <f ca="1">_xlfn.NORM.INV(RAND(),AVERAGE(Assumptions!$D$6,Assumptions!$F$6),(Assumptions!$F$6-Assumptions!$D$6)/3.29)*RANDBETWEEN(2,5)</f>
        <v>4576442.3223208077</v>
      </c>
      <c r="E158" s="12">
        <f ca="1">_xlfn.NORM.INV(RAND(),AVERAGE(Assumptions!$D$17,Assumptions!$F$17),(Assumptions!$F$17-Assumptions!$D$17)/3.29)*8</f>
        <v>1021401.9414439987</v>
      </c>
      <c r="F158" s="15">
        <f ca="1">_xlfn.NORM.INV(RAND(),AVERAGE(Assumptions!$D$7,Assumptions!$F$7),(Assumptions!$F$7-Assumptions!$D$7)/3.29)*RANDBETWEEN(1,3)</f>
        <v>6884400.1351650581</v>
      </c>
      <c r="G158" s="3">
        <f ca="1">_xlfn.NORM.INV(RAND(),AVERAGE(Assumptions!$D$8,Assumptions!$F$8),(Assumptions!$F$8-Assumptions!$D$8)/3.29)*44</f>
        <v>929198.28902427759</v>
      </c>
      <c r="H158" s="6">
        <f ca="1">_xlfn.NORM.INV(RAND(),AVERAGE(Assumptions!$D$9,Assumptions!$F$9),(Assumptions!$F$9-Assumptions!$D$9)/3.29)*21</f>
        <v>6041812.0529595437</v>
      </c>
      <c r="I158" s="9">
        <f ca="1">_xlfn.NORM.INV(RAND(),AVERAGE(Assumptions!$D$10,Assumptions!$F$10),(Assumptions!$F$10-Assumptions!$D$10)/3.29)*21</f>
        <v>728665.70809701202</v>
      </c>
      <c r="J158" s="12">
        <f ca="1">NORMINV(RAND(),AVERAGE(Assumptions!$D$11,Assumptions!$F$11),(Assumptions!$F$11-Assumptions!$D$11)/3.29)*44</f>
        <v>4856635.3341474496</v>
      </c>
      <c r="K158" s="15">
        <f ca="1">_xlfn.NORM.INV(RAND(),AVERAGE(Assumptions!$D$12,Assumptions!$F$12),(Assumptions!$F$12-Assumptions!$D$12)/3.29)*44</f>
        <v>7970552.6893650843</v>
      </c>
      <c r="L158" s="3">
        <f ca="1">_xlfn.NORM.INV(RAND(),AVERAGE(Assumptions!$D$13,Assumptions!$F$13),(Assumptions!$F$13-Assumptions!$D$13)/3.29)*44</f>
        <v>15884780.595146749</v>
      </c>
      <c r="M158" s="6">
        <f ca="1">_xlfn.NORM.INV(RAND(),AVERAGE(Assumptions!$D$14,Assumptions!$F$14),(Assumptions!$F$14-Assumptions!$D$14)/3.29)*44</f>
        <v>6149817.0004057009</v>
      </c>
      <c r="N158" s="9">
        <f ca="1">_xlfn.NORM.INV(RAND(),AVERAGE(Assumptions!$D$16,Assumptions!$F$16),(Assumptions!$F$16-Assumptions!$D$16)/3.29)*44</f>
        <v>11254266.549196465</v>
      </c>
      <c r="O158" s="12">
        <f ca="1">_xlfn.NORM.INV(RAND(),AVERAGE(Assumptions!$D$15,Assumptions!$F$15),(Assumptions!$F$15-Assumptions!$D$15)/3.29)*44</f>
        <v>105859013.10606369</v>
      </c>
      <c r="P158" s="15">
        <f>Assumptions!$D$18</f>
        <v>14641750.345627395</v>
      </c>
      <c r="Q158" s="3">
        <f t="shared" ca="1" si="4"/>
        <v>36515684.266508639</v>
      </c>
      <c r="R158" s="6">
        <f t="shared" ca="1" si="5"/>
        <v>51157434.612136036</v>
      </c>
    </row>
    <row r="159" spans="1:18">
      <c r="A159" s="20">
        <v>158</v>
      </c>
      <c r="B159" s="3">
        <f ca="1">_xlfn.NORM.INV(RAND(),AVERAGE(Assumptions!$D$4,Assumptions!$F$4),(Assumptions!$F$4-Assumptions!$D$4)/3.29)*44</f>
        <v>1207186.4242064573</v>
      </c>
      <c r="C159" s="6">
        <f ca="1">_xlfn.NORM.INV(RAND(),AVERAGE(Assumptions!$D$5,Assumptions!$F$5),(Assumptions!$F$5-Assumptions!$D$5)/3.29)*44</f>
        <v>2052571.0426577153</v>
      </c>
      <c r="D159" s="9">
        <f ca="1">_xlfn.NORM.INV(RAND(),AVERAGE(Assumptions!$D$6,Assumptions!$F$6),(Assumptions!$F$6-Assumptions!$D$6)/3.29)*RANDBETWEEN(2,5)</f>
        <v>1980875.4700473454</v>
      </c>
      <c r="E159" s="12">
        <f ca="1">_xlfn.NORM.INV(RAND(),AVERAGE(Assumptions!$D$17,Assumptions!$F$17),(Assumptions!$F$17-Assumptions!$D$17)/3.29)*8</f>
        <v>888747.36119330849</v>
      </c>
      <c r="F159" s="15">
        <f ca="1">_xlfn.NORM.INV(RAND(),AVERAGE(Assumptions!$D$7,Assumptions!$F$7),(Assumptions!$F$7-Assumptions!$D$7)/3.29)*RANDBETWEEN(1,3)</f>
        <v>6306367.8812681185</v>
      </c>
      <c r="G159" s="3">
        <f ca="1">_xlfn.NORM.INV(RAND(),AVERAGE(Assumptions!$D$8,Assumptions!$F$8),(Assumptions!$F$8-Assumptions!$D$8)/3.29)*44</f>
        <v>1171771.5048001511</v>
      </c>
      <c r="H159" s="6">
        <f ca="1">_xlfn.NORM.INV(RAND(),AVERAGE(Assumptions!$D$9,Assumptions!$F$9),(Assumptions!$F$9-Assumptions!$D$9)/3.29)*21</f>
        <v>4846642.6470405962</v>
      </c>
      <c r="I159" s="9">
        <f ca="1">_xlfn.NORM.INV(RAND(),AVERAGE(Assumptions!$D$10,Assumptions!$F$10),(Assumptions!$F$10-Assumptions!$D$10)/3.29)*21</f>
        <v>775567.38461725414</v>
      </c>
      <c r="J159" s="12">
        <f ca="1">NORMINV(RAND(),AVERAGE(Assumptions!$D$11,Assumptions!$F$11),(Assumptions!$F$11-Assumptions!$D$11)/3.29)*44</f>
        <v>2784029.5064279949</v>
      </c>
      <c r="K159" s="15">
        <f ca="1">_xlfn.NORM.INV(RAND(),AVERAGE(Assumptions!$D$12,Assumptions!$F$12),(Assumptions!$F$12-Assumptions!$D$12)/3.29)*44</f>
        <v>5211310.1164332926</v>
      </c>
      <c r="L159" s="3">
        <f ca="1">_xlfn.NORM.INV(RAND(),AVERAGE(Assumptions!$D$13,Assumptions!$F$13),(Assumptions!$F$13-Assumptions!$D$13)/3.29)*44</f>
        <v>13798620.454012128</v>
      </c>
      <c r="M159" s="6">
        <f ca="1">_xlfn.NORM.INV(RAND(),AVERAGE(Assumptions!$D$14,Assumptions!$F$14),(Assumptions!$F$14-Assumptions!$D$14)/3.29)*44</f>
        <v>6312006.578418565</v>
      </c>
      <c r="N159" s="9">
        <f ca="1">_xlfn.NORM.INV(RAND(),AVERAGE(Assumptions!$D$16,Assumptions!$F$16),(Assumptions!$F$16-Assumptions!$D$16)/3.29)*44</f>
        <v>-2046612.2882023954</v>
      </c>
      <c r="O159" s="12">
        <f ca="1">_xlfn.NORM.INV(RAND(),AVERAGE(Assumptions!$D$15,Assumptions!$F$15),(Assumptions!$F$15-Assumptions!$D$15)/3.29)*44</f>
        <v>79111733.768827602</v>
      </c>
      <c r="P159" s="15">
        <f>Assumptions!$D$18</f>
        <v>14641750.345627395</v>
      </c>
      <c r="Q159" s="3">
        <f t="shared" ca="1" si="4"/>
        <v>33822649.685907073</v>
      </c>
      <c r="R159" s="6">
        <f t="shared" ca="1" si="5"/>
        <v>48464400.031534471</v>
      </c>
    </row>
    <row r="160" spans="1:18">
      <c r="A160" s="20">
        <v>159</v>
      </c>
      <c r="B160" s="3">
        <f ca="1">_xlfn.NORM.INV(RAND(),AVERAGE(Assumptions!$D$4,Assumptions!$F$4),(Assumptions!$F$4-Assumptions!$D$4)/3.29)*44</f>
        <v>1138575.5920588309</v>
      </c>
      <c r="C160" s="6">
        <f ca="1">_xlfn.NORM.INV(RAND(),AVERAGE(Assumptions!$D$5,Assumptions!$F$5),(Assumptions!$F$5-Assumptions!$D$5)/3.29)*44</f>
        <v>2063835.6763947587</v>
      </c>
      <c r="D160" s="9">
        <f ca="1">_xlfn.NORM.INV(RAND(),AVERAGE(Assumptions!$D$6,Assumptions!$F$6),(Assumptions!$F$6-Assumptions!$D$6)/3.29)*RANDBETWEEN(2,5)</f>
        <v>4343839.3770426773</v>
      </c>
      <c r="E160" s="12">
        <f ca="1">_xlfn.NORM.INV(RAND(),AVERAGE(Assumptions!$D$17,Assumptions!$F$17),(Assumptions!$F$17-Assumptions!$D$17)/3.29)*8</f>
        <v>974660.49985533103</v>
      </c>
      <c r="F160" s="15">
        <f ca="1">_xlfn.NORM.INV(RAND(),AVERAGE(Assumptions!$D$7,Assumptions!$F$7),(Assumptions!$F$7-Assumptions!$D$7)/3.29)*RANDBETWEEN(1,3)</f>
        <v>3455268.7497749659</v>
      </c>
      <c r="G160" s="3">
        <f ca="1">_xlfn.NORM.INV(RAND(),AVERAGE(Assumptions!$D$8,Assumptions!$F$8),(Assumptions!$F$8-Assumptions!$D$8)/3.29)*44</f>
        <v>1587710.5812851109</v>
      </c>
      <c r="H160" s="6">
        <f ca="1">_xlfn.NORM.INV(RAND(),AVERAGE(Assumptions!$D$9,Assumptions!$F$9),(Assumptions!$F$9-Assumptions!$D$9)/3.29)*21</f>
        <v>4265717.1946190521</v>
      </c>
      <c r="I160" s="9">
        <f ca="1">_xlfn.NORM.INV(RAND(),AVERAGE(Assumptions!$D$10,Assumptions!$F$10),(Assumptions!$F$10-Assumptions!$D$10)/3.29)*21</f>
        <v>942123.97217318206</v>
      </c>
      <c r="J160" s="12">
        <f ca="1">NORMINV(RAND(),AVERAGE(Assumptions!$D$11,Assumptions!$F$11),(Assumptions!$F$11-Assumptions!$D$11)/3.29)*44</f>
        <v>6190206.7405840904</v>
      </c>
      <c r="K160" s="15">
        <f ca="1">_xlfn.NORM.INV(RAND(),AVERAGE(Assumptions!$D$12,Assumptions!$F$12),(Assumptions!$F$12-Assumptions!$D$12)/3.29)*44</f>
        <v>8267369.2165245963</v>
      </c>
      <c r="L160" s="3">
        <f ca="1">_xlfn.NORM.INV(RAND(),AVERAGE(Assumptions!$D$13,Assumptions!$F$13),(Assumptions!$F$13-Assumptions!$D$13)/3.29)*44</f>
        <v>25168474.917182587</v>
      </c>
      <c r="M160" s="6">
        <f ca="1">_xlfn.NORM.INV(RAND(),AVERAGE(Assumptions!$D$14,Assumptions!$F$14),(Assumptions!$F$14-Assumptions!$D$14)/3.29)*44</f>
        <v>6605300.4229892232</v>
      </c>
      <c r="N160" s="9">
        <f ca="1">_xlfn.NORM.INV(RAND(),AVERAGE(Assumptions!$D$16,Assumptions!$F$16),(Assumptions!$F$16-Assumptions!$D$16)/3.29)*44</f>
        <v>10253042.95510982</v>
      </c>
      <c r="O160" s="12">
        <f ca="1">_xlfn.NORM.INV(RAND(),AVERAGE(Assumptions!$D$15,Assumptions!$F$15),(Assumptions!$F$15-Assumptions!$D$15)/3.29)*44</f>
        <v>157761831.71527356</v>
      </c>
      <c r="P160" s="15">
        <f>Assumptions!$D$18</f>
        <v>14641750.345627395</v>
      </c>
      <c r="Q160" s="3">
        <f t="shared" ca="1" si="4"/>
        <v>82505705.819679335</v>
      </c>
      <c r="R160" s="6">
        <f t="shared" ca="1" si="5"/>
        <v>97147456.165306732</v>
      </c>
    </row>
    <row r="161" spans="1:18">
      <c r="A161" s="20">
        <v>160</v>
      </c>
      <c r="B161" s="3">
        <f ca="1">_xlfn.NORM.INV(RAND(),AVERAGE(Assumptions!$D$4,Assumptions!$F$4),(Assumptions!$F$4-Assumptions!$D$4)/3.29)*44</f>
        <v>1133667.2767301637</v>
      </c>
      <c r="C161" s="6">
        <f ca="1">_xlfn.NORM.INV(RAND(),AVERAGE(Assumptions!$D$5,Assumptions!$F$5),(Assumptions!$F$5-Assumptions!$D$5)/3.29)*44</f>
        <v>1679138.3493055424</v>
      </c>
      <c r="D161" s="9">
        <f ca="1">_xlfn.NORM.INV(RAND(),AVERAGE(Assumptions!$D$6,Assumptions!$F$6),(Assumptions!$F$6-Assumptions!$D$6)/3.29)*RANDBETWEEN(2,5)</f>
        <v>2346460.7322707986</v>
      </c>
      <c r="E161" s="12">
        <f ca="1">_xlfn.NORM.INV(RAND(),AVERAGE(Assumptions!$D$17,Assumptions!$F$17),(Assumptions!$F$17-Assumptions!$D$17)/3.29)*8</f>
        <v>954279.87336396507</v>
      </c>
      <c r="F161" s="15">
        <f ca="1">_xlfn.NORM.INV(RAND(),AVERAGE(Assumptions!$D$7,Assumptions!$F$7),(Assumptions!$F$7-Assumptions!$D$7)/3.29)*RANDBETWEEN(1,3)</f>
        <v>4686736.1007301044</v>
      </c>
      <c r="G161" s="3">
        <f ca="1">_xlfn.NORM.INV(RAND(),AVERAGE(Assumptions!$D$8,Assumptions!$F$8),(Assumptions!$F$8-Assumptions!$D$8)/3.29)*44</f>
        <v>1259393.2489060329</v>
      </c>
      <c r="H161" s="6">
        <f ca="1">_xlfn.NORM.INV(RAND(),AVERAGE(Assumptions!$D$9,Assumptions!$F$9),(Assumptions!$F$9-Assumptions!$D$9)/3.29)*21</f>
        <v>2650979.3043790748</v>
      </c>
      <c r="I161" s="9">
        <f ca="1">_xlfn.NORM.INV(RAND(),AVERAGE(Assumptions!$D$10,Assumptions!$F$10),(Assumptions!$F$10-Assumptions!$D$10)/3.29)*21</f>
        <v>804018.53612877883</v>
      </c>
      <c r="J161" s="12">
        <f ca="1">NORMINV(RAND(),AVERAGE(Assumptions!$D$11,Assumptions!$F$11),(Assumptions!$F$11-Assumptions!$D$11)/3.29)*44</f>
        <v>3165211.3232975728</v>
      </c>
      <c r="K161" s="15">
        <f ca="1">_xlfn.NORM.INV(RAND(),AVERAGE(Assumptions!$D$12,Assumptions!$F$12),(Assumptions!$F$12-Assumptions!$D$12)/3.29)*44</f>
        <v>8255889.743647404</v>
      </c>
      <c r="L161" s="3">
        <f ca="1">_xlfn.NORM.INV(RAND(),AVERAGE(Assumptions!$D$13,Assumptions!$F$13),(Assumptions!$F$13-Assumptions!$D$13)/3.29)*44</f>
        <v>10596192.366578648</v>
      </c>
      <c r="M161" s="6">
        <f ca="1">_xlfn.NORM.INV(RAND(),AVERAGE(Assumptions!$D$14,Assumptions!$F$14),(Assumptions!$F$14-Assumptions!$D$14)/3.29)*44</f>
        <v>6850209.0871443283</v>
      </c>
      <c r="N161" s="9">
        <f ca="1">_xlfn.NORM.INV(RAND(),AVERAGE(Assumptions!$D$16,Assumptions!$F$16),(Assumptions!$F$16-Assumptions!$D$16)/3.29)*44</f>
        <v>11409564.32501981</v>
      </c>
      <c r="O161" s="12">
        <f ca="1">_xlfn.NORM.INV(RAND(),AVERAGE(Assumptions!$D$15,Assumptions!$F$15),(Assumptions!$F$15-Assumptions!$D$15)/3.29)*44</f>
        <v>65428704.504662231</v>
      </c>
      <c r="P161" s="15">
        <f>Assumptions!$D$18</f>
        <v>14641750.345627395</v>
      </c>
      <c r="Q161" s="3">
        <f t="shared" ca="1" si="4"/>
        <v>9636964.2371600047</v>
      </c>
      <c r="R161" s="6">
        <f t="shared" ca="1" si="5"/>
        <v>24278714.582787402</v>
      </c>
    </row>
    <row r="162" spans="1:18">
      <c r="A162" s="20">
        <v>161</v>
      </c>
      <c r="B162" s="3">
        <f ca="1">_xlfn.NORM.INV(RAND(),AVERAGE(Assumptions!$D$4,Assumptions!$F$4),(Assumptions!$F$4-Assumptions!$D$4)/3.29)*44</f>
        <v>1172758.0851910117</v>
      </c>
      <c r="C162" s="6">
        <f ca="1">_xlfn.NORM.INV(RAND(),AVERAGE(Assumptions!$D$5,Assumptions!$F$5),(Assumptions!$F$5-Assumptions!$D$5)/3.29)*44</f>
        <v>1913909.8655888387</v>
      </c>
      <c r="D162" s="9">
        <f ca="1">_xlfn.NORM.INV(RAND(),AVERAGE(Assumptions!$D$6,Assumptions!$F$6),(Assumptions!$F$6-Assumptions!$D$6)/3.29)*RANDBETWEEN(2,5)</f>
        <v>3171069.5735870949</v>
      </c>
      <c r="E162" s="12">
        <f ca="1">_xlfn.NORM.INV(RAND(),AVERAGE(Assumptions!$D$17,Assumptions!$F$17),(Assumptions!$F$17-Assumptions!$D$17)/3.29)*8</f>
        <v>913270.98183884518</v>
      </c>
      <c r="F162" s="15">
        <f ca="1">_xlfn.NORM.INV(RAND(),AVERAGE(Assumptions!$D$7,Assumptions!$F$7),(Assumptions!$F$7-Assumptions!$D$7)/3.29)*RANDBETWEEN(1,3)</f>
        <v>2380819.1569433669</v>
      </c>
      <c r="G162" s="3">
        <f ca="1">_xlfn.NORM.INV(RAND(),AVERAGE(Assumptions!$D$8,Assumptions!$F$8),(Assumptions!$F$8-Assumptions!$D$8)/3.29)*44</f>
        <v>1334143.2401002368</v>
      </c>
      <c r="H162" s="6">
        <f ca="1">_xlfn.NORM.INV(RAND(),AVERAGE(Assumptions!$D$9,Assumptions!$F$9),(Assumptions!$F$9-Assumptions!$D$9)/3.29)*21</f>
        <v>5906868.1553011881</v>
      </c>
      <c r="I162" s="9">
        <f ca="1">_xlfn.NORM.INV(RAND(),AVERAGE(Assumptions!$D$10,Assumptions!$F$10),(Assumptions!$F$10-Assumptions!$D$10)/3.29)*21</f>
        <v>801639.34298920678</v>
      </c>
      <c r="J162" s="12">
        <f ca="1">NORMINV(RAND(),AVERAGE(Assumptions!$D$11,Assumptions!$F$11),(Assumptions!$F$11-Assumptions!$D$11)/3.29)*44</f>
        <v>3717210.1466476922</v>
      </c>
      <c r="K162" s="15">
        <f ca="1">_xlfn.NORM.INV(RAND(),AVERAGE(Assumptions!$D$12,Assumptions!$F$12),(Assumptions!$F$12-Assumptions!$D$12)/3.29)*44</f>
        <v>8993360.4572125115</v>
      </c>
      <c r="L162" s="3">
        <f ca="1">_xlfn.NORM.INV(RAND(),AVERAGE(Assumptions!$D$13,Assumptions!$F$13),(Assumptions!$F$13-Assumptions!$D$13)/3.29)*44</f>
        <v>20540295.778291572</v>
      </c>
      <c r="M162" s="6">
        <f ca="1">_xlfn.NORM.INV(RAND(),AVERAGE(Assumptions!$D$14,Assumptions!$F$14),(Assumptions!$F$14-Assumptions!$D$14)/3.29)*44</f>
        <v>8167429.2580919927</v>
      </c>
      <c r="N162" s="9">
        <f ca="1">_xlfn.NORM.INV(RAND(),AVERAGE(Assumptions!$D$16,Assumptions!$F$16),(Assumptions!$F$16-Assumptions!$D$16)/3.29)*44</f>
        <v>17212387.152991556</v>
      </c>
      <c r="O162" s="12">
        <f ca="1">_xlfn.NORM.INV(RAND(),AVERAGE(Assumptions!$D$15,Assumptions!$F$15),(Assumptions!$F$15-Assumptions!$D$15)/3.29)*44</f>
        <v>138102614.65595236</v>
      </c>
      <c r="P162" s="15">
        <f>Assumptions!$D$18</f>
        <v>14641750.345627395</v>
      </c>
      <c r="Q162" s="3">
        <f t="shared" ca="1" si="4"/>
        <v>61877453.461177245</v>
      </c>
      <c r="R162" s="6">
        <f t="shared" ca="1" si="5"/>
        <v>76519203.806804642</v>
      </c>
    </row>
    <row r="163" spans="1:18">
      <c r="A163" s="20">
        <v>162</v>
      </c>
      <c r="B163" s="3">
        <f ca="1">_xlfn.NORM.INV(RAND(),AVERAGE(Assumptions!$D$4,Assumptions!$F$4),(Assumptions!$F$4-Assumptions!$D$4)/3.29)*44</f>
        <v>1249044.0945395473</v>
      </c>
      <c r="C163" s="6">
        <f ca="1">_xlfn.NORM.INV(RAND(),AVERAGE(Assumptions!$D$5,Assumptions!$F$5),(Assumptions!$F$5-Assumptions!$D$5)/3.29)*44</f>
        <v>1650620.1465145161</v>
      </c>
      <c r="D163" s="9">
        <f ca="1">_xlfn.NORM.INV(RAND(),AVERAGE(Assumptions!$D$6,Assumptions!$F$6),(Assumptions!$F$6-Assumptions!$D$6)/3.29)*RANDBETWEEN(2,5)</f>
        <v>3320815.5080622877</v>
      </c>
      <c r="E163" s="12">
        <f ca="1">_xlfn.NORM.INV(RAND(),AVERAGE(Assumptions!$D$17,Assumptions!$F$17),(Assumptions!$F$17-Assumptions!$D$17)/3.29)*8</f>
        <v>873344.53247513063</v>
      </c>
      <c r="F163" s="15">
        <f ca="1">_xlfn.NORM.INV(RAND(),AVERAGE(Assumptions!$D$7,Assumptions!$F$7),(Assumptions!$F$7-Assumptions!$D$7)/3.29)*RANDBETWEEN(1,3)</f>
        <v>11652377.908523059</v>
      </c>
      <c r="G163" s="3">
        <f ca="1">_xlfn.NORM.INV(RAND(),AVERAGE(Assumptions!$D$8,Assumptions!$F$8),(Assumptions!$F$8-Assumptions!$D$8)/3.29)*44</f>
        <v>1382016.460751252</v>
      </c>
      <c r="H163" s="6">
        <f ca="1">_xlfn.NORM.INV(RAND(),AVERAGE(Assumptions!$D$9,Assumptions!$F$9),(Assumptions!$F$9-Assumptions!$D$9)/3.29)*21</f>
        <v>4950838.0274318978</v>
      </c>
      <c r="I163" s="9">
        <f ca="1">_xlfn.NORM.INV(RAND(),AVERAGE(Assumptions!$D$10,Assumptions!$F$10),(Assumptions!$F$10-Assumptions!$D$10)/3.29)*21</f>
        <v>303006.51795529854</v>
      </c>
      <c r="J163" s="12">
        <f ca="1">NORMINV(RAND(),AVERAGE(Assumptions!$D$11,Assumptions!$F$11),(Assumptions!$F$11-Assumptions!$D$11)/3.29)*44</f>
        <v>1392595.3994467729</v>
      </c>
      <c r="K163" s="15">
        <f ca="1">_xlfn.NORM.INV(RAND(),AVERAGE(Assumptions!$D$12,Assumptions!$F$12),(Assumptions!$F$12-Assumptions!$D$12)/3.29)*44</f>
        <v>7923362.3021609802</v>
      </c>
      <c r="L163" s="3">
        <f ca="1">_xlfn.NORM.INV(RAND(),AVERAGE(Assumptions!$D$13,Assumptions!$F$13),(Assumptions!$F$13-Assumptions!$D$13)/3.29)*44</f>
        <v>16838540.831457809</v>
      </c>
      <c r="M163" s="6">
        <f ca="1">_xlfn.NORM.INV(RAND(),AVERAGE(Assumptions!$D$14,Assumptions!$F$14),(Assumptions!$F$14-Assumptions!$D$14)/3.29)*44</f>
        <v>4556397.6205284484</v>
      </c>
      <c r="N163" s="9">
        <f ca="1">_xlfn.NORM.INV(RAND(),AVERAGE(Assumptions!$D$16,Assumptions!$F$16),(Assumptions!$F$16-Assumptions!$D$16)/3.29)*44</f>
        <v>13628174.617485557</v>
      </c>
      <c r="O163" s="12">
        <f ca="1">_xlfn.NORM.INV(RAND(),AVERAGE(Assumptions!$D$15,Assumptions!$F$15),(Assumptions!$F$15-Assumptions!$D$15)/3.29)*44</f>
        <v>126298505.73976056</v>
      </c>
      <c r="P163" s="15">
        <f>Assumptions!$D$18</f>
        <v>14641750.345627395</v>
      </c>
      <c r="Q163" s="3">
        <f t="shared" ca="1" si="4"/>
        <v>56577371.772428006</v>
      </c>
      <c r="R163" s="6">
        <f t="shared" ca="1" si="5"/>
        <v>71219122.118055403</v>
      </c>
    </row>
    <row r="164" spans="1:18">
      <c r="A164" s="20">
        <v>163</v>
      </c>
      <c r="B164" s="3">
        <f ca="1">_xlfn.NORM.INV(RAND(),AVERAGE(Assumptions!$D$4,Assumptions!$F$4),(Assumptions!$F$4-Assumptions!$D$4)/3.29)*44</f>
        <v>1258821.8701958144</v>
      </c>
      <c r="C164" s="6">
        <f ca="1">_xlfn.NORM.INV(RAND(),AVERAGE(Assumptions!$D$5,Assumptions!$F$5),(Assumptions!$F$5-Assumptions!$D$5)/3.29)*44</f>
        <v>1602337.4989375954</v>
      </c>
      <c r="D164" s="9">
        <f ca="1">_xlfn.NORM.INV(RAND(),AVERAGE(Assumptions!$D$6,Assumptions!$F$6),(Assumptions!$F$6-Assumptions!$D$6)/3.29)*RANDBETWEEN(2,5)</f>
        <v>5067563.0818360709</v>
      </c>
      <c r="E164" s="12">
        <f ca="1">_xlfn.NORM.INV(RAND(),AVERAGE(Assumptions!$D$17,Assumptions!$F$17),(Assumptions!$F$17-Assumptions!$D$17)/3.29)*8</f>
        <v>984818.08010755025</v>
      </c>
      <c r="F164" s="15">
        <f ca="1">_xlfn.NORM.INV(RAND(),AVERAGE(Assumptions!$D$7,Assumptions!$F$7),(Assumptions!$F$7-Assumptions!$D$7)/3.29)*RANDBETWEEN(1,3)</f>
        <v>6990839.5443556216</v>
      </c>
      <c r="G164" s="3">
        <f ca="1">_xlfn.NORM.INV(RAND(),AVERAGE(Assumptions!$D$8,Assumptions!$F$8),(Assumptions!$F$8-Assumptions!$D$8)/3.29)*44</f>
        <v>1217617.8466952732</v>
      </c>
      <c r="H164" s="6">
        <f ca="1">_xlfn.NORM.INV(RAND(),AVERAGE(Assumptions!$D$9,Assumptions!$F$9),(Assumptions!$F$9-Assumptions!$D$9)/3.29)*21</f>
        <v>4209411.0192502346</v>
      </c>
      <c r="I164" s="9">
        <f ca="1">_xlfn.NORM.INV(RAND(),AVERAGE(Assumptions!$D$10,Assumptions!$F$10),(Assumptions!$F$10-Assumptions!$D$10)/3.29)*21</f>
        <v>1033957.8344260319</v>
      </c>
      <c r="J164" s="12">
        <f ca="1">NORMINV(RAND(),AVERAGE(Assumptions!$D$11,Assumptions!$F$11),(Assumptions!$F$11-Assumptions!$D$11)/3.29)*44</f>
        <v>1915773.1539376169</v>
      </c>
      <c r="K164" s="15">
        <f ca="1">_xlfn.NORM.INV(RAND(),AVERAGE(Assumptions!$D$12,Assumptions!$F$12),(Assumptions!$F$12-Assumptions!$D$12)/3.29)*44</f>
        <v>6209945.9115895499</v>
      </c>
      <c r="L164" s="3">
        <f ca="1">_xlfn.NORM.INV(RAND(),AVERAGE(Assumptions!$D$13,Assumptions!$F$13),(Assumptions!$F$13-Assumptions!$D$13)/3.29)*44</f>
        <v>28888497.365353949</v>
      </c>
      <c r="M164" s="6">
        <f ca="1">_xlfn.NORM.INV(RAND(),AVERAGE(Assumptions!$D$14,Assumptions!$F$14),(Assumptions!$F$14-Assumptions!$D$14)/3.29)*44</f>
        <v>6753708.6895970022</v>
      </c>
      <c r="N164" s="9">
        <f ca="1">_xlfn.NORM.INV(RAND(),AVERAGE(Assumptions!$D$16,Assumptions!$F$16),(Assumptions!$F$16-Assumptions!$D$16)/3.29)*44</f>
        <v>5727376.8891574936</v>
      </c>
      <c r="O164" s="12">
        <f ca="1">_xlfn.NORM.INV(RAND(),AVERAGE(Assumptions!$D$15,Assumptions!$F$15),(Assumptions!$F$15-Assumptions!$D$15)/3.29)*44</f>
        <v>135969194.75246641</v>
      </c>
      <c r="P164" s="15">
        <f>Assumptions!$D$18</f>
        <v>14641750.345627395</v>
      </c>
      <c r="Q164" s="3">
        <f t="shared" ca="1" si="4"/>
        <v>64108525.967026606</v>
      </c>
      <c r="R164" s="6">
        <f t="shared" ca="1" si="5"/>
        <v>78750276.312654004</v>
      </c>
    </row>
    <row r="165" spans="1:18">
      <c r="A165" s="20">
        <v>164</v>
      </c>
      <c r="B165" s="3">
        <f ca="1">_xlfn.NORM.INV(RAND(),AVERAGE(Assumptions!$D$4,Assumptions!$F$4),(Assumptions!$F$4-Assumptions!$D$4)/3.29)*44</f>
        <v>1160757.0590664824</v>
      </c>
      <c r="C165" s="6">
        <f ca="1">_xlfn.NORM.INV(RAND(),AVERAGE(Assumptions!$D$5,Assumptions!$F$5),(Assumptions!$F$5-Assumptions!$D$5)/3.29)*44</f>
        <v>1798349.8536490025</v>
      </c>
      <c r="D165" s="9">
        <f ca="1">_xlfn.NORM.INV(RAND(),AVERAGE(Assumptions!$D$6,Assumptions!$F$6),(Assumptions!$F$6-Assumptions!$D$6)/3.29)*RANDBETWEEN(2,5)</f>
        <v>5760907.8872196991</v>
      </c>
      <c r="E165" s="12">
        <f ca="1">_xlfn.NORM.INV(RAND(),AVERAGE(Assumptions!$D$17,Assumptions!$F$17),(Assumptions!$F$17-Assumptions!$D$17)/3.29)*8</f>
        <v>873112.77196373441</v>
      </c>
      <c r="F165" s="15">
        <f ca="1">_xlfn.NORM.INV(RAND(),AVERAGE(Assumptions!$D$7,Assumptions!$F$7),(Assumptions!$F$7-Assumptions!$D$7)/3.29)*RANDBETWEEN(1,3)</f>
        <v>9331604.0691971481</v>
      </c>
      <c r="G165" s="3">
        <f ca="1">_xlfn.NORM.INV(RAND(),AVERAGE(Assumptions!$D$8,Assumptions!$F$8),(Assumptions!$F$8-Assumptions!$D$8)/3.29)*44</f>
        <v>603609.49671783263</v>
      </c>
      <c r="H165" s="6">
        <f ca="1">_xlfn.NORM.INV(RAND(),AVERAGE(Assumptions!$D$9,Assumptions!$F$9),(Assumptions!$F$9-Assumptions!$D$9)/3.29)*21</f>
        <v>3202326.3465634836</v>
      </c>
      <c r="I165" s="9">
        <f ca="1">_xlfn.NORM.INV(RAND(),AVERAGE(Assumptions!$D$10,Assumptions!$F$10),(Assumptions!$F$10-Assumptions!$D$10)/3.29)*21</f>
        <v>1041187.8317625389</v>
      </c>
      <c r="J165" s="12">
        <f ca="1">NORMINV(RAND(),AVERAGE(Assumptions!$D$11,Assumptions!$F$11),(Assumptions!$F$11-Assumptions!$D$11)/3.29)*44</f>
        <v>2815372.3473052294</v>
      </c>
      <c r="K165" s="15">
        <f ca="1">_xlfn.NORM.INV(RAND(),AVERAGE(Assumptions!$D$12,Assumptions!$F$12),(Assumptions!$F$12-Assumptions!$D$12)/3.29)*44</f>
        <v>7751455.4794133529</v>
      </c>
      <c r="L165" s="3">
        <f ca="1">_xlfn.NORM.INV(RAND(),AVERAGE(Assumptions!$D$13,Assumptions!$F$13),(Assumptions!$F$13-Assumptions!$D$13)/3.29)*44</f>
        <v>15282396.068716222</v>
      </c>
      <c r="M165" s="6">
        <f ca="1">_xlfn.NORM.INV(RAND(),AVERAGE(Assumptions!$D$14,Assumptions!$F$14),(Assumptions!$F$14-Assumptions!$D$14)/3.29)*44</f>
        <v>8210625.9459293326</v>
      </c>
      <c r="N165" s="9">
        <f ca="1">_xlfn.NORM.INV(RAND(),AVERAGE(Assumptions!$D$16,Assumptions!$F$16),(Assumptions!$F$16-Assumptions!$D$16)/3.29)*44</f>
        <v>8176218.4186766092</v>
      </c>
      <c r="O165" s="12">
        <f ca="1">_xlfn.NORM.INV(RAND(),AVERAGE(Assumptions!$D$15,Assumptions!$F$15),(Assumptions!$F$15-Assumptions!$D$15)/3.29)*44</f>
        <v>60244721.91151391</v>
      </c>
      <c r="P165" s="15">
        <f>Assumptions!$D$18</f>
        <v>14641750.345627395</v>
      </c>
      <c r="Q165" s="3">
        <f t="shared" ca="1" si="4"/>
        <v>-5763201.6646667644</v>
      </c>
      <c r="R165" s="6">
        <f t="shared" ca="1" si="5"/>
        <v>8878548.680960631</v>
      </c>
    </row>
    <row r="166" spans="1:18">
      <c r="A166" s="20">
        <v>165</v>
      </c>
      <c r="B166" s="3">
        <f ca="1">_xlfn.NORM.INV(RAND(),AVERAGE(Assumptions!$D$4,Assumptions!$F$4),(Assumptions!$F$4-Assumptions!$D$4)/3.29)*44</f>
        <v>1234426.9638469596</v>
      </c>
      <c r="C166" s="6">
        <f ca="1">_xlfn.NORM.INV(RAND(),AVERAGE(Assumptions!$D$5,Assumptions!$F$5),(Assumptions!$F$5-Assumptions!$D$5)/3.29)*44</f>
        <v>1773954.30153416</v>
      </c>
      <c r="D166" s="9">
        <f ca="1">_xlfn.NORM.INV(RAND(),AVERAGE(Assumptions!$D$6,Assumptions!$F$6),(Assumptions!$F$6-Assumptions!$D$6)/3.29)*RANDBETWEEN(2,5)</f>
        <v>6500596.2760686949</v>
      </c>
      <c r="E166" s="12">
        <f ca="1">_xlfn.NORM.INV(RAND(),AVERAGE(Assumptions!$D$17,Assumptions!$F$17),(Assumptions!$F$17-Assumptions!$D$17)/3.29)*8</f>
        <v>1045273.5099666155</v>
      </c>
      <c r="F166" s="15">
        <f ca="1">_xlfn.NORM.INV(RAND(),AVERAGE(Assumptions!$D$7,Assumptions!$F$7),(Assumptions!$F$7-Assumptions!$D$7)/3.29)*RANDBETWEEN(1,3)</f>
        <v>5401126.9550309516</v>
      </c>
      <c r="G166" s="3">
        <f ca="1">_xlfn.NORM.INV(RAND(),AVERAGE(Assumptions!$D$8,Assumptions!$F$8),(Assumptions!$F$8-Assumptions!$D$8)/3.29)*44</f>
        <v>1260032.5245421126</v>
      </c>
      <c r="H166" s="6">
        <f ca="1">_xlfn.NORM.INV(RAND(),AVERAGE(Assumptions!$D$9,Assumptions!$F$9),(Assumptions!$F$9-Assumptions!$D$9)/3.29)*21</f>
        <v>2262647.2012307509</v>
      </c>
      <c r="I166" s="9">
        <f ca="1">_xlfn.NORM.INV(RAND(),AVERAGE(Assumptions!$D$10,Assumptions!$F$10),(Assumptions!$F$10-Assumptions!$D$10)/3.29)*21</f>
        <v>758408.30144856486</v>
      </c>
      <c r="J166" s="12">
        <f ca="1">NORMINV(RAND(),AVERAGE(Assumptions!$D$11,Assumptions!$F$11),(Assumptions!$F$11-Assumptions!$D$11)/3.29)*44</f>
        <v>3874890.6779249534</v>
      </c>
      <c r="K166" s="15">
        <f ca="1">_xlfn.NORM.INV(RAND(),AVERAGE(Assumptions!$D$12,Assumptions!$F$12),(Assumptions!$F$12-Assumptions!$D$12)/3.29)*44</f>
        <v>7169729.2685700748</v>
      </c>
      <c r="L166" s="3">
        <f ca="1">_xlfn.NORM.INV(RAND(),AVERAGE(Assumptions!$D$13,Assumptions!$F$13),(Assumptions!$F$13-Assumptions!$D$13)/3.29)*44</f>
        <v>18105394.627412539</v>
      </c>
      <c r="M166" s="6">
        <f ca="1">_xlfn.NORM.INV(RAND(),AVERAGE(Assumptions!$D$14,Assumptions!$F$14),(Assumptions!$F$14-Assumptions!$D$14)/3.29)*44</f>
        <v>5897842.4347593226</v>
      </c>
      <c r="N166" s="9">
        <f ca="1">_xlfn.NORM.INV(RAND(),AVERAGE(Assumptions!$D$16,Assumptions!$F$16),(Assumptions!$F$16-Assumptions!$D$16)/3.29)*44</f>
        <v>14922365.331995461</v>
      </c>
      <c r="O166" s="12">
        <f ca="1">_xlfn.NORM.INV(RAND(),AVERAGE(Assumptions!$D$15,Assumptions!$F$15),(Assumptions!$F$15-Assumptions!$D$15)/3.29)*44</f>
        <v>116440355.36699443</v>
      </c>
      <c r="P166" s="15">
        <f>Assumptions!$D$18</f>
        <v>14641750.345627395</v>
      </c>
      <c r="Q166" s="3">
        <f t="shared" ca="1" si="4"/>
        <v>46233666.992663279</v>
      </c>
      <c r="R166" s="6">
        <f t="shared" ca="1" si="5"/>
        <v>60875417.338290676</v>
      </c>
    </row>
    <row r="167" spans="1:18">
      <c r="A167" s="20">
        <v>166</v>
      </c>
      <c r="B167" s="3">
        <f ca="1">_xlfn.NORM.INV(RAND(),AVERAGE(Assumptions!$D$4,Assumptions!$F$4),(Assumptions!$F$4-Assumptions!$D$4)/3.29)*44</f>
        <v>1229334.1972952303</v>
      </c>
      <c r="C167" s="6">
        <f ca="1">_xlfn.NORM.INV(RAND(),AVERAGE(Assumptions!$D$5,Assumptions!$F$5),(Assumptions!$F$5-Assumptions!$D$5)/3.29)*44</f>
        <v>2121314.0238877116</v>
      </c>
      <c r="D167" s="9">
        <f ca="1">_xlfn.NORM.INV(RAND(),AVERAGE(Assumptions!$D$6,Assumptions!$F$6),(Assumptions!$F$6-Assumptions!$D$6)/3.29)*RANDBETWEEN(2,5)</f>
        <v>5503248.3686565654</v>
      </c>
      <c r="E167" s="12">
        <f ca="1">_xlfn.NORM.INV(RAND(),AVERAGE(Assumptions!$D$17,Assumptions!$F$17),(Assumptions!$F$17-Assumptions!$D$17)/3.29)*8</f>
        <v>879197.03116290597</v>
      </c>
      <c r="F167" s="15">
        <f ca="1">_xlfn.NORM.INV(RAND(),AVERAGE(Assumptions!$D$7,Assumptions!$F$7),(Assumptions!$F$7-Assumptions!$D$7)/3.29)*RANDBETWEEN(1,3)</f>
        <v>10768542.98602766</v>
      </c>
      <c r="G167" s="3">
        <f ca="1">_xlfn.NORM.INV(RAND(),AVERAGE(Assumptions!$D$8,Assumptions!$F$8),(Assumptions!$F$8-Assumptions!$D$8)/3.29)*44</f>
        <v>1063722.826772477</v>
      </c>
      <c r="H167" s="6">
        <f ca="1">_xlfn.NORM.INV(RAND(),AVERAGE(Assumptions!$D$9,Assumptions!$F$9),(Assumptions!$F$9-Assumptions!$D$9)/3.29)*21</f>
        <v>4555566.740892035</v>
      </c>
      <c r="I167" s="9">
        <f ca="1">_xlfn.NORM.INV(RAND(),AVERAGE(Assumptions!$D$10,Assumptions!$F$10),(Assumptions!$F$10-Assumptions!$D$10)/3.29)*21</f>
        <v>982293.09303001338</v>
      </c>
      <c r="J167" s="12">
        <f ca="1">NORMINV(RAND(),AVERAGE(Assumptions!$D$11,Assumptions!$F$11),(Assumptions!$F$11-Assumptions!$D$11)/3.29)*44</f>
        <v>2920777.9905645736</v>
      </c>
      <c r="K167" s="15">
        <f ca="1">_xlfn.NORM.INV(RAND(),AVERAGE(Assumptions!$D$12,Assumptions!$F$12),(Assumptions!$F$12-Assumptions!$D$12)/3.29)*44</f>
        <v>9599079.1063423511</v>
      </c>
      <c r="L167" s="3">
        <f ca="1">_xlfn.NORM.INV(RAND(),AVERAGE(Assumptions!$D$13,Assumptions!$F$13),(Assumptions!$F$13-Assumptions!$D$13)/3.29)*44</f>
        <v>16214691.944311466</v>
      </c>
      <c r="M167" s="6">
        <f ca="1">_xlfn.NORM.INV(RAND(),AVERAGE(Assumptions!$D$14,Assumptions!$F$14),(Assumptions!$F$14-Assumptions!$D$14)/3.29)*44</f>
        <v>6060715.586451171</v>
      </c>
      <c r="N167" s="9">
        <f ca="1">_xlfn.NORM.INV(RAND(),AVERAGE(Assumptions!$D$16,Assumptions!$F$16),(Assumptions!$F$16-Assumptions!$D$16)/3.29)*44</f>
        <v>14121987.331554884</v>
      </c>
      <c r="O167" s="12">
        <f ca="1">_xlfn.NORM.INV(RAND(),AVERAGE(Assumptions!$D$15,Assumptions!$F$15),(Assumptions!$F$15-Assumptions!$D$15)/3.29)*44</f>
        <v>61236019.611382395</v>
      </c>
      <c r="P167" s="15">
        <f>Assumptions!$D$18</f>
        <v>14641750.345627395</v>
      </c>
      <c r="Q167" s="3">
        <f t="shared" ca="1" si="4"/>
        <v>-14784451.615566656</v>
      </c>
      <c r="R167" s="6">
        <f t="shared" ca="1" si="5"/>
        <v>-142701.26993926056</v>
      </c>
    </row>
    <row r="168" spans="1:18">
      <c r="A168" s="20">
        <v>167</v>
      </c>
      <c r="B168" s="3">
        <f ca="1">_xlfn.NORM.INV(RAND(),AVERAGE(Assumptions!$D$4,Assumptions!$F$4),(Assumptions!$F$4-Assumptions!$D$4)/3.29)*44</f>
        <v>1173651.4123641292</v>
      </c>
      <c r="C168" s="6">
        <f ca="1">_xlfn.NORM.INV(RAND(),AVERAGE(Assumptions!$D$5,Assumptions!$F$5),(Assumptions!$F$5-Assumptions!$D$5)/3.29)*44</f>
        <v>1897489.0920307168</v>
      </c>
      <c r="D168" s="9">
        <f ca="1">_xlfn.NORM.INV(RAND(),AVERAGE(Assumptions!$D$6,Assumptions!$F$6),(Assumptions!$F$6-Assumptions!$D$6)/3.29)*RANDBETWEEN(2,5)</f>
        <v>2849506.4704759577</v>
      </c>
      <c r="E168" s="12">
        <f ca="1">_xlfn.NORM.INV(RAND(),AVERAGE(Assumptions!$D$17,Assumptions!$F$17),(Assumptions!$F$17-Assumptions!$D$17)/3.29)*8</f>
        <v>854171.91318342113</v>
      </c>
      <c r="F168" s="15">
        <f ca="1">_xlfn.NORM.INV(RAND(),AVERAGE(Assumptions!$D$7,Assumptions!$F$7),(Assumptions!$F$7-Assumptions!$D$7)/3.29)*RANDBETWEEN(1,3)</f>
        <v>9765825.0895645618</v>
      </c>
      <c r="G168" s="3">
        <f ca="1">_xlfn.NORM.INV(RAND(),AVERAGE(Assumptions!$D$8,Assumptions!$F$8),(Assumptions!$F$8-Assumptions!$D$8)/3.29)*44</f>
        <v>944033.6674746552</v>
      </c>
      <c r="H168" s="6">
        <f ca="1">_xlfn.NORM.INV(RAND(),AVERAGE(Assumptions!$D$9,Assumptions!$F$9),(Assumptions!$F$9-Assumptions!$D$9)/3.29)*21</f>
        <v>5744165.5223622601</v>
      </c>
      <c r="I168" s="9">
        <f ca="1">_xlfn.NORM.INV(RAND(),AVERAGE(Assumptions!$D$10,Assumptions!$F$10),(Assumptions!$F$10-Assumptions!$D$10)/3.29)*21</f>
        <v>985740.78629537008</v>
      </c>
      <c r="J168" s="12">
        <f ca="1">NORMINV(RAND(),AVERAGE(Assumptions!$D$11,Assumptions!$F$11),(Assumptions!$F$11-Assumptions!$D$11)/3.29)*44</f>
        <v>1798422.2544433072</v>
      </c>
      <c r="K168" s="15">
        <f ca="1">_xlfn.NORM.INV(RAND(),AVERAGE(Assumptions!$D$12,Assumptions!$F$12),(Assumptions!$F$12-Assumptions!$D$12)/3.29)*44</f>
        <v>5759917.8941904018</v>
      </c>
      <c r="L168" s="3">
        <f ca="1">_xlfn.NORM.INV(RAND(),AVERAGE(Assumptions!$D$13,Assumptions!$F$13),(Assumptions!$F$13-Assumptions!$D$13)/3.29)*44</f>
        <v>17268146.801255308</v>
      </c>
      <c r="M168" s="6">
        <f ca="1">_xlfn.NORM.INV(RAND(),AVERAGE(Assumptions!$D$14,Assumptions!$F$14),(Assumptions!$F$14-Assumptions!$D$14)/3.29)*44</f>
        <v>8163212.1898872051</v>
      </c>
      <c r="N168" s="9">
        <f ca="1">_xlfn.NORM.INV(RAND(),AVERAGE(Assumptions!$D$16,Assumptions!$F$16),(Assumptions!$F$16-Assumptions!$D$16)/3.29)*44</f>
        <v>12818191.837677937</v>
      </c>
      <c r="O168" s="12">
        <f ca="1">_xlfn.NORM.INV(RAND(),AVERAGE(Assumptions!$D$15,Assumptions!$F$15),(Assumptions!$F$15-Assumptions!$D$15)/3.29)*44</f>
        <v>83652047.947277084</v>
      </c>
      <c r="P168" s="15">
        <f>Assumptions!$D$18</f>
        <v>14641750.345627395</v>
      </c>
      <c r="Q168" s="3">
        <f t="shared" ca="1" si="4"/>
        <v>13629573.016071856</v>
      </c>
      <c r="R168" s="6">
        <f t="shared" ca="1" si="5"/>
        <v>28271323.361699253</v>
      </c>
    </row>
    <row r="169" spans="1:18">
      <c r="A169" s="20">
        <v>168</v>
      </c>
      <c r="B169" s="3">
        <f ca="1">_xlfn.NORM.INV(RAND(),AVERAGE(Assumptions!$D$4,Assumptions!$F$4),(Assumptions!$F$4-Assumptions!$D$4)/3.29)*44</f>
        <v>1210167.0308791038</v>
      </c>
      <c r="C169" s="6">
        <f ca="1">_xlfn.NORM.INV(RAND(),AVERAGE(Assumptions!$D$5,Assumptions!$F$5),(Assumptions!$F$5-Assumptions!$D$5)/3.29)*44</f>
        <v>1954953.6318615482</v>
      </c>
      <c r="D169" s="9">
        <f ca="1">_xlfn.NORM.INV(RAND(),AVERAGE(Assumptions!$D$6,Assumptions!$F$6),(Assumptions!$F$6-Assumptions!$D$6)/3.29)*RANDBETWEEN(2,5)</f>
        <v>3498549.1964597129</v>
      </c>
      <c r="E169" s="12">
        <f ca="1">_xlfn.NORM.INV(RAND(),AVERAGE(Assumptions!$D$17,Assumptions!$F$17),(Assumptions!$F$17-Assumptions!$D$17)/3.29)*8</f>
        <v>1137572.6827617951</v>
      </c>
      <c r="F169" s="15">
        <f ca="1">_xlfn.NORM.INV(RAND(),AVERAGE(Assumptions!$D$7,Assumptions!$F$7),(Assumptions!$F$7-Assumptions!$D$7)/3.29)*RANDBETWEEN(1,3)</f>
        <v>5431451.8473440334</v>
      </c>
      <c r="G169" s="3">
        <f ca="1">_xlfn.NORM.INV(RAND(),AVERAGE(Assumptions!$D$8,Assumptions!$F$8),(Assumptions!$F$8-Assumptions!$D$8)/3.29)*44</f>
        <v>993712.86325618392</v>
      </c>
      <c r="H169" s="6">
        <f ca="1">_xlfn.NORM.INV(RAND(),AVERAGE(Assumptions!$D$9,Assumptions!$F$9),(Assumptions!$F$9-Assumptions!$D$9)/3.29)*21</f>
        <v>5029188.18158847</v>
      </c>
      <c r="I169" s="9">
        <f ca="1">_xlfn.NORM.INV(RAND(),AVERAGE(Assumptions!$D$10,Assumptions!$F$10),(Assumptions!$F$10-Assumptions!$D$10)/3.29)*21</f>
        <v>861215.52164287982</v>
      </c>
      <c r="J169" s="12">
        <f ca="1">NORMINV(RAND(),AVERAGE(Assumptions!$D$11,Assumptions!$F$11),(Assumptions!$F$11-Assumptions!$D$11)/3.29)*44</f>
        <v>1349283.8593245412</v>
      </c>
      <c r="K169" s="15">
        <f ca="1">_xlfn.NORM.INV(RAND(),AVERAGE(Assumptions!$D$12,Assumptions!$F$12),(Assumptions!$F$12-Assumptions!$D$12)/3.29)*44</f>
        <v>10442216.728792351</v>
      </c>
      <c r="L169" s="3">
        <f ca="1">_xlfn.NORM.INV(RAND(),AVERAGE(Assumptions!$D$13,Assumptions!$F$13),(Assumptions!$F$13-Assumptions!$D$13)/3.29)*44</f>
        <v>25739013.361462843</v>
      </c>
      <c r="M169" s="6">
        <f ca="1">_xlfn.NORM.INV(RAND(),AVERAGE(Assumptions!$D$14,Assumptions!$F$14),(Assumptions!$F$14-Assumptions!$D$14)/3.29)*44</f>
        <v>7543803.7269628299</v>
      </c>
      <c r="N169" s="9">
        <f ca="1">_xlfn.NORM.INV(RAND(),AVERAGE(Assumptions!$D$16,Assumptions!$F$16),(Assumptions!$F$16-Assumptions!$D$16)/3.29)*44</f>
        <v>3343653.6308717048</v>
      </c>
      <c r="O169" s="12">
        <f ca="1">_xlfn.NORM.INV(RAND(),AVERAGE(Assumptions!$D$15,Assumptions!$F$15),(Assumptions!$F$15-Assumptions!$D$15)/3.29)*44</f>
        <v>139179670.17035234</v>
      </c>
      <c r="P169" s="15">
        <f>Assumptions!$D$18</f>
        <v>14641750.345627395</v>
      </c>
      <c r="Q169" s="3">
        <f t="shared" ca="1" si="4"/>
        <v>70644887.907144353</v>
      </c>
      <c r="R169" s="6">
        <f t="shared" ca="1" si="5"/>
        <v>85286638.25277175</v>
      </c>
    </row>
    <row r="170" spans="1:18">
      <c r="A170" s="20">
        <v>169</v>
      </c>
      <c r="B170" s="3">
        <f ca="1">_xlfn.NORM.INV(RAND(),AVERAGE(Assumptions!$D$4,Assumptions!$F$4),(Assumptions!$F$4-Assumptions!$D$4)/3.29)*44</f>
        <v>1215206.3352942041</v>
      </c>
      <c r="C170" s="6">
        <f ca="1">_xlfn.NORM.INV(RAND(),AVERAGE(Assumptions!$D$5,Assumptions!$F$5),(Assumptions!$F$5-Assumptions!$D$5)/3.29)*44</f>
        <v>1798273.8361614132</v>
      </c>
      <c r="D170" s="9">
        <f ca="1">_xlfn.NORM.INV(RAND(),AVERAGE(Assumptions!$D$6,Assumptions!$F$6),(Assumptions!$F$6-Assumptions!$D$6)/3.29)*RANDBETWEEN(2,5)</f>
        <v>1278685.9286675712</v>
      </c>
      <c r="E170" s="12">
        <f ca="1">_xlfn.NORM.INV(RAND(),AVERAGE(Assumptions!$D$17,Assumptions!$F$17),(Assumptions!$F$17-Assumptions!$D$17)/3.29)*8</f>
        <v>1030161.2707744616</v>
      </c>
      <c r="F170" s="15">
        <f ca="1">_xlfn.NORM.INV(RAND(),AVERAGE(Assumptions!$D$7,Assumptions!$F$7),(Assumptions!$F$7-Assumptions!$D$7)/3.29)*RANDBETWEEN(1,3)</f>
        <v>6685190.9674076196</v>
      </c>
      <c r="G170" s="3">
        <f ca="1">_xlfn.NORM.INV(RAND(),AVERAGE(Assumptions!$D$8,Assumptions!$F$8),(Assumptions!$F$8-Assumptions!$D$8)/3.29)*44</f>
        <v>1331926.9672889593</v>
      </c>
      <c r="H170" s="6">
        <f ca="1">_xlfn.NORM.INV(RAND(),AVERAGE(Assumptions!$D$9,Assumptions!$F$9),(Assumptions!$F$9-Assumptions!$D$9)/3.29)*21</f>
        <v>5240259.80545286</v>
      </c>
      <c r="I170" s="9">
        <f ca="1">_xlfn.NORM.INV(RAND(),AVERAGE(Assumptions!$D$10,Assumptions!$F$10),(Assumptions!$F$10-Assumptions!$D$10)/3.29)*21</f>
        <v>874657.5886669365</v>
      </c>
      <c r="J170" s="12">
        <f ca="1">NORMINV(RAND(),AVERAGE(Assumptions!$D$11,Assumptions!$F$11),(Assumptions!$F$11-Assumptions!$D$11)/3.29)*44</f>
        <v>3438210.2574212421</v>
      </c>
      <c r="K170" s="15">
        <f ca="1">_xlfn.NORM.INV(RAND(),AVERAGE(Assumptions!$D$12,Assumptions!$F$12),(Assumptions!$F$12-Assumptions!$D$12)/3.29)*44</f>
        <v>8536225.5286874827</v>
      </c>
      <c r="L170" s="3">
        <f ca="1">_xlfn.NORM.INV(RAND(),AVERAGE(Assumptions!$D$13,Assumptions!$F$13),(Assumptions!$F$13-Assumptions!$D$13)/3.29)*44</f>
        <v>16879276.631411489</v>
      </c>
      <c r="M170" s="6">
        <f ca="1">_xlfn.NORM.INV(RAND(),AVERAGE(Assumptions!$D$14,Assumptions!$F$14),(Assumptions!$F$14-Assumptions!$D$14)/3.29)*44</f>
        <v>6609697.54591073</v>
      </c>
      <c r="N170" s="9">
        <f ca="1">_xlfn.NORM.INV(RAND(),AVERAGE(Assumptions!$D$16,Assumptions!$F$16),(Assumptions!$F$16-Assumptions!$D$16)/3.29)*44</f>
        <v>4982784.1704158215</v>
      </c>
      <c r="O170" s="12">
        <f ca="1">_xlfn.NORM.INV(RAND(),AVERAGE(Assumptions!$D$15,Assumptions!$F$15),(Assumptions!$F$15-Assumptions!$D$15)/3.29)*44</f>
        <v>89055010.270733759</v>
      </c>
      <c r="P170" s="15">
        <f>Assumptions!$D$18</f>
        <v>14641750.345627395</v>
      </c>
      <c r="Q170" s="3">
        <f t="shared" ca="1" si="4"/>
        <v>29154453.437172972</v>
      </c>
      <c r="R170" s="6">
        <f t="shared" ca="1" si="5"/>
        <v>43796203.782800369</v>
      </c>
    </row>
    <row r="171" spans="1:18">
      <c r="A171" s="20">
        <v>170</v>
      </c>
      <c r="B171" s="3">
        <f ca="1">_xlfn.NORM.INV(RAND(),AVERAGE(Assumptions!$D$4,Assumptions!$F$4),(Assumptions!$F$4-Assumptions!$D$4)/3.29)*44</f>
        <v>1211345.2817188608</v>
      </c>
      <c r="C171" s="6">
        <f ca="1">_xlfn.NORM.INV(RAND(),AVERAGE(Assumptions!$D$5,Assumptions!$F$5),(Assumptions!$F$5-Assumptions!$D$5)/3.29)*44</f>
        <v>1383867.5276659634</v>
      </c>
      <c r="D171" s="9">
        <f ca="1">_xlfn.NORM.INV(RAND(),AVERAGE(Assumptions!$D$6,Assumptions!$F$6),(Assumptions!$F$6-Assumptions!$D$6)/3.29)*RANDBETWEEN(2,5)</f>
        <v>11049598.120228874</v>
      </c>
      <c r="E171" s="12">
        <f ca="1">_xlfn.NORM.INV(RAND(),AVERAGE(Assumptions!$D$17,Assumptions!$F$17),(Assumptions!$F$17-Assumptions!$D$17)/3.29)*8</f>
        <v>835895.8430367395</v>
      </c>
      <c r="F171" s="15">
        <f ca="1">_xlfn.NORM.INV(RAND(),AVERAGE(Assumptions!$D$7,Assumptions!$F$7),(Assumptions!$F$7-Assumptions!$D$7)/3.29)*RANDBETWEEN(1,3)</f>
        <v>6558144.3945352696</v>
      </c>
      <c r="G171" s="3">
        <f ca="1">_xlfn.NORM.INV(RAND(),AVERAGE(Assumptions!$D$8,Assumptions!$F$8),(Assumptions!$F$8-Assumptions!$D$8)/3.29)*44</f>
        <v>1145545.0159753608</v>
      </c>
      <c r="H171" s="6">
        <f ca="1">_xlfn.NORM.INV(RAND(),AVERAGE(Assumptions!$D$9,Assumptions!$F$9),(Assumptions!$F$9-Assumptions!$D$9)/3.29)*21</f>
        <v>4234506.4775557229</v>
      </c>
      <c r="I171" s="9">
        <f ca="1">_xlfn.NORM.INV(RAND(),AVERAGE(Assumptions!$D$10,Assumptions!$F$10),(Assumptions!$F$10-Assumptions!$D$10)/3.29)*21</f>
        <v>587436.28379864735</v>
      </c>
      <c r="J171" s="12">
        <f ca="1">NORMINV(RAND(),AVERAGE(Assumptions!$D$11,Assumptions!$F$11),(Assumptions!$F$11-Assumptions!$D$11)/3.29)*44</f>
        <v>2655006.5939172525</v>
      </c>
      <c r="K171" s="15">
        <f ca="1">_xlfn.NORM.INV(RAND(),AVERAGE(Assumptions!$D$12,Assumptions!$F$12),(Assumptions!$F$12-Assumptions!$D$12)/3.29)*44</f>
        <v>11142038.138463952</v>
      </c>
      <c r="L171" s="3">
        <f ca="1">_xlfn.NORM.INV(RAND(),AVERAGE(Assumptions!$D$13,Assumptions!$F$13),(Assumptions!$F$13-Assumptions!$D$13)/3.29)*44</f>
        <v>18605930.023018826</v>
      </c>
      <c r="M171" s="6">
        <f ca="1">_xlfn.NORM.INV(RAND(),AVERAGE(Assumptions!$D$14,Assumptions!$F$14),(Assumptions!$F$14-Assumptions!$D$14)/3.29)*44</f>
        <v>6308763.6352700451</v>
      </c>
      <c r="N171" s="9">
        <f ca="1">_xlfn.NORM.INV(RAND(),AVERAGE(Assumptions!$D$16,Assumptions!$F$16),(Assumptions!$F$16-Assumptions!$D$16)/3.29)*44</f>
        <v>10375725.91714255</v>
      </c>
      <c r="O171" s="12">
        <f ca="1">_xlfn.NORM.INV(RAND(),AVERAGE(Assumptions!$D$15,Assumptions!$F$15),(Assumptions!$F$15-Assumptions!$D$15)/3.29)*44</f>
        <v>92539356.342919439</v>
      </c>
      <c r="P171" s="15">
        <f>Assumptions!$D$18</f>
        <v>14641750.345627395</v>
      </c>
      <c r="Q171" s="3">
        <f t="shared" ca="1" si="4"/>
        <v>16445553.090591371</v>
      </c>
      <c r="R171" s="6">
        <f t="shared" ca="1" si="5"/>
        <v>31087303.436218768</v>
      </c>
    </row>
    <row r="172" spans="1:18">
      <c r="A172" s="20">
        <v>171</v>
      </c>
      <c r="B172" s="3">
        <f ca="1">_xlfn.NORM.INV(RAND(),AVERAGE(Assumptions!$D$4,Assumptions!$F$4),(Assumptions!$F$4-Assumptions!$D$4)/3.29)*44</f>
        <v>1253319.6856905704</v>
      </c>
      <c r="C172" s="6">
        <f ca="1">_xlfn.NORM.INV(RAND(),AVERAGE(Assumptions!$D$5,Assumptions!$F$5),(Assumptions!$F$5-Assumptions!$D$5)/3.29)*44</f>
        <v>1725915.738030808</v>
      </c>
      <c r="D172" s="9">
        <f ca="1">_xlfn.NORM.INV(RAND(),AVERAGE(Assumptions!$D$6,Assumptions!$F$6),(Assumptions!$F$6-Assumptions!$D$6)/3.29)*RANDBETWEEN(2,5)</f>
        <v>5749585.4696524199</v>
      </c>
      <c r="E172" s="12">
        <f ca="1">_xlfn.NORM.INV(RAND(),AVERAGE(Assumptions!$D$17,Assumptions!$F$17),(Assumptions!$F$17-Assumptions!$D$17)/3.29)*8</f>
        <v>935516.74265895132</v>
      </c>
      <c r="F172" s="15">
        <f ca="1">_xlfn.NORM.INV(RAND(),AVERAGE(Assumptions!$D$7,Assumptions!$F$7),(Assumptions!$F$7-Assumptions!$D$7)/3.29)*RANDBETWEEN(1,3)</f>
        <v>5772480.6816448541</v>
      </c>
      <c r="G172" s="3">
        <f ca="1">_xlfn.NORM.INV(RAND(),AVERAGE(Assumptions!$D$8,Assumptions!$F$8),(Assumptions!$F$8-Assumptions!$D$8)/3.29)*44</f>
        <v>1299322.2695966871</v>
      </c>
      <c r="H172" s="6">
        <f ca="1">_xlfn.NORM.INV(RAND(),AVERAGE(Assumptions!$D$9,Assumptions!$F$9),(Assumptions!$F$9-Assumptions!$D$9)/3.29)*21</f>
        <v>7338697.4135490814</v>
      </c>
      <c r="I172" s="9">
        <f ca="1">_xlfn.NORM.INV(RAND(),AVERAGE(Assumptions!$D$10,Assumptions!$F$10),(Assumptions!$F$10-Assumptions!$D$10)/3.29)*21</f>
        <v>664112.50345839921</v>
      </c>
      <c r="J172" s="12">
        <f ca="1">NORMINV(RAND(),AVERAGE(Assumptions!$D$11,Assumptions!$F$11),(Assumptions!$F$11-Assumptions!$D$11)/3.29)*44</f>
        <v>4005601.1021387042</v>
      </c>
      <c r="K172" s="15">
        <f ca="1">_xlfn.NORM.INV(RAND(),AVERAGE(Assumptions!$D$12,Assumptions!$F$12),(Assumptions!$F$12-Assumptions!$D$12)/3.29)*44</f>
        <v>7165363.716033766</v>
      </c>
      <c r="L172" s="3">
        <f ca="1">_xlfn.NORM.INV(RAND(),AVERAGE(Assumptions!$D$13,Assumptions!$F$13),(Assumptions!$F$13-Assumptions!$D$13)/3.29)*44</f>
        <v>13384621.814144453</v>
      </c>
      <c r="M172" s="6">
        <f ca="1">_xlfn.NORM.INV(RAND(),AVERAGE(Assumptions!$D$14,Assumptions!$F$14),(Assumptions!$F$14-Assumptions!$D$14)/3.29)*44</f>
        <v>6864567.8370223353</v>
      </c>
      <c r="N172" s="9">
        <f ca="1">_xlfn.NORM.INV(RAND(),AVERAGE(Assumptions!$D$16,Assumptions!$F$16),(Assumptions!$F$16-Assumptions!$D$16)/3.29)*44</f>
        <v>7247336.8921665596</v>
      </c>
      <c r="O172" s="12">
        <f ca="1">_xlfn.NORM.INV(RAND(),AVERAGE(Assumptions!$D$15,Assumptions!$F$15),(Assumptions!$F$15-Assumptions!$D$15)/3.29)*44</f>
        <v>82149613.842743173</v>
      </c>
      <c r="P172" s="15">
        <f>Assumptions!$D$18</f>
        <v>14641750.345627395</v>
      </c>
      <c r="Q172" s="3">
        <f t="shared" ca="1" si="4"/>
        <v>18743171.976955578</v>
      </c>
      <c r="R172" s="6">
        <f t="shared" ca="1" si="5"/>
        <v>33384922.322582975</v>
      </c>
    </row>
    <row r="173" spans="1:18">
      <c r="A173" s="20">
        <v>172</v>
      </c>
      <c r="B173" s="3">
        <f ca="1">_xlfn.NORM.INV(RAND(),AVERAGE(Assumptions!$D$4,Assumptions!$F$4),(Assumptions!$F$4-Assumptions!$D$4)/3.29)*44</f>
        <v>1219159.1147230843</v>
      </c>
      <c r="C173" s="6">
        <f ca="1">_xlfn.NORM.INV(RAND(),AVERAGE(Assumptions!$D$5,Assumptions!$F$5),(Assumptions!$F$5-Assumptions!$D$5)/3.29)*44</f>
        <v>1817916.8504545782</v>
      </c>
      <c r="D173" s="9">
        <f ca="1">_xlfn.NORM.INV(RAND(),AVERAGE(Assumptions!$D$6,Assumptions!$F$6),(Assumptions!$F$6-Assumptions!$D$6)/3.29)*RANDBETWEEN(2,5)</f>
        <v>5435323.7633303721</v>
      </c>
      <c r="E173" s="12">
        <f ca="1">_xlfn.NORM.INV(RAND(),AVERAGE(Assumptions!$D$17,Assumptions!$F$17),(Assumptions!$F$17-Assumptions!$D$17)/3.29)*8</f>
        <v>1137770.1706957114</v>
      </c>
      <c r="F173" s="15">
        <f ca="1">_xlfn.NORM.INV(RAND(),AVERAGE(Assumptions!$D$7,Assumptions!$F$7),(Assumptions!$F$7-Assumptions!$D$7)/3.29)*RANDBETWEEN(1,3)</f>
        <v>13601081.373124097</v>
      </c>
      <c r="G173" s="3">
        <f ca="1">_xlfn.NORM.INV(RAND(),AVERAGE(Assumptions!$D$8,Assumptions!$F$8),(Assumptions!$F$8-Assumptions!$D$8)/3.29)*44</f>
        <v>1045342.2009201773</v>
      </c>
      <c r="H173" s="6">
        <f ca="1">_xlfn.NORM.INV(RAND(),AVERAGE(Assumptions!$D$9,Assumptions!$F$9),(Assumptions!$F$9-Assumptions!$D$9)/3.29)*21</f>
        <v>4735304.3536110362</v>
      </c>
      <c r="I173" s="9">
        <f ca="1">_xlfn.NORM.INV(RAND(),AVERAGE(Assumptions!$D$10,Assumptions!$F$10),(Assumptions!$F$10-Assumptions!$D$10)/3.29)*21</f>
        <v>1006167.9890239354</v>
      </c>
      <c r="J173" s="12">
        <f ca="1">NORMINV(RAND(),AVERAGE(Assumptions!$D$11,Assumptions!$F$11),(Assumptions!$F$11-Assumptions!$D$11)/3.29)*44</f>
        <v>2707169.0757747293</v>
      </c>
      <c r="K173" s="15">
        <f ca="1">_xlfn.NORM.INV(RAND(),AVERAGE(Assumptions!$D$12,Assumptions!$F$12),(Assumptions!$F$12-Assumptions!$D$12)/3.29)*44</f>
        <v>6652240.8114364101</v>
      </c>
      <c r="L173" s="3">
        <f ca="1">_xlfn.NORM.INV(RAND(),AVERAGE(Assumptions!$D$13,Assumptions!$F$13),(Assumptions!$F$13-Assumptions!$D$13)/3.29)*44</f>
        <v>13969825.275889263</v>
      </c>
      <c r="M173" s="6">
        <f ca="1">_xlfn.NORM.INV(RAND(),AVERAGE(Assumptions!$D$14,Assumptions!$F$14),(Assumptions!$F$14-Assumptions!$D$14)/3.29)*44</f>
        <v>8565303.6434859969</v>
      </c>
      <c r="N173" s="9">
        <f ca="1">_xlfn.NORM.INV(RAND(),AVERAGE(Assumptions!$D$16,Assumptions!$F$16),(Assumptions!$F$16-Assumptions!$D$16)/3.29)*44</f>
        <v>14078579.371047564</v>
      </c>
      <c r="O173" s="12">
        <f ca="1">_xlfn.NORM.INV(RAND(),AVERAGE(Assumptions!$D$15,Assumptions!$F$15),(Assumptions!$F$15-Assumptions!$D$15)/3.29)*44</f>
        <v>98354303.639278471</v>
      </c>
      <c r="P173" s="15">
        <f>Assumptions!$D$18</f>
        <v>14641750.345627395</v>
      </c>
      <c r="Q173" s="3">
        <f t="shared" ca="1" si="4"/>
        <v>22383119.645761535</v>
      </c>
      <c r="R173" s="6">
        <f t="shared" ca="1" si="5"/>
        <v>37024869.991388932</v>
      </c>
    </row>
    <row r="174" spans="1:18">
      <c r="A174" s="20">
        <v>173</v>
      </c>
      <c r="B174" s="3">
        <f ca="1">_xlfn.NORM.INV(RAND(),AVERAGE(Assumptions!$D$4,Assumptions!$F$4),(Assumptions!$F$4-Assumptions!$D$4)/3.29)*44</f>
        <v>1250828.2859448281</v>
      </c>
      <c r="C174" s="6">
        <f ca="1">_xlfn.NORM.INV(RAND(),AVERAGE(Assumptions!$D$5,Assumptions!$F$5),(Assumptions!$F$5-Assumptions!$D$5)/3.29)*44</f>
        <v>1820211.3154345884</v>
      </c>
      <c r="D174" s="9">
        <f ca="1">_xlfn.NORM.INV(RAND(),AVERAGE(Assumptions!$D$6,Assumptions!$F$6),(Assumptions!$F$6-Assumptions!$D$6)/3.29)*RANDBETWEEN(2,5)</f>
        <v>3703985.8483614987</v>
      </c>
      <c r="E174" s="12">
        <f ca="1">_xlfn.NORM.INV(RAND(),AVERAGE(Assumptions!$D$17,Assumptions!$F$17),(Assumptions!$F$17-Assumptions!$D$17)/3.29)*8</f>
        <v>1099283.7292375534</v>
      </c>
      <c r="F174" s="15">
        <f ca="1">_xlfn.NORM.INV(RAND(),AVERAGE(Assumptions!$D$7,Assumptions!$F$7),(Assumptions!$F$7-Assumptions!$D$7)/3.29)*RANDBETWEEN(1,3)</f>
        <v>2639319.2829472185</v>
      </c>
      <c r="G174" s="3">
        <f ca="1">_xlfn.NORM.INV(RAND(),AVERAGE(Assumptions!$D$8,Assumptions!$F$8),(Assumptions!$F$8-Assumptions!$D$8)/3.29)*44</f>
        <v>825178.79741080024</v>
      </c>
      <c r="H174" s="6">
        <f ca="1">_xlfn.NORM.INV(RAND(),AVERAGE(Assumptions!$D$9,Assumptions!$F$9),(Assumptions!$F$9-Assumptions!$D$9)/3.29)*21</f>
        <v>4336359.5796314562</v>
      </c>
      <c r="I174" s="9">
        <f ca="1">_xlfn.NORM.INV(RAND(),AVERAGE(Assumptions!$D$10,Assumptions!$F$10),(Assumptions!$F$10-Assumptions!$D$10)/3.29)*21</f>
        <v>1411245.7139156607</v>
      </c>
      <c r="J174" s="12">
        <f ca="1">NORMINV(RAND(),AVERAGE(Assumptions!$D$11,Assumptions!$F$11),(Assumptions!$F$11-Assumptions!$D$11)/3.29)*44</f>
        <v>1559010.6976008485</v>
      </c>
      <c r="K174" s="15">
        <f ca="1">_xlfn.NORM.INV(RAND(),AVERAGE(Assumptions!$D$12,Assumptions!$F$12),(Assumptions!$F$12-Assumptions!$D$12)/3.29)*44</f>
        <v>11487100.740108157</v>
      </c>
      <c r="L174" s="3">
        <f ca="1">_xlfn.NORM.INV(RAND(),AVERAGE(Assumptions!$D$13,Assumptions!$F$13),(Assumptions!$F$13-Assumptions!$D$13)/3.29)*44</f>
        <v>19528837.925501235</v>
      </c>
      <c r="M174" s="6">
        <f ca="1">_xlfn.NORM.INV(RAND(),AVERAGE(Assumptions!$D$14,Assumptions!$F$14),(Assumptions!$F$14-Assumptions!$D$14)/3.29)*44</f>
        <v>6938454.0266373456</v>
      </c>
      <c r="N174" s="9">
        <f ca="1">_xlfn.NORM.INV(RAND(),AVERAGE(Assumptions!$D$16,Assumptions!$F$16),(Assumptions!$F$16-Assumptions!$D$16)/3.29)*44</f>
        <v>18147398.043239228</v>
      </c>
      <c r="O174" s="12">
        <f ca="1">_xlfn.NORM.INV(RAND(),AVERAGE(Assumptions!$D$15,Assumptions!$F$15),(Assumptions!$F$15-Assumptions!$D$15)/3.29)*44</f>
        <v>140843011.99256781</v>
      </c>
      <c r="P174" s="15">
        <f>Assumptions!$D$18</f>
        <v>14641750.345627395</v>
      </c>
      <c r="Q174" s="3">
        <f t="shared" ca="1" si="4"/>
        <v>66095798.006597385</v>
      </c>
      <c r="R174" s="6">
        <f t="shared" ca="1" si="5"/>
        <v>80737548.352224782</v>
      </c>
    </row>
    <row r="175" spans="1:18">
      <c r="A175" s="20">
        <v>174</v>
      </c>
      <c r="B175" s="3">
        <f ca="1">_xlfn.NORM.INV(RAND(),AVERAGE(Assumptions!$D$4,Assumptions!$F$4),(Assumptions!$F$4-Assumptions!$D$4)/3.29)*44</f>
        <v>1274671.0781312338</v>
      </c>
      <c r="C175" s="6">
        <f ca="1">_xlfn.NORM.INV(RAND(),AVERAGE(Assumptions!$D$5,Assumptions!$F$5),(Assumptions!$F$5-Assumptions!$D$5)/3.29)*44</f>
        <v>1994854.1040259018</v>
      </c>
      <c r="D175" s="9">
        <f ca="1">_xlfn.NORM.INV(RAND(),AVERAGE(Assumptions!$D$6,Assumptions!$F$6),(Assumptions!$F$6-Assumptions!$D$6)/3.29)*RANDBETWEEN(2,5)</f>
        <v>1814937.077313784</v>
      </c>
      <c r="E175" s="12">
        <f ca="1">_xlfn.NORM.INV(RAND(),AVERAGE(Assumptions!$D$17,Assumptions!$F$17),(Assumptions!$F$17-Assumptions!$D$17)/3.29)*8</f>
        <v>1032767.3082797485</v>
      </c>
      <c r="F175" s="15">
        <f ca="1">_xlfn.NORM.INV(RAND(),AVERAGE(Assumptions!$D$7,Assumptions!$F$7),(Assumptions!$F$7-Assumptions!$D$7)/3.29)*RANDBETWEEN(1,3)</f>
        <v>5949450.8624492586</v>
      </c>
      <c r="G175" s="3">
        <f ca="1">_xlfn.NORM.INV(RAND(),AVERAGE(Assumptions!$D$8,Assumptions!$F$8),(Assumptions!$F$8-Assumptions!$D$8)/3.29)*44</f>
        <v>1134451.6182113218</v>
      </c>
      <c r="H175" s="6">
        <f ca="1">_xlfn.NORM.INV(RAND(),AVERAGE(Assumptions!$D$9,Assumptions!$F$9),(Assumptions!$F$9-Assumptions!$D$9)/3.29)*21</f>
        <v>3474695.2762044901</v>
      </c>
      <c r="I175" s="9">
        <f ca="1">_xlfn.NORM.INV(RAND(),AVERAGE(Assumptions!$D$10,Assumptions!$F$10),(Assumptions!$F$10-Assumptions!$D$10)/3.29)*21</f>
        <v>880144.08362215979</v>
      </c>
      <c r="J175" s="12">
        <f ca="1">NORMINV(RAND(),AVERAGE(Assumptions!$D$11,Assumptions!$F$11),(Assumptions!$F$11-Assumptions!$D$11)/3.29)*44</f>
        <v>3360420.9983872687</v>
      </c>
      <c r="K175" s="15">
        <f ca="1">_xlfn.NORM.INV(RAND(),AVERAGE(Assumptions!$D$12,Assumptions!$F$12),(Assumptions!$F$12-Assumptions!$D$12)/3.29)*44</f>
        <v>7911097.4631926613</v>
      </c>
      <c r="L175" s="3">
        <f ca="1">_xlfn.NORM.INV(RAND(),AVERAGE(Assumptions!$D$13,Assumptions!$F$13),(Assumptions!$F$13-Assumptions!$D$13)/3.29)*44</f>
        <v>14349687.773818072</v>
      </c>
      <c r="M175" s="6">
        <f ca="1">_xlfn.NORM.INV(RAND(),AVERAGE(Assumptions!$D$14,Assumptions!$F$14),(Assumptions!$F$14-Assumptions!$D$14)/3.29)*44</f>
        <v>5755909.7039106395</v>
      </c>
      <c r="N175" s="9">
        <f ca="1">_xlfn.NORM.INV(RAND(),AVERAGE(Assumptions!$D$16,Assumptions!$F$16),(Assumptions!$F$16-Assumptions!$D$16)/3.29)*44</f>
        <v>6114423.8634071611</v>
      </c>
      <c r="O175" s="12">
        <f ca="1">_xlfn.NORM.INV(RAND(),AVERAGE(Assumptions!$D$15,Assumptions!$F$15),(Assumptions!$F$15-Assumptions!$D$15)/3.29)*44</f>
        <v>33125826.014597643</v>
      </c>
      <c r="P175" s="15">
        <f>Assumptions!$D$18</f>
        <v>14641750.345627395</v>
      </c>
      <c r="Q175" s="3">
        <f t="shared" ca="1" si="4"/>
        <v>-21921685.196356047</v>
      </c>
      <c r="R175" s="6">
        <f t="shared" ca="1" si="5"/>
        <v>-7279934.8507286515</v>
      </c>
    </row>
    <row r="176" spans="1:18">
      <c r="A176" s="20">
        <v>175</v>
      </c>
      <c r="B176" s="3">
        <f ca="1">_xlfn.NORM.INV(RAND(),AVERAGE(Assumptions!$D$4,Assumptions!$F$4),(Assumptions!$F$4-Assumptions!$D$4)/3.29)*44</f>
        <v>1174229.5529008056</v>
      </c>
      <c r="C176" s="6">
        <f ca="1">_xlfn.NORM.INV(RAND(),AVERAGE(Assumptions!$D$5,Assumptions!$F$5),(Assumptions!$F$5-Assumptions!$D$5)/3.29)*44</f>
        <v>1824106.2445757231</v>
      </c>
      <c r="D176" s="9">
        <f ca="1">_xlfn.NORM.INV(RAND(),AVERAGE(Assumptions!$D$6,Assumptions!$F$6),(Assumptions!$F$6-Assumptions!$D$6)/3.29)*RANDBETWEEN(2,5)</f>
        <v>2700592.914851008</v>
      </c>
      <c r="E176" s="12">
        <f ca="1">_xlfn.NORM.INV(RAND(),AVERAGE(Assumptions!$D$17,Assumptions!$F$17),(Assumptions!$F$17-Assumptions!$D$17)/3.29)*8</f>
        <v>798598.17792951385</v>
      </c>
      <c r="F176" s="15">
        <f ca="1">_xlfn.NORM.INV(RAND(),AVERAGE(Assumptions!$D$7,Assumptions!$F$7),(Assumptions!$F$7-Assumptions!$D$7)/3.29)*RANDBETWEEN(1,3)</f>
        <v>6100934.5552938879</v>
      </c>
      <c r="G176" s="3">
        <f ca="1">_xlfn.NORM.INV(RAND(),AVERAGE(Assumptions!$D$8,Assumptions!$F$8),(Assumptions!$F$8-Assumptions!$D$8)/3.29)*44</f>
        <v>964140.14093511854</v>
      </c>
      <c r="H176" s="6">
        <f ca="1">_xlfn.NORM.INV(RAND(),AVERAGE(Assumptions!$D$9,Assumptions!$F$9),(Assumptions!$F$9-Assumptions!$D$9)/3.29)*21</f>
        <v>3901034.9543280434</v>
      </c>
      <c r="I176" s="9">
        <f ca="1">_xlfn.NORM.INV(RAND(),AVERAGE(Assumptions!$D$10,Assumptions!$F$10),(Assumptions!$F$10-Assumptions!$D$10)/3.29)*21</f>
        <v>778477.03497606306</v>
      </c>
      <c r="J176" s="12">
        <f ca="1">NORMINV(RAND(),AVERAGE(Assumptions!$D$11,Assumptions!$F$11),(Assumptions!$F$11-Assumptions!$D$11)/3.29)*44</f>
        <v>4894207.7024274888</v>
      </c>
      <c r="K176" s="15">
        <f ca="1">_xlfn.NORM.INV(RAND(),AVERAGE(Assumptions!$D$12,Assumptions!$F$12),(Assumptions!$F$12-Assumptions!$D$12)/3.29)*44</f>
        <v>8413219.6733414661</v>
      </c>
      <c r="L176" s="3">
        <f ca="1">_xlfn.NORM.INV(RAND(),AVERAGE(Assumptions!$D$13,Assumptions!$F$13),(Assumptions!$F$13-Assumptions!$D$13)/3.29)*44</f>
        <v>7150260.425882319</v>
      </c>
      <c r="M176" s="6">
        <f ca="1">_xlfn.NORM.INV(RAND(),AVERAGE(Assumptions!$D$14,Assumptions!$F$14),(Assumptions!$F$14-Assumptions!$D$14)/3.29)*44</f>
        <v>6879127.7621687176</v>
      </c>
      <c r="N176" s="9">
        <f ca="1">_xlfn.NORM.INV(RAND(),AVERAGE(Assumptions!$D$16,Assumptions!$F$16),(Assumptions!$F$16-Assumptions!$D$16)/3.29)*44</f>
        <v>10555198.845824255</v>
      </c>
      <c r="O176" s="12">
        <f ca="1">_xlfn.NORM.INV(RAND(),AVERAGE(Assumptions!$D$15,Assumptions!$F$15),(Assumptions!$F$15-Assumptions!$D$15)/3.29)*44</f>
        <v>10568810.657405585</v>
      </c>
      <c r="P176" s="15">
        <f>Assumptions!$D$18</f>
        <v>14641750.345627395</v>
      </c>
      <c r="Q176" s="3">
        <f t="shared" ca="1" si="4"/>
        <v>-45565317.328028828</v>
      </c>
      <c r="R176" s="6">
        <f t="shared" ca="1" si="5"/>
        <v>-30923566.982401431</v>
      </c>
    </row>
    <row r="177" spans="1:18">
      <c r="A177" s="20">
        <v>176</v>
      </c>
      <c r="B177" s="3">
        <f ca="1">_xlfn.NORM.INV(RAND(),AVERAGE(Assumptions!$D$4,Assumptions!$F$4),(Assumptions!$F$4-Assumptions!$D$4)/3.29)*44</f>
        <v>1223971.4413544382</v>
      </c>
      <c r="C177" s="6">
        <f ca="1">_xlfn.NORM.INV(RAND(),AVERAGE(Assumptions!$D$5,Assumptions!$F$5),(Assumptions!$F$5-Assumptions!$D$5)/3.29)*44</f>
        <v>1783072.4485789873</v>
      </c>
      <c r="D177" s="9">
        <f ca="1">_xlfn.NORM.INV(RAND(),AVERAGE(Assumptions!$D$6,Assumptions!$F$6),(Assumptions!$F$6-Assumptions!$D$6)/3.29)*RANDBETWEEN(2,5)</f>
        <v>6560961.9133818056</v>
      </c>
      <c r="E177" s="12">
        <f ca="1">_xlfn.NORM.INV(RAND(),AVERAGE(Assumptions!$D$17,Assumptions!$F$17),(Assumptions!$F$17-Assumptions!$D$17)/3.29)*8</f>
        <v>962504.88106708985</v>
      </c>
      <c r="F177" s="15">
        <f ca="1">_xlfn.NORM.INV(RAND(),AVERAGE(Assumptions!$D$7,Assumptions!$F$7),(Assumptions!$F$7-Assumptions!$D$7)/3.29)*RANDBETWEEN(1,3)</f>
        <v>5102400.1550267283</v>
      </c>
      <c r="G177" s="3">
        <f ca="1">_xlfn.NORM.INV(RAND(),AVERAGE(Assumptions!$D$8,Assumptions!$F$8),(Assumptions!$F$8-Assumptions!$D$8)/3.29)*44</f>
        <v>1212007.1185556431</v>
      </c>
      <c r="H177" s="6">
        <f ca="1">_xlfn.NORM.INV(RAND(),AVERAGE(Assumptions!$D$9,Assumptions!$F$9),(Assumptions!$F$9-Assumptions!$D$9)/3.29)*21</f>
        <v>6828895.1121789655</v>
      </c>
      <c r="I177" s="9">
        <f ca="1">_xlfn.NORM.INV(RAND(),AVERAGE(Assumptions!$D$10,Assumptions!$F$10),(Assumptions!$F$10-Assumptions!$D$10)/3.29)*21</f>
        <v>888128.87611650827</v>
      </c>
      <c r="J177" s="12">
        <f ca="1">NORMINV(RAND(),AVERAGE(Assumptions!$D$11,Assumptions!$F$11),(Assumptions!$F$11-Assumptions!$D$11)/3.29)*44</f>
        <v>4083957.4918979998</v>
      </c>
      <c r="K177" s="15">
        <f ca="1">_xlfn.NORM.INV(RAND(),AVERAGE(Assumptions!$D$12,Assumptions!$F$12),(Assumptions!$F$12-Assumptions!$D$12)/3.29)*44</f>
        <v>6557634.9375585765</v>
      </c>
      <c r="L177" s="3">
        <f ca="1">_xlfn.NORM.INV(RAND(),AVERAGE(Assumptions!$D$13,Assumptions!$F$13),(Assumptions!$F$13-Assumptions!$D$13)/3.29)*44</f>
        <v>598493.10207889788</v>
      </c>
      <c r="M177" s="6">
        <f ca="1">_xlfn.NORM.INV(RAND(),AVERAGE(Assumptions!$D$14,Assumptions!$F$14),(Assumptions!$F$14-Assumptions!$D$14)/3.29)*44</f>
        <v>6369053.829018224</v>
      </c>
      <c r="N177" s="9">
        <f ca="1">_xlfn.NORM.INV(RAND(),AVERAGE(Assumptions!$D$16,Assumptions!$F$16),(Assumptions!$F$16-Assumptions!$D$16)/3.29)*44</f>
        <v>6253348.7920443583</v>
      </c>
      <c r="O177" s="12">
        <f ca="1">_xlfn.NORM.INV(RAND(),AVERAGE(Assumptions!$D$15,Assumptions!$F$15),(Assumptions!$F$15-Assumptions!$D$15)/3.29)*44</f>
        <v>101869505.54077339</v>
      </c>
      <c r="P177" s="15">
        <f>Assumptions!$D$18</f>
        <v>14641750.345627395</v>
      </c>
      <c r="Q177" s="3">
        <f t="shared" ca="1" si="4"/>
        <v>53445075.441915177</v>
      </c>
      <c r="R177" s="6">
        <f t="shared" ca="1" si="5"/>
        <v>68086825.787542567</v>
      </c>
    </row>
    <row r="178" spans="1:18">
      <c r="A178" s="20">
        <v>177</v>
      </c>
      <c r="B178" s="3">
        <f ca="1">_xlfn.NORM.INV(RAND(),AVERAGE(Assumptions!$D$4,Assumptions!$F$4),(Assumptions!$F$4-Assumptions!$D$4)/3.29)*44</f>
        <v>1284359.4059237023</v>
      </c>
      <c r="C178" s="6">
        <f ca="1">_xlfn.NORM.INV(RAND(),AVERAGE(Assumptions!$D$5,Assumptions!$F$5),(Assumptions!$F$5-Assumptions!$D$5)/3.29)*44</f>
        <v>1582175.9760404355</v>
      </c>
      <c r="D178" s="9">
        <f ca="1">_xlfn.NORM.INV(RAND(),AVERAGE(Assumptions!$D$6,Assumptions!$F$6),(Assumptions!$F$6-Assumptions!$D$6)/3.29)*RANDBETWEEN(2,5)</f>
        <v>1875954.9037610502</v>
      </c>
      <c r="E178" s="12">
        <f ca="1">_xlfn.NORM.INV(RAND(),AVERAGE(Assumptions!$D$17,Assumptions!$F$17),(Assumptions!$F$17-Assumptions!$D$17)/3.29)*8</f>
        <v>1070560.902565992</v>
      </c>
      <c r="F178" s="15">
        <f ca="1">_xlfn.NORM.INV(RAND(),AVERAGE(Assumptions!$D$7,Assumptions!$F$7),(Assumptions!$F$7-Assumptions!$D$7)/3.29)*RANDBETWEEN(1,3)</f>
        <v>3718107.1197708165</v>
      </c>
      <c r="G178" s="3">
        <f ca="1">_xlfn.NORM.INV(RAND(),AVERAGE(Assumptions!$D$8,Assumptions!$F$8),(Assumptions!$F$8-Assumptions!$D$8)/3.29)*44</f>
        <v>1416022.0198441115</v>
      </c>
      <c r="H178" s="6">
        <f ca="1">_xlfn.NORM.INV(RAND(),AVERAGE(Assumptions!$D$9,Assumptions!$F$9),(Assumptions!$F$9-Assumptions!$D$9)/3.29)*21</f>
        <v>5350163.4309521466</v>
      </c>
      <c r="I178" s="9">
        <f ca="1">_xlfn.NORM.INV(RAND(),AVERAGE(Assumptions!$D$10,Assumptions!$F$10),(Assumptions!$F$10-Assumptions!$D$10)/3.29)*21</f>
        <v>818289.87560146686</v>
      </c>
      <c r="J178" s="12">
        <f ca="1">NORMINV(RAND(),AVERAGE(Assumptions!$D$11,Assumptions!$F$11),(Assumptions!$F$11-Assumptions!$D$11)/3.29)*44</f>
        <v>5858403.7207945362</v>
      </c>
      <c r="K178" s="15">
        <f ca="1">_xlfn.NORM.INV(RAND(),AVERAGE(Assumptions!$D$12,Assumptions!$F$12),(Assumptions!$F$12-Assumptions!$D$12)/3.29)*44</f>
        <v>5219620.5538606867</v>
      </c>
      <c r="L178" s="3">
        <f ca="1">_xlfn.NORM.INV(RAND(),AVERAGE(Assumptions!$D$13,Assumptions!$F$13),(Assumptions!$F$13-Assumptions!$D$13)/3.29)*44</f>
        <v>11240359.261129573</v>
      </c>
      <c r="M178" s="6">
        <f ca="1">_xlfn.NORM.INV(RAND(),AVERAGE(Assumptions!$D$14,Assumptions!$F$14),(Assumptions!$F$14-Assumptions!$D$14)/3.29)*44</f>
        <v>3854597.5756492862</v>
      </c>
      <c r="N178" s="9">
        <f ca="1">_xlfn.NORM.INV(RAND(),AVERAGE(Assumptions!$D$16,Assumptions!$F$16),(Assumptions!$F$16-Assumptions!$D$16)/3.29)*44</f>
        <v>13413437.497095298</v>
      </c>
      <c r="O178" s="12">
        <f ca="1">_xlfn.NORM.INV(RAND(),AVERAGE(Assumptions!$D$15,Assumptions!$F$15),(Assumptions!$F$15-Assumptions!$D$15)/3.29)*44</f>
        <v>103568551.50344807</v>
      </c>
      <c r="P178" s="15">
        <f>Assumptions!$D$18</f>
        <v>14641750.345627395</v>
      </c>
      <c r="Q178" s="3">
        <f t="shared" ca="1" si="4"/>
        <v>46866499.260458969</v>
      </c>
      <c r="R178" s="6">
        <f t="shared" ca="1" si="5"/>
        <v>61508249.606086366</v>
      </c>
    </row>
    <row r="179" spans="1:18">
      <c r="A179" s="20">
        <v>178</v>
      </c>
      <c r="B179" s="3">
        <f ca="1">_xlfn.NORM.INV(RAND(),AVERAGE(Assumptions!$D$4,Assumptions!$F$4),(Assumptions!$F$4-Assumptions!$D$4)/3.29)*44</f>
        <v>1115667.7608424779</v>
      </c>
      <c r="C179" s="6">
        <f ca="1">_xlfn.NORM.INV(RAND(),AVERAGE(Assumptions!$D$5,Assumptions!$F$5),(Assumptions!$F$5-Assumptions!$D$5)/3.29)*44</f>
        <v>1681444.180649884</v>
      </c>
      <c r="D179" s="9">
        <f ca="1">_xlfn.NORM.INV(RAND(),AVERAGE(Assumptions!$D$6,Assumptions!$F$6),(Assumptions!$F$6-Assumptions!$D$6)/3.29)*RANDBETWEEN(2,5)</f>
        <v>3233332.2925885492</v>
      </c>
      <c r="E179" s="12">
        <f ca="1">_xlfn.NORM.INV(RAND(),AVERAGE(Assumptions!$D$17,Assumptions!$F$17),(Assumptions!$F$17-Assumptions!$D$17)/3.29)*8</f>
        <v>1140194.3669739251</v>
      </c>
      <c r="F179" s="15">
        <f ca="1">_xlfn.NORM.INV(RAND(),AVERAGE(Assumptions!$D$7,Assumptions!$F$7),(Assumptions!$F$7-Assumptions!$D$7)/3.29)*RANDBETWEEN(1,3)</f>
        <v>6631872.7840364482</v>
      </c>
      <c r="G179" s="3">
        <f ca="1">_xlfn.NORM.INV(RAND(),AVERAGE(Assumptions!$D$8,Assumptions!$F$8),(Assumptions!$F$8-Assumptions!$D$8)/3.29)*44</f>
        <v>885912.18934404652</v>
      </c>
      <c r="H179" s="6">
        <f ca="1">_xlfn.NORM.INV(RAND(),AVERAGE(Assumptions!$D$9,Assumptions!$F$9),(Assumptions!$F$9-Assumptions!$D$9)/3.29)*21</f>
        <v>4568202.742473335</v>
      </c>
      <c r="I179" s="9">
        <f ca="1">_xlfn.NORM.INV(RAND(),AVERAGE(Assumptions!$D$10,Assumptions!$F$10),(Assumptions!$F$10-Assumptions!$D$10)/3.29)*21</f>
        <v>388659.35494157259</v>
      </c>
      <c r="J179" s="12">
        <f ca="1">NORMINV(RAND(),AVERAGE(Assumptions!$D$11,Assumptions!$F$11),(Assumptions!$F$11-Assumptions!$D$11)/3.29)*44</f>
        <v>3382805.1935594259</v>
      </c>
      <c r="K179" s="15">
        <f ca="1">_xlfn.NORM.INV(RAND(),AVERAGE(Assumptions!$D$12,Assumptions!$F$12),(Assumptions!$F$12-Assumptions!$D$12)/3.29)*44</f>
        <v>9356111.8453491461</v>
      </c>
      <c r="L179" s="3">
        <f ca="1">_xlfn.NORM.INV(RAND(),AVERAGE(Assumptions!$D$13,Assumptions!$F$13),(Assumptions!$F$13-Assumptions!$D$13)/3.29)*44</f>
        <v>19189906.583138376</v>
      </c>
      <c r="M179" s="6">
        <f ca="1">_xlfn.NORM.INV(RAND(),AVERAGE(Assumptions!$D$14,Assumptions!$F$14),(Assumptions!$F$14-Assumptions!$D$14)/3.29)*44</f>
        <v>8256778.9669393003</v>
      </c>
      <c r="N179" s="9">
        <f ca="1">_xlfn.NORM.INV(RAND(),AVERAGE(Assumptions!$D$16,Assumptions!$F$16),(Assumptions!$F$16-Assumptions!$D$16)/3.29)*44</f>
        <v>11750892.626521979</v>
      </c>
      <c r="O179" s="12">
        <f ca="1">_xlfn.NORM.INV(RAND(),AVERAGE(Assumptions!$D$15,Assumptions!$F$15),(Assumptions!$F$15-Assumptions!$D$15)/3.29)*44</f>
        <v>78316040.130472302</v>
      </c>
      <c r="P179" s="15">
        <f>Assumptions!$D$18</f>
        <v>14641750.345627395</v>
      </c>
      <c r="Q179" s="3">
        <f t="shared" ca="1" si="4"/>
        <v>6734259.2431138456</v>
      </c>
      <c r="R179" s="6">
        <f t="shared" ca="1" si="5"/>
        <v>21376009.588741243</v>
      </c>
    </row>
    <row r="180" spans="1:18">
      <c r="A180" s="20">
        <v>179</v>
      </c>
      <c r="B180" s="3">
        <f ca="1">_xlfn.NORM.INV(RAND(),AVERAGE(Assumptions!$D$4,Assumptions!$F$4),(Assumptions!$F$4-Assumptions!$D$4)/3.29)*44</f>
        <v>1246512.6584289093</v>
      </c>
      <c r="C180" s="6">
        <f ca="1">_xlfn.NORM.INV(RAND(),AVERAGE(Assumptions!$D$5,Assumptions!$F$5),(Assumptions!$F$5-Assumptions!$D$5)/3.29)*44</f>
        <v>2048033.7496469831</v>
      </c>
      <c r="D180" s="9">
        <f ca="1">_xlfn.NORM.INV(RAND(),AVERAGE(Assumptions!$D$6,Assumptions!$F$6),(Assumptions!$F$6-Assumptions!$D$6)/3.29)*RANDBETWEEN(2,5)</f>
        <v>8092246.6741098845</v>
      </c>
      <c r="E180" s="12">
        <f ca="1">_xlfn.NORM.INV(RAND(),AVERAGE(Assumptions!$D$17,Assumptions!$F$17),(Assumptions!$F$17-Assumptions!$D$17)/3.29)*8</f>
        <v>1037392.465533776</v>
      </c>
      <c r="F180" s="15">
        <f ca="1">_xlfn.NORM.INV(RAND(),AVERAGE(Assumptions!$D$7,Assumptions!$F$7),(Assumptions!$F$7-Assumptions!$D$7)/3.29)*RANDBETWEEN(1,3)</f>
        <v>3560249.4412198681</v>
      </c>
      <c r="G180" s="3">
        <f ca="1">_xlfn.NORM.INV(RAND(),AVERAGE(Assumptions!$D$8,Assumptions!$F$8),(Assumptions!$F$8-Assumptions!$D$8)/3.29)*44</f>
        <v>1313510.6678468951</v>
      </c>
      <c r="H180" s="6">
        <f ca="1">_xlfn.NORM.INV(RAND(),AVERAGE(Assumptions!$D$9,Assumptions!$F$9),(Assumptions!$F$9-Assumptions!$D$9)/3.29)*21</f>
        <v>4560609.3930039117</v>
      </c>
      <c r="I180" s="9">
        <f ca="1">_xlfn.NORM.INV(RAND(),AVERAGE(Assumptions!$D$10,Assumptions!$F$10),(Assumptions!$F$10-Assumptions!$D$10)/3.29)*21</f>
        <v>611131.89488520892</v>
      </c>
      <c r="J180" s="12">
        <f ca="1">NORMINV(RAND(),AVERAGE(Assumptions!$D$11,Assumptions!$F$11),(Assumptions!$F$11-Assumptions!$D$11)/3.29)*44</f>
        <v>4682274.8992838627</v>
      </c>
      <c r="K180" s="15">
        <f ca="1">_xlfn.NORM.INV(RAND(),AVERAGE(Assumptions!$D$12,Assumptions!$F$12),(Assumptions!$F$12-Assumptions!$D$12)/3.29)*44</f>
        <v>7957789.984318058</v>
      </c>
      <c r="L180" s="3">
        <f ca="1">_xlfn.NORM.INV(RAND(),AVERAGE(Assumptions!$D$13,Assumptions!$F$13),(Assumptions!$F$13-Assumptions!$D$13)/3.29)*44</f>
        <v>17624694.730562259</v>
      </c>
      <c r="M180" s="6">
        <f ca="1">_xlfn.NORM.INV(RAND(),AVERAGE(Assumptions!$D$14,Assumptions!$F$14),(Assumptions!$F$14-Assumptions!$D$14)/3.29)*44</f>
        <v>5282332.0232946267</v>
      </c>
      <c r="N180" s="9">
        <f ca="1">_xlfn.NORM.INV(RAND(),AVERAGE(Assumptions!$D$16,Assumptions!$F$16),(Assumptions!$F$16-Assumptions!$D$16)/3.29)*44</f>
        <v>16337395.978613</v>
      </c>
      <c r="O180" s="12">
        <f ca="1">_xlfn.NORM.INV(RAND(),AVERAGE(Assumptions!$D$15,Assumptions!$F$15),(Assumptions!$F$15-Assumptions!$D$15)/3.29)*44</f>
        <v>46686578.69096408</v>
      </c>
      <c r="P180" s="15">
        <f>Assumptions!$D$18</f>
        <v>14641750.345627395</v>
      </c>
      <c r="Q180" s="3">
        <f t="shared" ca="1" si="4"/>
        <v>-27667595.869783171</v>
      </c>
      <c r="R180" s="6">
        <f t="shared" ca="1" si="5"/>
        <v>-13025845.524155775</v>
      </c>
    </row>
    <row r="181" spans="1:18">
      <c r="A181" s="20">
        <v>180</v>
      </c>
      <c r="B181" s="3">
        <f ca="1">_xlfn.NORM.INV(RAND(),AVERAGE(Assumptions!$D$4,Assumptions!$F$4),(Assumptions!$F$4-Assumptions!$D$4)/3.29)*44</f>
        <v>1146168.3228714056</v>
      </c>
      <c r="C181" s="6">
        <f ca="1">_xlfn.NORM.INV(RAND(),AVERAGE(Assumptions!$D$5,Assumptions!$F$5),(Assumptions!$F$5-Assumptions!$D$5)/3.29)*44</f>
        <v>1894922.2913458098</v>
      </c>
      <c r="D181" s="9">
        <f ca="1">_xlfn.NORM.INV(RAND(),AVERAGE(Assumptions!$D$6,Assumptions!$F$6),(Assumptions!$F$6-Assumptions!$D$6)/3.29)*RANDBETWEEN(2,5)</f>
        <v>7256170.3315086104</v>
      </c>
      <c r="E181" s="12">
        <f ca="1">_xlfn.NORM.INV(RAND(),AVERAGE(Assumptions!$D$17,Assumptions!$F$17),(Assumptions!$F$17-Assumptions!$D$17)/3.29)*8</f>
        <v>1208190.5462234244</v>
      </c>
      <c r="F181" s="15">
        <f ca="1">_xlfn.NORM.INV(RAND(),AVERAGE(Assumptions!$D$7,Assumptions!$F$7),(Assumptions!$F$7-Assumptions!$D$7)/3.29)*RANDBETWEEN(1,3)</f>
        <v>1792009.5263764611</v>
      </c>
      <c r="G181" s="3">
        <f ca="1">_xlfn.NORM.INV(RAND(),AVERAGE(Assumptions!$D$8,Assumptions!$F$8),(Assumptions!$F$8-Assumptions!$D$8)/3.29)*44</f>
        <v>1238369.0329225527</v>
      </c>
      <c r="H181" s="6">
        <f ca="1">_xlfn.NORM.INV(RAND(),AVERAGE(Assumptions!$D$9,Assumptions!$F$9),(Assumptions!$F$9-Assumptions!$D$9)/3.29)*21</f>
        <v>3183682.2904554536</v>
      </c>
      <c r="I181" s="9">
        <f ca="1">_xlfn.NORM.INV(RAND(),AVERAGE(Assumptions!$D$10,Assumptions!$F$10),(Assumptions!$F$10-Assumptions!$D$10)/3.29)*21</f>
        <v>452455.05792387272</v>
      </c>
      <c r="J181" s="12">
        <f ca="1">NORMINV(RAND(),AVERAGE(Assumptions!$D$11,Assumptions!$F$11),(Assumptions!$F$11-Assumptions!$D$11)/3.29)*44</f>
        <v>4410737.8746595858</v>
      </c>
      <c r="K181" s="15">
        <f ca="1">_xlfn.NORM.INV(RAND(),AVERAGE(Assumptions!$D$12,Assumptions!$F$12),(Assumptions!$F$12-Assumptions!$D$12)/3.29)*44</f>
        <v>4999070.4950446263</v>
      </c>
      <c r="L181" s="3">
        <f ca="1">_xlfn.NORM.INV(RAND(),AVERAGE(Assumptions!$D$13,Assumptions!$F$13),(Assumptions!$F$13-Assumptions!$D$13)/3.29)*44</f>
        <v>13083376.177795021</v>
      </c>
      <c r="M181" s="6">
        <f ca="1">_xlfn.NORM.INV(RAND(),AVERAGE(Assumptions!$D$14,Assumptions!$F$14),(Assumptions!$F$14-Assumptions!$D$14)/3.29)*44</f>
        <v>5553365.5971825803</v>
      </c>
      <c r="N181" s="9">
        <f ca="1">_xlfn.NORM.INV(RAND(),AVERAGE(Assumptions!$D$16,Assumptions!$F$16),(Assumptions!$F$16-Assumptions!$D$16)/3.29)*44</f>
        <v>7566194.7362288777</v>
      </c>
      <c r="O181" s="12">
        <f ca="1">_xlfn.NORM.INV(RAND(),AVERAGE(Assumptions!$D$15,Assumptions!$F$15),(Assumptions!$F$15-Assumptions!$D$15)/3.29)*44</f>
        <v>43010334.040762141</v>
      </c>
      <c r="P181" s="15">
        <f>Assumptions!$D$18</f>
        <v>14641750.345627395</v>
      </c>
      <c r="Q181" s="3">
        <f t="shared" ca="1" si="4"/>
        <v>-10774378.239776134</v>
      </c>
      <c r="R181" s="6">
        <f t="shared" ca="1" si="5"/>
        <v>3867372.1058512609</v>
      </c>
    </row>
    <row r="182" spans="1:18">
      <c r="A182" s="20">
        <v>181</v>
      </c>
      <c r="B182" s="3">
        <f ca="1">_xlfn.NORM.INV(RAND(),AVERAGE(Assumptions!$D$4,Assumptions!$F$4),(Assumptions!$F$4-Assumptions!$D$4)/3.29)*44</f>
        <v>1124763.5130197073</v>
      </c>
      <c r="C182" s="6">
        <f ca="1">_xlfn.NORM.INV(RAND(),AVERAGE(Assumptions!$D$5,Assumptions!$F$5),(Assumptions!$F$5-Assumptions!$D$5)/3.29)*44</f>
        <v>1923969.4130866071</v>
      </c>
      <c r="D182" s="9">
        <f ca="1">_xlfn.NORM.INV(RAND(),AVERAGE(Assumptions!$D$6,Assumptions!$F$6),(Assumptions!$F$6-Assumptions!$D$6)/3.29)*RANDBETWEEN(2,5)</f>
        <v>3964135.1926614339</v>
      </c>
      <c r="E182" s="12">
        <f ca="1">_xlfn.NORM.INV(RAND(),AVERAGE(Assumptions!$D$17,Assumptions!$F$17),(Assumptions!$F$17-Assumptions!$D$17)/3.29)*8</f>
        <v>997400.3462879149</v>
      </c>
      <c r="F182" s="15">
        <f ca="1">_xlfn.NORM.INV(RAND(),AVERAGE(Assumptions!$D$7,Assumptions!$F$7),(Assumptions!$F$7-Assumptions!$D$7)/3.29)*RANDBETWEEN(1,3)</f>
        <v>8172437.4805391254</v>
      </c>
      <c r="G182" s="3">
        <f ca="1">_xlfn.NORM.INV(RAND(),AVERAGE(Assumptions!$D$8,Assumptions!$F$8),(Assumptions!$F$8-Assumptions!$D$8)/3.29)*44</f>
        <v>1608009.6329304383</v>
      </c>
      <c r="H182" s="6">
        <f ca="1">_xlfn.NORM.INV(RAND(),AVERAGE(Assumptions!$D$9,Assumptions!$F$9),(Assumptions!$F$9-Assumptions!$D$9)/3.29)*21</f>
        <v>1113650.7349668983</v>
      </c>
      <c r="I182" s="9">
        <f ca="1">_xlfn.NORM.INV(RAND(),AVERAGE(Assumptions!$D$10,Assumptions!$F$10),(Assumptions!$F$10-Assumptions!$D$10)/3.29)*21</f>
        <v>1170359.0118186616</v>
      </c>
      <c r="J182" s="12">
        <f ca="1">NORMINV(RAND(),AVERAGE(Assumptions!$D$11,Assumptions!$F$11),(Assumptions!$F$11-Assumptions!$D$11)/3.29)*44</f>
        <v>1896590.9838471857</v>
      </c>
      <c r="K182" s="15">
        <f ca="1">_xlfn.NORM.INV(RAND(),AVERAGE(Assumptions!$D$12,Assumptions!$F$12),(Assumptions!$F$12-Assumptions!$D$12)/3.29)*44</f>
        <v>9068411.9631486982</v>
      </c>
      <c r="L182" s="3">
        <f ca="1">_xlfn.NORM.INV(RAND(),AVERAGE(Assumptions!$D$13,Assumptions!$F$13),(Assumptions!$F$13-Assumptions!$D$13)/3.29)*44</f>
        <v>19299038.299307507</v>
      </c>
      <c r="M182" s="6">
        <f ca="1">_xlfn.NORM.INV(RAND(),AVERAGE(Assumptions!$D$14,Assumptions!$F$14),(Assumptions!$F$14-Assumptions!$D$14)/3.29)*44</f>
        <v>7684402.2162820995</v>
      </c>
      <c r="N182" s="9">
        <f ca="1">_xlfn.NORM.INV(RAND(),AVERAGE(Assumptions!$D$16,Assumptions!$F$16),(Assumptions!$F$16-Assumptions!$D$16)/3.29)*44</f>
        <v>13559316.473769296</v>
      </c>
      <c r="O182" s="12">
        <f ca="1">_xlfn.NORM.INV(RAND(),AVERAGE(Assumptions!$D$15,Assumptions!$F$15),(Assumptions!$F$15-Assumptions!$D$15)/3.29)*44</f>
        <v>55852518.905162394</v>
      </c>
      <c r="P182" s="15">
        <f>Assumptions!$D$18</f>
        <v>14641750.345627395</v>
      </c>
      <c r="Q182" s="3">
        <f t="shared" ca="1" si="4"/>
        <v>-15729966.356503189</v>
      </c>
      <c r="R182" s="6">
        <f t="shared" ca="1" si="5"/>
        <v>-1088216.0108757932</v>
      </c>
    </row>
    <row r="183" spans="1:18">
      <c r="A183" s="20">
        <v>182</v>
      </c>
      <c r="B183" s="3">
        <f ca="1">_xlfn.NORM.INV(RAND(),AVERAGE(Assumptions!$D$4,Assumptions!$F$4),(Assumptions!$F$4-Assumptions!$D$4)/3.29)*44</f>
        <v>1178866.0729103147</v>
      </c>
      <c r="C183" s="6">
        <f ca="1">_xlfn.NORM.INV(RAND(),AVERAGE(Assumptions!$D$5,Assumptions!$F$5),(Assumptions!$F$5-Assumptions!$D$5)/3.29)*44</f>
        <v>1908026.9345765531</v>
      </c>
      <c r="D183" s="9">
        <f ca="1">_xlfn.NORM.INV(RAND(),AVERAGE(Assumptions!$D$6,Assumptions!$F$6),(Assumptions!$F$6-Assumptions!$D$6)/3.29)*RANDBETWEEN(2,5)</f>
        <v>3949349.866483178</v>
      </c>
      <c r="E183" s="12">
        <f ca="1">_xlfn.NORM.INV(RAND(),AVERAGE(Assumptions!$D$17,Assumptions!$F$17),(Assumptions!$F$17-Assumptions!$D$17)/3.29)*8</f>
        <v>1167965.0944157012</v>
      </c>
      <c r="F183" s="15">
        <f ca="1">_xlfn.NORM.INV(RAND(),AVERAGE(Assumptions!$D$7,Assumptions!$F$7),(Assumptions!$F$7-Assumptions!$D$7)/3.29)*RANDBETWEEN(1,3)</f>
        <v>7462912.1564602805</v>
      </c>
      <c r="G183" s="3">
        <f ca="1">_xlfn.NORM.INV(RAND(),AVERAGE(Assumptions!$D$8,Assumptions!$F$8),(Assumptions!$F$8-Assumptions!$D$8)/3.29)*44</f>
        <v>936571.79573683499</v>
      </c>
      <c r="H183" s="6">
        <f ca="1">_xlfn.NORM.INV(RAND(),AVERAGE(Assumptions!$D$9,Assumptions!$F$9),(Assumptions!$F$9-Assumptions!$D$9)/3.29)*21</f>
        <v>2051231.6762096612</v>
      </c>
      <c r="I183" s="9">
        <f ca="1">_xlfn.NORM.INV(RAND(),AVERAGE(Assumptions!$D$10,Assumptions!$F$10),(Assumptions!$F$10-Assumptions!$D$10)/3.29)*21</f>
        <v>805610.20751808467</v>
      </c>
      <c r="J183" s="12">
        <f ca="1">NORMINV(RAND(),AVERAGE(Assumptions!$D$11,Assumptions!$F$11),(Assumptions!$F$11-Assumptions!$D$11)/3.29)*44</f>
        <v>1920181.4216714953</v>
      </c>
      <c r="K183" s="15">
        <f ca="1">_xlfn.NORM.INV(RAND(),AVERAGE(Assumptions!$D$12,Assumptions!$F$12),(Assumptions!$F$12-Assumptions!$D$12)/3.29)*44</f>
        <v>8541975.1671911906</v>
      </c>
      <c r="L183" s="3">
        <f ca="1">_xlfn.NORM.INV(RAND(),AVERAGE(Assumptions!$D$13,Assumptions!$F$13),(Assumptions!$F$13-Assumptions!$D$13)/3.29)*44</f>
        <v>15775391.26672975</v>
      </c>
      <c r="M183" s="6">
        <f ca="1">_xlfn.NORM.INV(RAND(),AVERAGE(Assumptions!$D$14,Assumptions!$F$14),(Assumptions!$F$14-Assumptions!$D$14)/3.29)*44</f>
        <v>6447972.6397603108</v>
      </c>
      <c r="N183" s="9">
        <f ca="1">_xlfn.NORM.INV(RAND(),AVERAGE(Assumptions!$D$16,Assumptions!$F$16),(Assumptions!$F$16-Assumptions!$D$16)/3.29)*44</f>
        <v>9518327.3122467101</v>
      </c>
      <c r="O183" s="12">
        <f ca="1">_xlfn.NORM.INV(RAND(),AVERAGE(Assumptions!$D$15,Assumptions!$F$15),(Assumptions!$F$15-Assumptions!$D$15)/3.29)*44</f>
        <v>99215529.458728984</v>
      </c>
      <c r="P183" s="15">
        <f>Assumptions!$D$18</f>
        <v>14641750.345627395</v>
      </c>
      <c r="Q183" s="3">
        <f t="shared" ca="1" si="4"/>
        <v>37551147.846818924</v>
      </c>
      <c r="R183" s="6">
        <f t="shared" ca="1" si="5"/>
        <v>52192898.192446321</v>
      </c>
    </row>
    <row r="184" spans="1:18">
      <c r="A184" s="20">
        <v>183</v>
      </c>
      <c r="B184" s="3">
        <f ca="1">_xlfn.NORM.INV(RAND(),AVERAGE(Assumptions!$D$4,Assumptions!$F$4),(Assumptions!$F$4-Assumptions!$D$4)/3.29)*44</f>
        <v>1170345.8678956819</v>
      </c>
      <c r="C184" s="6">
        <f ca="1">_xlfn.NORM.INV(RAND(),AVERAGE(Assumptions!$D$5,Assumptions!$F$5),(Assumptions!$F$5-Assumptions!$D$5)/3.29)*44</f>
        <v>1569457.4688071976</v>
      </c>
      <c r="D184" s="9">
        <f ca="1">_xlfn.NORM.INV(RAND(),AVERAGE(Assumptions!$D$6,Assumptions!$F$6),(Assumptions!$F$6-Assumptions!$D$6)/3.29)*RANDBETWEEN(2,5)</f>
        <v>11127876.791911641</v>
      </c>
      <c r="E184" s="12">
        <f ca="1">_xlfn.NORM.INV(RAND(),AVERAGE(Assumptions!$D$17,Assumptions!$F$17),(Assumptions!$F$17-Assumptions!$D$17)/3.29)*8</f>
        <v>967687.42167905078</v>
      </c>
      <c r="F184" s="15">
        <f ca="1">_xlfn.NORM.INV(RAND(),AVERAGE(Assumptions!$D$7,Assumptions!$F$7),(Assumptions!$F$7-Assumptions!$D$7)/3.29)*RANDBETWEEN(1,3)</f>
        <v>9920407.6021647528</v>
      </c>
      <c r="G184" s="3">
        <f ca="1">_xlfn.NORM.INV(RAND(),AVERAGE(Assumptions!$D$8,Assumptions!$F$8),(Assumptions!$F$8-Assumptions!$D$8)/3.29)*44</f>
        <v>1188800.37497933</v>
      </c>
      <c r="H184" s="6">
        <f ca="1">_xlfn.NORM.INV(RAND(),AVERAGE(Assumptions!$D$9,Assumptions!$F$9),(Assumptions!$F$9-Assumptions!$D$9)/3.29)*21</f>
        <v>4717831.7485685395</v>
      </c>
      <c r="I184" s="9">
        <f ca="1">_xlfn.NORM.INV(RAND(),AVERAGE(Assumptions!$D$10,Assumptions!$F$10),(Assumptions!$F$10-Assumptions!$D$10)/3.29)*21</f>
        <v>975008.40548748418</v>
      </c>
      <c r="J184" s="12">
        <f ca="1">NORMINV(RAND(),AVERAGE(Assumptions!$D$11,Assumptions!$F$11),(Assumptions!$F$11-Assumptions!$D$11)/3.29)*44</f>
        <v>4508036.9482266344</v>
      </c>
      <c r="K184" s="15">
        <f ca="1">_xlfn.NORM.INV(RAND(),AVERAGE(Assumptions!$D$12,Assumptions!$F$12),(Assumptions!$F$12-Assumptions!$D$12)/3.29)*44</f>
        <v>7639861.8922646567</v>
      </c>
      <c r="L184" s="3">
        <f ca="1">_xlfn.NORM.INV(RAND(),AVERAGE(Assumptions!$D$13,Assumptions!$F$13),(Assumptions!$F$13-Assumptions!$D$13)/3.29)*44</f>
        <v>13405141.305999514</v>
      </c>
      <c r="M184" s="6">
        <f ca="1">_xlfn.NORM.INV(RAND(),AVERAGE(Assumptions!$D$14,Assumptions!$F$14),(Assumptions!$F$14-Assumptions!$D$14)/3.29)*44</f>
        <v>3993844.3103288221</v>
      </c>
      <c r="N184" s="9">
        <f ca="1">_xlfn.NORM.INV(RAND(),AVERAGE(Assumptions!$D$16,Assumptions!$F$16),(Assumptions!$F$16-Assumptions!$D$16)/3.29)*44</f>
        <v>11008034.121163255</v>
      </c>
      <c r="O184" s="12">
        <f ca="1">_xlfn.NORM.INV(RAND(),AVERAGE(Assumptions!$D$15,Assumptions!$F$15),(Assumptions!$F$15-Assumptions!$D$15)/3.29)*44</f>
        <v>73702317.119480401</v>
      </c>
      <c r="P184" s="15">
        <f>Assumptions!$D$18</f>
        <v>14641750.345627395</v>
      </c>
      <c r="Q184" s="3">
        <f t="shared" ca="1" si="4"/>
        <v>1509982.8600038439</v>
      </c>
      <c r="R184" s="6">
        <f t="shared" ca="1" si="5"/>
        <v>16151733.205631239</v>
      </c>
    </row>
    <row r="185" spans="1:18">
      <c r="A185" s="20">
        <v>184</v>
      </c>
      <c r="B185" s="3">
        <f ca="1">_xlfn.NORM.INV(RAND(),AVERAGE(Assumptions!$D$4,Assumptions!$F$4),(Assumptions!$F$4-Assumptions!$D$4)/3.29)*44</f>
        <v>1279039.471351255</v>
      </c>
      <c r="C185" s="6">
        <f ca="1">_xlfn.NORM.INV(RAND(),AVERAGE(Assumptions!$D$5,Assumptions!$F$5),(Assumptions!$F$5-Assumptions!$D$5)/3.29)*44</f>
        <v>1935576.0225568237</v>
      </c>
      <c r="D185" s="9">
        <f ca="1">_xlfn.NORM.INV(RAND(),AVERAGE(Assumptions!$D$6,Assumptions!$F$6),(Assumptions!$F$6-Assumptions!$D$6)/3.29)*RANDBETWEEN(2,5)</f>
        <v>4397576.5547822285</v>
      </c>
      <c r="E185" s="12">
        <f ca="1">_xlfn.NORM.INV(RAND(),AVERAGE(Assumptions!$D$17,Assumptions!$F$17),(Assumptions!$F$17-Assumptions!$D$17)/3.29)*8</f>
        <v>725701.41760333534</v>
      </c>
      <c r="F185" s="15">
        <f ca="1">_xlfn.NORM.INV(RAND(),AVERAGE(Assumptions!$D$7,Assumptions!$F$7),(Assumptions!$F$7-Assumptions!$D$7)/3.29)*RANDBETWEEN(1,3)</f>
        <v>7538113.2140818611</v>
      </c>
      <c r="G185" s="3">
        <f ca="1">_xlfn.NORM.INV(RAND(),AVERAGE(Assumptions!$D$8,Assumptions!$F$8),(Assumptions!$F$8-Assumptions!$D$8)/3.29)*44</f>
        <v>1265079.0275751508</v>
      </c>
      <c r="H185" s="6">
        <f ca="1">_xlfn.NORM.INV(RAND(),AVERAGE(Assumptions!$D$9,Assumptions!$F$9),(Assumptions!$F$9-Assumptions!$D$9)/3.29)*21</f>
        <v>4516011.6469344981</v>
      </c>
      <c r="I185" s="9">
        <f ca="1">_xlfn.NORM.INV(RAND(),AVERAGE(Assumptions!$D$10,Assumptions!$F$10),(Assumptions!$F$10-Assumptions!$D$10)/3.29)*21</f>
        <v>833160.47972240869</v>
      </c>
      <c r="J185" s="12">
        <f ca="1">NORMINV(RAND(),AVERAGE(Assumptions!$D$11,Assumptions!$F$11),(Assumptions!$F$11-Assumptions!$D$11)/3.29)*44</f>
        <v>4708048.3281241311</v>
      </c>
      <c r="K185" s="15">
        <f ca="1">_xlfn.NORM.INV(RAND(),AVERAGE(Assumptions!$D$12,Assumptions!$F$12),(Assumptions!$F$12-Assumptions!$D$12)/3.29)*44</f>
        <v>8870236.1168400701</v>
      </c>
      <c r="L185" s="3">
        <f ca="1">_xlfn.NORM.INV(RAND(),AVERAGE(Assumptions!$D$13,Assumptions!$F$13),(Assumptions!$F$13-Assumptions!$D$13)/3.29)*44</f>
        <v>15265938.456696384</v>
      </c>
      <c r="M185" s="6">
        <f ca="1">_xlfn.NORM.INV(RAND(),AVERAGE(Assumptions!$D$14,Assumptions!$F$14),(Assumptions!$F$14-Assumptions!$D$14)/3.29)*44</f>
        <v>5803164.7709400197</v>
      </c>
      <c r="N185" s="9">
        <f ca="1">_xlfn.NORM.INV(RAND(),AVERAGE(Assumptions!$D$16,Assumptions!$F$16),(Assumptions!$F$16-Assumptions!$D$16)/3.29)*44</f>
        <v>10566074.818667466</v>
      </c>
      <c r="O185" s="12">
        <f ca="1">_xlfn.NORM.INV(RAND(),AVERAGE(Assumptions!$D$15,Assumptions!$F$15),(Assumptions!$F$15-Assumptions!$D$15)/3.29)*44</f>
        <v>142661059.10426515</v>
      </c>
      <c r="P185" s="15">
        <f>Assumptions!$D$18</f>
        <v>14641750.345627395</v>
      </c>
      <c r="Q185" s="3">
        <f t="shared" ca="1" si="4"/>
        <v>74957338.778389528</v>
      </c>
      <c r="R185" s="6">
        <f t="shared" ca="1" si="5"/>
        <v>89599089.124016926</v>
      </c>
    </row>
    <row r="186" spans="1:18">
      <c r="A186" s="20">
        <v>185</v>
      </c>
      <c r="B186" s="3">
        <f ca="1">_xlfn.NORM.INV(RAND(),AVERAGE(Assumptions!$D$4,Assumptions!$F$4),(Assumptions!$F$4-Assumptions!$D$4)/3.29)*44</f>
        <v>1224049.8239508357</v>
      </c>
      <c r="C186" s="6">
        <f ca="1">_xlfn.NORM.INV(RAND(),AVERAGE(Assumptions!$D$5,Assumptions!$F$5),(Assumptions!$F$5-Assumptions!$D$5)/3.29)*44</f>
        <v>1730672.4899540138</v>
      </c>
      <c r="D186" s="9">
        <f ca="1">_xlfn.NORM.INV(RAND(),AVERAGE(Assumptions!$D$6,Assumptions!$F$6),(Assumptions!$F$6-Assumptions!$D$6)/3.29)*RANDBETWEEN(2,5)</f>
        <v>1645038.5739687346</v>
      </c>
      <c r="E186" s="12">
        <f ca="1">_xlfn.NORM.INV(RAND(),AVERAGE(Assumptions!$D$17,Assumptions!$F$17),(Assumptions!$F$17-Assumptions!$D$17)/3.29)*8</f>
        <v>810213.80817961786</v>
      </c>
      <c r="F186" s="15">
        <f ca="1">_xlfn.NORM.INV(RAND(),AVERAGE(Assumptions!$D$7,Assumptions!$F$7),(Assumptions!$F$7-Assumptions!$D$7)/3.29)*RANDBETWEEN(1,3)</f>
        <v>1837683.054513759</v>
      </c>
      <c r="G186" s="3">
        <f ca="1">_xlfn.NORM.INV(RAND(),AVERAGE(Assumptions!$D$8,Assumptions!$F$8),(Assumptions!$F$8-Assumptions!$D$8)/3.29)*44</f>
        <v>1230477.3192487927</v>
      </c>
      <c r="H186" s="6">
        <f ca="1">_xlfn.NORM.INV(RAND(),AVERAGE(Assumptions!$D$9,Assumptions!$F$9),(Assumptions!$F$9-Assumptions!$D$9)/3.29)*21</f>
        <v>4335755.2268594736</v>
      </c>
      <c r="I186" s="9">
        <f ca="1">_xlfn.NORM.INV(RAND(),AVERAGE(Assumptions!$D$10,Assumptions!$F$10),(Assumptions!$F$10-Assumptions!$D$10)/3.29)*21</f>
        <v>1091987.0995752439</v>
      </c>
      <c r="J186" s="12">
        <f ca="1">NORMINV(RAND(),AVERAGE(Assumptions!$D$11,Assumptions!$F$11),(Assumptions!$F$11-Assumptions!$D$11)/3.29)*44</f>
        <v>2858312.1318592159</v>
      </c>
      <c r="K186" s="15">
        <f ca="1">_xlfn.NORM.INV(RAND(),AVERAGE(Assumptions!$D$12,Assumptions!$F$12),(Assumptions!$F$12-Assumptions!$D$12)/3.29)*44</f>
        <v>6410239.743587831</v>
      </c>
      <c r="L186" s="3">
        <f ca="1">_xlfn.NORM.INV(RAND(),AVERAGE(Assumptions!$D$13,Assumptions!$F$13),(Assumptions!$F$13-Assumptions!$D$13)/3.29)*44</f>
        <v>14063495.943125265</v>
      </c>
      <c r="M186" s="6">
        <f ca="1">_xlfn.NORM.INV(RAND(),AVERAGE(Assumptions!$D$14,Assumptions!$F$14),(Assumptions!$F$14-Assumptions!$D$14)/3.29)*44</f>
        <v>6024064.9911442138</v>
      </c>
      <c r="N186" s="9">
        <f ca="1">_xlfn.NORM.INV(RAND(),AVERAGE(Assumptions!$D$16,Assumptions!$F$16),(Assumptions!$F$16-Assumptions!$D$16)/3.29)*44</f>
        <v>9706173.4769078288</v>
      </c>
      <c r="O186" s="12">
        <f ca="1">_xlfn.NORM.INV(RAND(),AVERAGE(Assumptions!$D$15,Assumptions!$F$15),(Assumptions!$F$15-Assumptions!$D$15)/3.29)*44</f>
        <v>114784252.94014117</v>
      </c>
      <c r="P186" s="15">
        <f>Assumptions!$D$18</f>
        <v>14641750.345627395</v>
      </c>
      <c r="Q186" s="3">
        <f t="shared" ca="1" si="4"/>
        <v>61816089.25726635</v>
      </c>
      <c r="R186" s="6">
        <f t="shared" ca="1" si="5"/>
        <v>76457839.60289374</v>
      </c>
    </row>
    <row r="187" spans="1:18">
      <c r="A187" s="20">
        <v>186</v>
      </c>
      <c r="B187" s="3">
        <f ca="1">_xlfn.NORM.INV(RAND(),AVERAGE(Assumptions!$D$4,Assumptions!$F$4),(Assumptions!$F$4-Assumptions!$D$4)/3.29)*44</f>
        <v>1154616.2131849935</v>
      </c>
      <c r="C187" s="6">
        <f ca="1">_xlfn.NORM.INV(RAND(),AVERAGE(Assumptions!$D$5,Assumptions!$F$5),(Assumptions!$F$5-Assumptions!$D$5)/3.29)*44</f>
        <v>1900019.2550174834</v>
      </c>
      <c r="D187" s="9">
        <f ca="1">_xlfn.NORM.INV(RAND(),AVERAGE(Assumptions!$D$6,Assumptions!$F$6),(Assumptions!$F$6-Assumptions!$D$6)/3.29)*RANDBETWEEN(2,5)</f>
        <v>509602.78448052076</v>
      </c>
      <c r="E187" s="12">
        <f ca="1">_xlfn.NORM.INV(RAND(),AVERAGE(Assumptions!$D$17,Assumptions!$F$17),(Assumptions!$F$17-Assumptions!$D$17)/3.29)*8</f>
        <v>1005241.7890107402</v>
      </c>
      <c r="F187" s="15">
        <f ca="1">_xlfn.NORM.INV(RAND(),AVERAGE(Assumptions!$D$7,Assumptions!$F$7),(Assumptions!$F$7-Assumptions!$D$7)/3.29)*RANDBETWEEN(1,3)</f>
        <v>2333835.8758064783</v>
      </c>
      <c r="G187" s="3">
        <f ca="1">_xlfn.NORM.INV(RAND(),AVERAGE(Assumptions!$D$8,Assumptions!$F$8),(Assumptions!$F$8-Assumptions!$D$8)/3.29)*44</f>
        <v>1410269.744194271</v>
      </c>
      <c r="H187" s="6">
        <f ca="1">_xlfn.NORM.INV(RAND(),AVERAGE(Assumptions!$D$9,Assumptions!$F$9),(Assumptions!$F$9-Assumptions!$D$9)/3.29)*21</f>
        <v>4812899.8924947008</v>
      </c>
      <c r="I187" s="9">
        <f ca="1">_xlfn.NORM.INV(RAND(),AVERAGE(Assumptions!$D$10,Assumptions!$F$10),(Assumptions!$F$10-Assumptions!$D$10)/3.29)*21</f>
        <v>918861.12171559536</v>
      </c>
      <c r="J187" s="12">
        <f ca="1">NORMINV(RAND(),AVERAGE(Assumptions!$D$11,Assumptions!$F$11),(Assumptions!$F$11-Assumptions!$D$11)/3.29)*44</f>
        <v>2710271.0937393205</v>
      </c>
      <c r="K187" s="15">
        <f ca="1">_xlfn.NORM.INV(RAND(),AVERAGE(Assumptions!$D$12,Assumptions!$F$12),(Assumptions!$F$12-Assumptions!$D$12)/3.29)*44</f>
        <v>10756834.301386558</v>
      </c>
      <c r="L187" s="3">
        <f ca="1">_xlfn.NORM.INV(RAND(),AVERAGE(Assumptions!$D$13,Assumptions!$F$13),(Assumptions!$F$13-Assumptions!$D$13)/3.29)*44</f>
        <v>15444539.16521853</v>
      </c>
      <c r="M187" s="6">
        <f ca="1">_xlfn.NORM.INV(RAND(),AVERAGE(Assumptions!$D$14,Assumptions!$F$14),(Assumptions!$F$14-Assumptions!$D$14)/3.29)*44</f>
        <v>4107570.6376993116</v>
      </c>
      <c r="N187" s="9">
        <f ca="1">_xlfn.NORM.INV(RAND(),AVERAGE(Assumptions!$D$16,Assumptions!$F$16),(Assumptions!$F$16-Assumptions!$D$16)/3.29)*44</f>
        <v>14990211.900915574</v>
      </c>
      <c r="O187" s="12">
        <f ca="1">_xlfn.NORM.INV(RAND(),AVERAGE(Assumptions!$D$15,Assumptions!$F$15),(Assumptions!$F$15-Assumptions!$D$15)/3.29)*44</f>
        <v>98807949.341138422</v>
      </c>
      <c r="P187" s="15">
        <f>Assumptions!$D$18</f>
        <v>14641750.345627395</v>
      </c>
      <c r="Q187" s="3">
        <f t="shared" ca="1" si="4"/>
        <v>36753175.566274337</v>
      </c>
      <c r="R187" s="6">
        <f t="shared" ca="1" si="5"/>
        <v>51394925.911901735</v>
      </c>
    </row>
    <row r="188" spans="1:18">
      <c r="A188" s="20">
        <v>187</v>
      </c>
      <c r="B188" s="3">
        <f ca="1">_xlfn.NORM.INV(RAND(),AVERAGE(Assumptions!$D$4,Assumptions!$F$4),(Assumptions!$F$4-Assumptions!$D$4)/3.29)*44</f>
        <v>1180196.2659178907</v>
      </c>
      <c r="C188" s="6">
        <f ca="1">_xlfn.NORM.INV(RAND(),AVERAGE(Assumptions!$D$5,Assumptions!$F$5),(Assumptions!$F$5-Assumptions!$D$5)/3.29)*44</f>
        <v>1772611.4554659904</v>
      </c>
      <c r="D188" s="9">
        <f ca="1">_xlfn.NORM.INV(RAND(),AVERAGE(Assumptions!$D$6,Assumptions!$F$6),(Assumptions!$F$6-Assumptions!$D$6)/3.29)*RANDBETWEEN(2,5)</f>
        <v>10654327.8351124</v>
      </c>
      <c r="E188" s="12">
        <f ca="1">_xlfn.NORM.INV(RAND(),AVERAGE(Assumptions!$D$17,Assumptions!$F$17),(Assumptions!$F$17-Assumptions!$D$17)/3.29)*8</f>
        <v>1063430.5004281923</v>
      </c>
      <c r="F188" s="15">
        <f ca="1">_xlfn.NORM.INV(RAND(),AVERAGE(Assumptions!$D$7,Assumptions!$F$7),(Assumptions!$F$7-Assumptions!$D$7)/3.29)*RANDBETWEEN(1,3)</f>
        <v>3702828.9498950606</v>
      </c>
      <c r="G188" s="3">
        <f ca="1">_xlfn.NORM.INV(RAND(),AVERAGE(Assumptions!$D$8,Assumptions!$F$8),(Assumptions!$F$8-Assumptions!$D$8)/3.29)*44</f>
        <v>1310724.7393013618</v>
      </c>
      <c r="H188" s="6">
        <f ca="1">_xlfn.NORM.INV(RAND(),AVERAGE(Assumptions!$D$9,Assumptions!$F$9),(Assumptions!$F$9-Assumptions!$D$9)/3.29)*21</f>
        <v>6800430.3604400288</v>
      </c>
      <c r="I188" s="9">
        <f ca="1">_xlfn.NORM.INV(RAND(),AVERAGE(Assumptions!$D$10,Assumptions!$F$10),(Assumptions!$F$10-Assumptions!$D$10)/3.29)*21</f>
        <v>730845.57036840776</v>
      </c>
      <c r="J188" s="12">
        <f ca="1">NORMINV(RAND(),AVERAGE(Assumptions!$D$11,Assumptions!$F$11),(Assumptions!$F$11-Assumptions!$D$11)/3.29)*44</f>
        <v>3662349.8438133355</v>
      </c>
      <c r="K188" s="15">
        <f ca="1">_xlfn.NORM.INV(RAND(),AVERAGE(Assumptions!$D$12,Assumptions!$F$12),(Assumptions!$F$12-Assumptions!$D$12)/3.29)*44</f>
        <v>9814025.2205652092</v>
      </c>
      <c r="L188" s="3">
        <f ca="1">_xlfn.NORM.INV(RAND(),AVERAGE(Assumptions!$D$13,Assumptions!$F$13),(Assumptions!$F$13-Assumptions!$D$13)/3.29)*44</f>
        <v>14259590.56017478</v>
      </c>
      <c r="M188" s="6">
        <f ca="1">_xlfn.NORM.INV(RAND(),AVERAGE(Assumptions!$D$14,Assumptions!$F$14),(Assumptions!$F$14-Assumptions!$D$14)/3.29)*44</f>
        <v>4742707.1093256697</v>
      </c>
      <c r="N188" s="9">
        <f ca="1">_xlfn.NORM.INV(RAND(),AVERAGE(Assumptions!$D$16,Assumptions!$F$16),(Assumptions!$F$16-Assumptions!$D$16)/3.29)*44</f>
        <v>15828218.926838025</v>
      </c>
      <c r="O188" s="12">
        <f ca="1">_xlfn.NORM.INV(RAND(),AVERAGE(Assumptions!$D$15,Assumptions!$F$15),(Assumptions!$F$15-Assumptions!$D$15)/3.29)*44</f>
        <v>68178094.169957235</v>
      </c>
      <c r="P188" s="15">
        <f>Assumptions!$D$18</f>
        <v>14641750.345627395</v>
      </c>
      <c r="Q188" s="3">
        <f t="shared" ca="1" si="4"/>
        <v>-7344193.1676891297</v>
      </c>
      <c r="R188" s="6">
        <f t="shared" ca="1" si="5"/>
        <v>7297557.1779382657</v>
      </c>
    </row>
    <row r="189" spans="1:18">
      <c r="A189" s="20">
        <v>188</v>
      </c>
      <c r="B189" s="3">
        <f ca="1">_xlfn.NORM.INV(RAND(),AVERAGE(Assumptions!$D$4,Assumptions!$F$4),(Assumptions!$F$4-Assumptions!$D$4)/3.29)*44</f>
        <v>1237582.6321354914</v>
      </c>
      <c r="C189" s="6">
        <f ca="1">_xlfn.NORM.INV(RAND(),AVERAGE(Assumptions!$D$5,Assumptions!$F$5),(Assumptions!$F$5-Assumptions!$D$5)/3.29)*44</f>
        <v>1635162.192232684</v>
      </c>
      <c r="D189" s="9">
        <f ca="1">_xlfn.NORM.INV(RAND(),AVERAGE(Assumptions!$D$6,Assumptions!$F$6),(Assumptions!$F$6-Assumptions!$D$6)/3.29)*RANDBETWEEN(2,5)</f>
        <v>6365312.4769333918</v>
      </c>
      <c r="E189" s="12">
        <f ca="1">_xlfn.NORM.INV(RAND(),AVERAGE(Assumptions!$D$17,Assumptions!$F$17),(Assumptions!$F$17-Assumptions!$D$17)/3.29)*8</f>
        <v>1007816.2360814309</v>
      </c>
      <c r="F189" s="15">
        <f ca="1">_xlfn.NORM.INV(RAND(),AVERAGE(Assumptions!$D$7,Assumptions!$F$7),(Assumptions!$F$7-Assumptions!$D$7)/3.29)*RANDBETWEEN(1,3)</f>
        <v>4869292.1301964456</v>
      </c>
      <c r="G189" s="3">
        <f ca="1">_xlfn.NORM.INV(RAND(),AVERAGE(Assumptions!$D$8,Assumptions!$F$8),(Assumptions!$F$8-Assumptions!$D$8)/3.29)*44</f>
        <v>1233361.6071076891</v>
      </c>
      <c r="H189" s="6">
        <f ca="1">_xlfn.NORM.INV(RAND(),AVERAGE(Assumptions!$D$9,Assumptions!$F$9),(Assumptions!$F$9-Assumptions!$D$9)/3.29)*21</f>
        <v>3517102.7716592667</v>
      </c>
      <c r="I189" s="9">
        <f ca="1">_xlfn.NORM.INV(RAND(),AVERAGE(Assumptions!$D$10,Assumptions!$F$10),(Assumptions!$F$10-Assumptions!$D$10)/3.29)*21</f>
        <v>850189.30524930602</v>
      </c>
      <c r="J189" s="12">
        <f ca="1">NORMINV(RAND(),AVERAGE(Assumptions!$D$11,Assumptions!$F$11),(Assumptions!$F$11-Assumptions!$D$11)/3.29)*44</f>
        <v>4218086.6050244849</v>
      </c>
      <c r="K189" s="15">
        <f ca="1">_xlfn.NORM.INV(RAND(),AVERAGE(Assumptions!$D$12,Assumptions!$F$12),(Assumptions!$F$12-Assumptions!$D$12)/3.29)*44</f>
        <v>7904898.6743805222</v>
      </c>
      <c r="L189" s="3">
        <f ca="1">_xlfn.NORM.INV(RAND(),AVERAGE(Assumptions!$D$13,Assumptions!$F$13),(Assumptions!$F$13-Assumptions!$D$13)/3.29)*44</f>
        <v>14250613.519556617</v>
      </c>
      <c r="M189" s="6">
        <f ca="1">_xlfn.NORM.INV(RAND(),AVERAGE(Assumptions!$D$14,Assumptions!$F$14),(Assumptions!$F$14-Assumptions!$D$14)/3.29)*44</f>
        <v>5389405.862321361</v>
      </c>
      <c r="N189" s="9">
        <f ca="1">_xlfn.NORM.INV(RAND(),AVERAGE(Assumptions!$D$16,Assumptions!$F$16),(Assumptions!$F$16-Assumptions!$D$16)/3.29)*44</f>
        <v>4640072.7598264161</v>
      </c>
      <c r="O189" s="12">
        <f ca="1">_xlfn.NORM.INV(RAND(),AVERAGE(Assumptions!$D$15,Assumptions!$F$15),(Assumptions!$F$15-Assumptions!$D$15)/3.29)*44</f>
        <v>71732061.031088129</v>
      </c>
      <c r="P189" s="15">
        <f>Assumptions!$D$18</f>
        <v>14641750.345627395</v>
      </c>
      <c r="Q189" s="3">
        <f t="shared" ca="1" si="4"/>
        <v>14613164.258383021</v>
      </c>
      <c r="R189" s="6">
        <f t="shared" ca="1" si="5"/>
        <v>29254914.604010418</v>
      </c>
    </row>
    <row r="190" spans="1:18">
      <c r="A190" s="20">
        <v>189</v>
      </c>
      <c r="B190" s="3">
        <f ca="1">_xlfn.NORM.INV(RAND(),AVERAGE(Assumptions!$D$4,Assumptions!$F$4),(Assumptions!$F$4-Assumptions!$D$4)/3.29)*44</f>
        <v>1171927.4309689163</v>
      </c>
      <c r="C190" s="6">
        <f ca="1">_xlfn.NORM.INV(RAND(),AVERAGE(Assumptions!$D$5,Assumptions!$F$5),(Assumptions!$F$5-Assumptions!$D$5)/3.29)*44</f>
        <v>1893342.3309005331</v>
      </c>
      <c r="D190" s="9">
        <f ca="1">_xlfn.NORM.INV(RAND(),AVERAGE(Assumptions!$D$6,Assumptions!$F$6),(Assumptions!$F$6-Assumptions!$D$6)/3.29)*RANDBETWEEN(2,5)</f>
        <v>1080749.1809982411</v>
      </c>
      <c r="E190" s="12">
        <f ca="1">_xlfn.NORM.INV(RAND(),AVERAGE(Assumptions!$D$17,Assumptions!$F$17),(Assumptions!$F$17-Assumptions!$D$17)/3.29)*8</f>
        <v>1035028.6161124072</v>
      </c>
      <c r="F190" s="15">
        <f ca="1">_xlfn.NORM.INV(RAND(),AVERAGE(Assumptions!$D$7,Assumptions!$F$7),(Assumptions!$F$7-Assumptions!$D$7)/3.29)*RANDBETWEEN(1,3)</f>
        <v>7462002.3196895123</v>
      </c>
      <c r="G190" s="3">
        <f ca="1">_xlfn.NORM.INV(RAND(),AVERAGE(Assumptions!$D$8,Assumptions!$F$8),(Assumptions!$F$8-Assumptions!$D$8)/3.29)*44</f>
        <v>791160.80877918145</v>
      </c>
      <c r="H190" s="6">
        <f ca="1">_xlfn.NORM.INV(RAND(),AVERAGE(Assumptions!$D$9,Assumptions!$F$9),(Assumptions!$F$9-Assumptions!$D$9)/3.29)*21</f>
        <v>6266418.9017679719</v>
      </c>
      <c r="I190" s="9">
        <f ca="1">_xlfn.NORM.INV(RAND(),AVERAGE(Assumptions!$D$10,Assumptions!$F$10),(Assumptions!$F$10-Assumptions!$D$10)/3.29)*21</f>
        <v>797148.92112051451</v>
      </c>
      <c r="J190" s="12">
        <f ca="1">NORMINV(RAND(),AVERAGE(Assumptions!$D$11,Assumptions!$F$11),(Assumptions!$F$11-Assumptions!$D$11)/3.29)*44</f>
        <v>2102691.0282046674</v>
      </c>
      <c r="K190" s="15">
        <f ca="1">_xlfn.NORM.INV(RAND(),AVERAGE(Assumptions!$D$12,Assumptions!$F$12),(Assumptions!$F$12-Assumptions!$D$12)/3.29)*44</f>
        <v>10448764.34496315</v>
      </c>
      <c r="L190" s="3">
        <f ca="1">_xlfn.NORM.INV(RAND(),AVERAGE(Assumptions!$D$13,Assumptions!$F$13),(Assumptions!$F$13-Assumptions!$D$13)/3.29)*44</f>
        <v>17084361.571357872</v>
      </c>
      <c r="M190" s="6">
        <f ca="1">_xlfn.NORM.INV(RAND(),AVERAGE(Assumptions!$D$14,Assumptions!$F$14),(Assumptions!$F$14-Assumptions!$D$14)/3.29)*44</f>
        <v>3641706.5978855742</v>
      </c>
      <c r="N190" s="9">
        <f ca="1">_xlfn.NORM.INV(RAND(),AVERAGE(Assumptions!$D$16,Assumptions!$F$16),(Assumptions!$F$16-Assumptions!$D$16)/3.29)*44</f>
        <v>11348996.507389076</v>
      </c>
      <c r="O190" s="12">
        <f ca="1">_xlfn.NORM.INV(RAND(),AVERAGE(Assumptions!$D$15,Assumptions!$F$15),(Assumptions!$F$15-Assumptions!$D$15)/3.29)*44</f>
        <v>36066318.522717871</v>
      </c>
      <c r="P190" s="15">
        <f>Assumptions!$D$18</f>
        <v>14641750.345627395</v>
      </c>
      <c r="Q190" s="3">
        <f t="shared" ca="1" si="4"/>
        <v>-29057980.037419736</v>
      </c>
      <c r="R190" s="6">
        <f t="shared" ca="1" si="5"/>
        <v>-14416229.691792341</v>
      </c>
    </row>
    <row r="191" spans="1:18">
      <c r="A191" s="20">
        <v>190</v>
      </c>
      <c r="B191" s="3">
        <f ca="1">_xlfn.NORM.INV(RAND(),AVERAGE(Assumptions!$D$4,Assumptions!$F$4),(Assumptions!$F$4-Assumptions!$D$4)/3.29)*44</f>
        <v>1138955.9246248344</v>
      </c>
      <c r="C191" s="6">
        <f ca="1">_xlfn.NORM.INV(RAND(),AVERAGE(Assumptions!$D$5,Assumptions!$F$5),(Assumptions!$F$5-Assumptions!$D$5)/3.29)*44</f>
        <v>1748775.704503814</v>
      </c>
      <c r="D191" s="9">
        <f ca="1">_xlfn.NORM.INV(RAND(),AVERAGE(Assumptions!$D$6,Assumptions!$F$6),(Assumptions!$F$6-Assumptions!$D$6)/3.29)*RANDBETWEEN(2,5)</f>
        <v>1660500.4515616382</v>
      </c>
      <c r="E191" s="12">
        <f ca="1">_xlfn.NORM.INV(RAND(),AVERAGE(Assumptions!$D$17,Assumptions!$F$17),(Assumptions!$F$17-Assumptions!$D$17)/3.29)*8</f>
        <v>1036850.6379685409</v>
      </c>
      <c r="F191" s="15">
        <f ca="1">_xlfn.NORM.INV(RAND(),AVERAGE(Assumptions!$D$7,Assumptions!$F$7),(Assumptions!$F$7-Assumptions!$D$7)/3.29)*RANDBETWEEN(1,3)</f>
        <v>3121869.0968634109</v>
      </c>
      <c r="G191" s="3">
        <f ca="1">_xlfn.NORM.INV(RAND(),AVERAGE(Assumptions!$D$8,Assumptions!$F$8),(Assumptions!$F$8-Assumptions!$D$8)/3.29)*44</f>
        <v>1395830.6822621017</v>
      </c>
      <c r="H191" s="6">
        <f ca="1">_xlfn.NORM.INV(RAND(),AVERAGE(Assumptions!$D$9,Assumptions!$F$9),(Assumptions!$F$9-Assumptions!$D$9)/3.29)*21</f>
        <v>3279425.0343766231</v>
      </c>
      <c r="I191" s="9">
        <f ca="1">_xlfn.NORM.INV(RAND(),AVERAGE(Assumptions!$D$10,Assumptions!$F$10),(Assumptions!$F$10-Assumptions!$D$10)/3.29)*21</f>
        <v>997413.32027685142</v>
      </c>
      <c r="J191" s="12">
        <f ca="1">NORMINV(RAND(),AVERAGE(Assumptions!$D$11,Assumptions!$F$11),(Assumptions!$F$11-Assumptions!$D$11)/3.29)*44</f>
        <v>5188903.5324625345</v>
      </c>
      <c r="K191" s="15">
        <f ca="1">_xlfn.NORM.INV(RAND(),AVERAGE(Assumptions!$D$12,Assumptions!$F$12),(Assumptions!$F$12-Assumptions!$D$12)/3.29)*44</f>
        <v>8737232.0296124984</v>
      </c>
      <c r="L191" s="3">
        <f ca="1">_xlfn.NORM.INV(RAND(),AVERAGE(Assumptions!$D$13,Assumptions!$F$13),(Assumptions!$F$13-Assumptions!$D$13)/3.29)*44</f>
        <v>23057753.918429051</v>
      </c>
      <c r="M191" s="6">
        <f ca="1">_xlfn.NORM.INV(RAND(),AVERAGE(Assumptions!$D$14,Assumptions!$F$14),(Assumptions!$F$14-Assumptions!$D$14)/3.29)*44</f>
        <v>4462759.7857666733</v>
      </c>
      <c r="N191" s="9">
        <f ca="1">_xlfn.NORM.INV(RAND(),AVERAGE(Assumptions!$D$16,Assumptions!$F$16),(Assumptions!$F$16-Assumptions!$D$16)/3.29)*44</f>
        <v>17002133.998379081</v>
      </c>
      <c r="O191" s="12">
        <f ca="1">_xlfn.NORM.INV(RAND(),AVERAGE(Assumptions!$D$15,Assumptions!$F$15),(Assumptions!$F$15-Assumptions!$D$15)/3.29)*44</f>
        <v>95689565.899013713</v>
      </c>
      <c r="P191" s="15">
        <f>Assumptions!$D$18</f>
        <v>14641750.345627395</v>
      </c>
      <c r="Q191" s="3">
        <f t="shared" ca="1" si="4"/>
        <v>22861161.781926051</v>
      </c>
      <c r="R191" s="6">
        <f t="shared" ca="1" si="5"/>
        <v>37502912.127553448</v>
      </c>
    </row>
    <row r="192" spans="1:18">
      <c r="A192" s="20">
        <v>191</v>
      </c>
      <c r="B192" s="3">
        <f ca="1">_xlfn.NORM.INV(RAND(),AVERAGE(Assumptions!$D$4,Assumptions!$F$4),(Assumptions!$F$4-Assumptions!$D$4)/3.29)*44</f>
        <v>1270260.6657949153</v>
      </c>
      <c r="C192" s="6">
        <f ca="1">_xlfn.NORM.INV(RAND(),AVERAGE(Assumptions!$D$5,Assumptions!$F$5),(Assumptions!$F$5-Assumptions!$D$5)/3.29)*44</f>
        <v>1886772.5251633404</v>
      </c>
      <c r="D192" s="9">
        <f ca="1">_xlfn.NORM.INV(RAND(),AVERAGE(Assumptions!$D$6,Assumptions!$F$6),(Assumptions!$F$6-Assumptions!$D$6)/3.29)*RANDBETWEEN(2,5)</f>
        <v>6407271.7012201035</v>
      </c>
      <c r="E192" s="12">
        <f ca="1">_xlfn.NORM.INV(RAND(),AVERAGE(Assumptions!$D$17,Assumptions!$F$17),(Assumptions!$F$17-Assumptions!$D$17)/3.29)*8</f>
        <v>1054199.4260829354</v>
      </c>
      <c r="F192" s="15">
        <f ca="1">_xlfn.NORM.INV(RAND(),AVERAGE(Assumptions!$D$7,Assumptions!$F$7),(Assumptions!$F$7-Assumptions!$D$7)/3.29)*RANDBETWEEN(1,3)</f>
        <v>10490159.686306287</v>
      </c>
      <c r="G192" s="3">
        <f ca="1">_xlfn.NORM.INV(RAND(),AVERAGE(Assumptions!$D$8,Assumptions!$F$8),(Assumptions!$F$8-Assumptions!$D$8)/3.29)*44</f>
        <v>1123450.4568291393</v>
      </c>
      <c r="H192" s="6">
        <f ca="1">_xlfn.NORM.INV(RAND(),AVERAGE(Assumptions!$D$9,Assumptions!$F$9),(Assumptions!$F$9-Assumptions!$D$9)/3.29)*21</f>
        <v>3384166.0463284436</v>
      </c>
      <c r="I192" s="9">
        <f ca="1">_xlfn.NORM.INV(RAND(),AVERAGE(Assumptions!$D$10,Assumptions!$F$10),(Assumptions!$F$10-Assumptions!$D$10)/3.29)*21</f>
        <v>803431.19605438737</v>
      </c>
      <c r="J192" s="12">
        <f ca="1">NORMINV(RAND(),AVERAGE(Assumptions!$D$11,Assumptions!$F$11),(Assumptions!$F$11-Assumptions!$D$11)/3.29)*44</f>
        <v>3902163.413433956</v>
      </c>
      <c r="K192" s="15">
        <f ca="1">_xlfn.NORM.INV(RAND(),AVERAGE(Assumptions!$D$12,Assumptions!$F$12),(Assumptions!$F$12-Assumptions!$D$12)/3.29)*44</f>
        <v>9378046.8073616475</v>
      </c>
      <c r="L192" s="3">
        <f ca="1">_xlfn.NORM.INV(RAND(),AVERAGE(Assumptions!$D$13,Assumptions!$F$13),(Assumptions!$F$13-Assumptions!$D$13)/3.29)*44</f>
        <v>7324816.4175949981</v>
      </c>
      <c r="M192" s="6">
        <f ca="1">_xlfn.NORM.INV(RAND(),AVERAGE(Assumptions!$D$14,Assumptions!$F$14),(Assumptions!$F$14-Assumptions!$D$14)/3.29)*44</f>
        <v>7007185.600455666</v>
      </c>
      <c r="N192" s="9">
        <f ca="1">_xlfn.NORM.INV(RAND(),AVERAGE(Assumptions!$D$16,Assumptions!$F$16),(Assumptions!$F$16-Assumptions!$D$16)/3.29)*44</f>
        <v>9709362.0287670903</v>
      </c>
      <c r="O192" s="12">
        <f ca="1">_xlfn.NORM.INV(RAND(),AVERAGE(Assumptions!$D$15,Assumptions!$F$15),(Assumptions!$F$15-Assumptions!$D$15)/3.29)*44</f>
        <v>82109262.924926475</v>
      </c>
      <c r="P192" s="15">
        <f>Assumptions!$D$18</f>
        <v>14641750.345627395</v>
      </c>
      <c r="Q192" s="3">
        <f t="shared" ca="1" si="4"/>
        <v>18367976.95353356</v>
      </c>
      <c r="R192" s="6">
        <f t="shared" ca="1" si="5"/>
        <v>33009727.299160957</v>
      </c>
    </row>
    <row r="193" spans="1:18">
      <c r="A193" s="20">
        <v>192</v>
      </c>
      <c r="B193" s="3">
        <f ca="1">_xlfn.NORM.INV(RAND(),AVERAGE(Assumptions!$D$4,Assumptions!$F$4),(Assumptions!$F$4-Assumptions!$D$4)/3.29)*44</f>
        <v>1201045.6822858253</v>
      </c>
      <c r="C193" s="6">
        <f ca="1">_xlfn.NORM.INV(RAND(),AVERAGE(Assumptions!$D$5,Assumptions!$F$5),(Assumptions!$F$5-Assumptions!$D$5)/3.29)*44</f>
        <v>1839463.0150366151</v>
      </c>
      <c r="D193" s="9">
        <f ca="1">_xlfn.NORM.INV(RAND(),AVERAGE(Assumptions!$D$6,Assumptions!$F$6),(Assumptions!$F$6-Assumptions!$D$6)/3.29)*RANDBETWEEN(2,5)</f>
        <v>4216944.0808687052</v>
      </c>
      <c r="E193" s="12">
        <f ca="1">_xlfn.NORM.INV(RAND(),AVERAGE(Assumptions!$D$17,Assumptions!$F$17),(Assumptions!$F$17-Assumptions!$D$17)/3.29)*8</f>
        <v>899277.16508851794</v>
      </c>
      <c r="F193" s="15">
        <f ca="1">_xlfn.NORM.INV(RAND(),AVERAGE(Assumptions!$D$7,Assumptions!$F$7),(Assumptions!$F$7-Assumptions!$D$7)/3.29)*RANDBETWEEN(1,3)</f>
        <v>5188543.6476698415</v>
      </c>
      <c r="G193" s="3">
        <f ca="1">_xlfn.NORM.INV(RAND(),AVERAGE(Assumptions!$D$8,Assumptions!$F$8),(Assumptions!$F$8-Assumptions!$D$8)/3.29)*44</f>
        <v>1319401.6566308714</v>
      </c>
      <c r="H193" s="6">
        <f ca="1">_xlfn.NORM.INV(RAND(),AVERAGE(Assumptions!$D$9,Assumptions!$F$9),(Assumptions!$F$9-Assumptions!$D$9)/3.29)*21</f>
        <v>3254269.9173101503</v>
      </c>
      <c r="I193" s="9">
        <f ca="1">_xlfn.NORM.INV(RAND(),AVERAGE(Assumptions!$D$10,Assumptions!$F$10),(Assumptions!$F$10-Assumptions!$D$10)/3.29)*21</f>
        <v>1132821.6176224244</v>
      </c>
      <c r="J193" s="12">
        <f ca="1">NORMINV(RAND(),AVERAGE(Assumptions!$D$11,Assumptions!$F$11),(Assumptions!$F$11-Assumptions!$D$11)/3.29)*44</f>
        <v>3672907.2422563718</v>
      </c>
      <c r="K193" s="15">
        <f ca="1">_xlfn.NORM.INV(RAND(),AVERAGE(Assumptions!$D$12,Assumptions!$F$12),(Assumptions!$F$12-Assumptions!$D$12)/3.29)*44</f>
        <v>8361783.547579186</v>
      </c>
      <c r="L193" s="3">
        <f ca="1">_xlfn.NORM.INV(RAND(),AVERAGE(Assumptions!$D$13,Assumptions!$F$13),(Assumptions!$F$13-Assumptions!$D$13)/3.29)*44</f>
        <v>15883252.63797605</v>
      </c>
      <c r="M193" s="6">
        <f ca="1">_xlfn.NORM.INV(RAND(),AVERAGE(Assumptions!$D$14,Assumptions!$F$14),(Assumptions!$F$14-Assumptions!$D$14)/3.29)*44</f>
        <v>5644262.5515552135</v>
      </c>
      <c r="N193" s="9">
        <f ca="1">_xlfn.NORM.INV(RAND(),AVERAGE(Assumptions!$D$16,Assumptions!$F$16),(Assumptions!$F$16-Assumptions!$D$16)/3.29)*44</f>
        <v>14016868.993471902</v>
      </c>
      <c r="O193" s="12">
        <f ca="1">_xlfn.NORM.INV(RAND(),AVERAGE(Assumptions!$D$15,Assumptions!$F$15),(Assumptions!$F$15-Assumptions!$D$15)/3.29)*44</f>
        <v>70853430.219834089</v>
      </c>
      <c r="P193" s="15">
        <f>Assumptions!$D$18</f>
        <v>14641750.345627395</v>
      </c>
      <c r="Q193" s="3">
        <f t="shared" ca="1" si="4"/>
        <v>4222588.4644824117</v>
      </c>
      <c r="R193" s="6">
        <f t="shared" ca="1" si="5"/>
        <v>18864338.810109809</v>
      </c>
    </row>
    <row r="194" spans="1:18">
      <c r="A194" s="20">
        <v>193</v>
      </c>
      <c r="B194" s="3">
        <f ca="1">_xlfn.NORM.INV(RAND(),AVERAGE(Assumptions!$D$4,Assumptions!$F$4),(Assumptions!$F$4-Assumptions!$D$4)/3.29)*44</f>
        <v>1268792.5463253516</v>
      </c>
      <c r="C194" s="6">
        <f ca="1">_xlfn.NORM.INV(RAND(),AVERAGE(Assumptions!$D$5,Assumptions!$F$5),(Assumptions!$F$5-Assumptions!$D$5)/3.29)*44</f>
        <v>1819790.5365270074</v>
      </c>
      <c r="D194" s="9">
        <f ca="1">_xlfn.NORM.INV(RAND(),AVERAGE(Assumptions!$D$6,Assumptions!$F$6),(Assumptions!$F$6-Assumptions!$D$6)/3.29)*RANDBETWEEN(2,5)</f>
        <v>3711578.3352184072</v>
      </c>
      <c r="E194" s="12">
        <f ca="1">_xlfn.NORM.INV(RAND(),AVERAGE(Assumptions!$D$17,Assumptions!$F$17),(Assumptions!$F$17-Assumptions!$D$17)/3.29)*8</f>
        <v>1115244.5446408626</v>
      </c>
      <c r="F194" s="15">
        <f ca="1">_xlfn.NORM.INV(RAND(),AVERAGE(Assumptions!$D$7,Assumptions!$F$7),(Assumptions!$F$7-Assumptions!$D$7)/3.29)*RANDBETWEEN(1,3)</f>
        <v>4354935.9969940111</v>
      </c>
      <c r="G194" s="3">
        <f ca="1">_xlfn.NORM.INV(RAND(),AVERAGE(Assumptions!$D$8,Assumptions!$F$8),(Assumptions!$F$8-Assumptions!$D$8)/3.29)*44</f>
        <v>1062901.0936363118</v>
      </c>
      <c r="H194" s="6">
        <f ca="1">_xlfn.NORM.INV(RAND(),AVERAGE(Assumptions!$D$9,Assumptions!$F$9),(Assumptions!$F$9-Assumptions!$D$9)/3.29)*21</f>
        <v>4702722.9066670584</v>
      </c>
      <c r="I194" s="9">
        <f ca="1">_xlfn.NORM.INV(RAND(),AVERAGE(Assumptions!$D$10,Assumptions!$F$10),(Assumptions!$F$10-Assumptions!$D$10)/3.29)*21</f>
        <v>897496.17298144707</v>
      </c>
      <c r="J194" s="12">
        <f ca="1">NORMINV(RAND(),AVERAGE(Assumptions!$D$11,Assumptions!$F$11),(Assumptions!$F$11-Assumptions!$D$11)/3.29)*44</f>
        <v>4386567.5587300602</v>
      </c>
      <c r="K194" s="15">
        <f ca="1">_xlfn.NORM.INV(RAND(),AVERAGE(Assumptions!$D$12,Assumptions!$F$12),(Assumptions!$F$12-Assumptions!$D$12)/3.29)*44</f>
        <v>8221757.0042792484</v>
      </c>
      <c r="L194" s="3">
        <f ca="1">_xlfn.NORM.INV(RAND(),AVERAGE(Assumptions!$D$13,Assumptions!$F$13),(Assumptions!$F$13-Assumptions!$D$13)/3.29)*44</f>
        <v>17756775.090014823</v>
      </c>
      <c r="M194" s="6">
        <f ca="1">_xlfn.NORM.INV(RAND(),AVERAGE(Assumptions!$D$14,Assumptions!$F$14),(Assumptions!$F$14-Assumptions!$D$14)/3.29)*44</f>
        <v>3364857.8553502494</v>
      </c>
      <c r="N194" s="9">
        <f ca="1">_xlfn.NORM.INV(RAND(),AVERAGE(Assumptions!$D$16,Assumptions!$F$16),(Assumptions!$F$16-Assumptions!$D$16)/3.29)*44</f>
        <v>1910698.9078444187</v>
      </c>
      <c r="O194" s="12">
        <f ca="1">_xlfn.NORM.INV(RAND(),AVERAGE(Assumptions!$D$15,Assumptions!$F$15),(Assumptions!$F$15-Assumptions!$D$15)/3.29)*44</f>
        <v>77883198.785742879</v>
      </c>
      <c r="P194" s="15">
        <f>Assumptions!$D$18</f>
        <v>14641750.345627395</v>
      </c>
      <c r="Q194" s="3">
        <f t="shared" ca="1" si="4"/>
        <v>23309080.236533627</v>
      </c>
      <c r="R194" s="6">
        <f t="shared" ca="1" si="5"/>
        <v>37950830.582161024</v>
      </c>
    </row>
    <row r="195" spans="1:18">
      <c r="A195" s="20">
        <v>194</v>
      </c>
      <c r="B195" s="3">
        <f ca="1">_xlfn.NORM.INV(RAND(),AVERAGE(Assumptions!$D$4,Assumptions!$F$4),(Assumptions!$F$4-Assumptions!$D$4)/3.29)*44</f>
        <v>1286866.9601805978</v>
      </c>
      <c r="C195" s="6">
        <f ca="1">_xlfn.NORM.INV(RAND(),AVERAGE(Assumptions!$D$5,Assumptions!$F$5),(Assumptions!$F$5-Assumptions!$D$5)/3.29)*44</f>
        <v>1741719.7521702596</v>
      </c>
      <c r="D195" s="9">
        <f ca="1">_xlfn.NORM.INV(RAND(),AVERAGE(Assumptions!$D$6,Assumptions!$F$6),(Assumptions!$F$6-Assumptions!$D$6)/3.29)*RANDBETWEEN(2,5)</f>
        <v>1449963.2134961204</v>
      </c>
      <c r="E195" s="12">
        <f ca="1">_xlfn.NORM.INV(RAND(),AVERAGE(Assumptions!$D$17,Assumptions!$F$17),(Assumptions!$F$17-Assumptions!$D$17)/3.29)*8</f>
        <v>1049254.2037556402</v>
      </c>
      <c r="F195" s="15">
        <f ca="1">_xlfn.NORM.INV(RAND(),AVERAGE(Assumptions!$D$7,Assumptions!$F$7),(Assumptions!$F$7-Assumptions!$D$7)/3.29)*RANDBETWEEN(1,3)</f>
        <v>3656185.0890776087</v>
      </c>
      <c r="G195" s="3">
        <f ca="1">_xlfn.NORM.INV(RAND(),AVERAGE(Assumptions!$D$8,Assumptions!$F$8),(Assumptions!$F$8-Assumptions!$D$8)/3.29)*44</f>
        <v>1317731.6016591464</v>
      </c>
      <c r="H195" s="6">
        <f ca="1">_xlfn.NORM.INV(RAND(),AVERAGE(Assumptions!$D$9,Assumptions!$F$9),(Assumptions!$F$9-Assumptions!$D$9)/3.29)*21</f>
        <v>3866281.2025298676</v>
      </c>
      <c r="I195" s="9">
        <f ca="1">_xlfn.NORM.INV(RAND(),AVERAGE(Assumptions!$D$10,Assumptions!$F$10),(Assumptions!$F$10-Assumptions!$D$10)/3.29)*21</f>
        <v>989947.25710246747</v>
      </c>
      <c r="J195" s="12">
        <f ca="1">NORMINV(RAND(),AVERAGE(Assumptions!$D$11,Assumptions!$F$11),(Assumptions!$F$11-Assumptions!$D$11)/3.29)*44</f>
        <v>2884244.3670245362</v>
      </c>
      <c r="K195" s="15">
        <f ca="1">_xlfn.NORM.INV(RAND(),AVERAGE(Assumptions!$D$12,Assumptions!$F$12),(Assumptions!$F$12-Assumptions!$D$12)/3.29)*44</f>
        <v>10275353.648259101</v>
      </c>
      <c r="L195" s="3">
        <f ca="1">_xlfn.NORM.INV(RAND(),AVERAGE(Assumptions!$D$13,Assumptions!$F$13),(Assumptions!$F$13-Assumptions!$D$13)/3.29)*44</f>
        <v>12143636.030358449</v>
      </c>
      <c r="M195" s="6">
        <f ca="1">_xlfn.NORM.INV(RAND(),AVERAGE(Assumptions!$D$14,Assumptions!$F$14),(Assumptions!$F$14-Assumptions!$D$14)/3.29)*44</f>
        <v>5311739.7550176177</v>
      </c>
      <c r="N195" s="9">
        <f ca="1">_xlfn.NORM.INV(RAND(),AVERAGE(Assumptions!$D$16,Assumptions!$F$16),(Assumptions!$F$16-Assumptions!$D$16)/3.29)*44</f>
        <v>14206027.179880116</v>
      </c>
      <c r="O195" s="12">
        <f ca="1">_xlfn.NORM.INV(RAND(),AVERAGE(Assumptions!$D$15,Assumptions!$F$15),(Assumptions!$F$15-Assumptions!$D$15)/3.29)*44</f>
        <v>52448029.710217997</v>
      </c>
      <c r="P195" s="15">
        <f>Assumptions!$D$18</f>
        <v>14641750.345627395</v>
      </c>
      <c r="Q195" s="3">
        <f t="shared" ref="Q195:Q258" ca="1" si="6">O195-(B195+C195+D195+F195+G195+H195+I195+J195+K195+L195+M195+N195+E195)</f>
        <v>-7730920.5502935275</v>
      </c>
      <c r="R195" s="6">
        <f t="shared" ref="R195:R258" ca="1" si="7">Q195+P195</f>
        <v>6910829.7953338679</v>
      </c>
    </row>
    <row r="196" spans="1:18">
      <c r="A196" s="20">
        <v>195</v>
      </c>
      <c r="B196" s="3">
        <f ca="1">_xlfn.NORM.INV(RAND(),AVERAGE(Assumptions!$D$4,Assumptions!$F$4),(Assumptions!$F$4-Assumptions!$D$4)/3.29)*44</f>
        <v>1270702.0213487509</v>
      </c>
      <c r="C196" s="6">
        <f ca="1">_xlfn.NORM.INV(RAND(),AVERAGE(Assumptions!$D$5,Assumptions!$F$5),(Assumptions!$F$5-Assumptions!$D$5)/3.29)*44</f>
        <v>1992011.0130151541</v>
      </c>
      <c r="D196" s="9">
        <f ca="1">_xlfn.NORM.INV(RAND(),AVERAGE(Assumptions!$D$6,Assumptions!$F$6),(Assumptions!$F$6-Assumptions!$D$6)/3.29)*RANDBETWEEN(2,5)</f>
        <v>3986848.7768358355</v>
      </c>
      <c r="E196" s="12">
        <f ca="1">_xlfn.NORM.INV(RAND(),AVERAGE(Assumptions!$D$17,Assumptions!$F$17),(Assumptions!$F$17-Assumptions!$D$17)/3.29)*8</f>
        <v>1126640.3360780952</v>
      </c>
      <c r="F196" s="15">
        <f ca="1">_xlfn.NORM.INV(RAND(),AVERAGE(Assumptions!$D$7,Assumptions!$F$7),(Assumptions!$F$7-Assumptions!$D$7)/3.29)*RANDBETWEEN(1,3)</f>
        <v>9728033.8438774403</v>
      </c>
      <c r="G196" s="3">
        <f ca="1">_xlfn.NORM.INV(RAND(),AVERAGE(Assumptions!$D$8,Assumptions!$F$8),(Assumptions!$F$8-Assumptions!$D$8)/3.29)*44</f>
        <v>1144970.5160964886</v>
      </c>
      <c r="H196" s="6">
        <f ca="1">_xlfn.NORM.INV(RAND(),AVERAGE(Assumptions!$D$9,Assumptions!$F$9),(Assumptions!$F$9-Assumptions!$D$9)/3.29)*21</f>
        <v>4249637.6939697778</v>
      </c>
      <c r="I196" s="9">
        <f ca="1">_xlfn.NORM.INV(RAND(),AVERAGE(Assumptions!$D$10,Assumptions!$F$10),(Assumptions!$F$10-Assumptions!$D$10)/3.29)*21</f>
        <v>782065.78915356169</v>
      </c>
      <c r="J196" s="12">
        <f ca="1">NORMINV(RAND(),AVERAGE(Assumptions!$D$11,Assumptions!$F$11),(Assumptions!$F$11-Assumptions!$D$11)/3.29)*44</f>
        <v>3691860.2815493033</v>
      </c>
      <c r="K196" s="15">
        <f ca="1">_xlfn.NORM.INV(RAND(),AVERAGE(Assumptions!$D$12,Assumptions!$F$12),(Assumptions!$F$12-Assumptions!$D$12)/3.29)*44</f>
        <v>9457999.4353822712</v>
      </c>
      <c r="L196" s="3">
        <f ca="1">_xlfn.NORM.INV(RAND(),AVERAGE(Assumptions!$D$13,Assumptions!$F$13),(Assumptions!$F$13-Assumptions!$D$13)/3.29)*44</f>
        <v>21209747.227384333</v>
      </c>
      <c r="M196" s="6">
        <f ca="1">_xlfn.NORM.INV(RAND(),AVERAGE(Assumptions!$D$14,Assumptions!$F$14),(Assumptions!$F$14-Assumptions!$D$14)/3.29)*44</f>
        <v>4116806.6004896048</v>
      </c>
      <c r="N196" s="9">
        <f ca="1">_xlfn.NORM.INV(RAND(),AVERAGE(Assumptions!$D$16,Assumptions!$F$16),(Assumptions!$F$16-Assumptions!$D$16)/3.29)*44</f>
        <v>11851526.928867463</v>
      </c>
      <c r="O196" s="12">
        <f ca="1">_xlfn.NORM.INV(RAND(),AVERAGE(Assumptions!$D$15,Assumptions!$F$15),(Assumptions!$F$15-Assumptions!$D$15)/3.29)*44</f>
        <v>79882229.284598053</v>
      </c>
      <c r="P196" s="15">
        <f>Assumptions!$D$18</f>
        <v>14641750.345627395</v>
      </c>
      <c r="Q196" s="3">
        <f t="shared" ca="1" si="6"/>
        <v>5273378.8205499798</v>
      </c>
      <c r="R196" s="6">
        <f t="shared" ca="1" si="7"/>
        <v>19915129.166177377</v>
      </c>
    </row>
    <row r="197" spans="1:18">
      <c r="A197" s="20">
        <v>196</v>
      </c>
      <c r="B197" s="3">
        <f ca="1">_xlfn.NORM.INV(RAND(),AVERAGE(Assumptions!$D$4,Assumptions!$F$4),(Assumptions!$F$4-Assumptions!$D$4)/3.29)*44</f>
        <v>1219882.7362140799</v>
      </c>
      <c r="C197" s="6">
        <f ca="1">_xlfn.NORM.INV(RAND(),AVERAGE(Assumptions!$D$5,Assumptions!$F$5),(Assumptions!$F$5-Assumptions!$D$5)/3.29)*44</f>
        <v>1895406.1755161081</v>
      </c>
      <c r="D197" s="9">
        <f ca="1">_xlfn.NORM.INV(RAND(),AVERAGE(Assumptions!$D$6,Assumptions!$F$6),(Assumptions!$F$6-Assumptions!$D$6)/3.29)*RANDBETWEEN(2,5)</f>
        <v>2715765.1917724754</v>
      </c>
      <c r="E197" s="12">
        <f ca="1">_xlfn.NORM.INV(RAND(),AVERAGE(Assumptions!$D$17,Assumptions!$F$17),(Assumptions!$F$17-Assumptions!$D$17)/3.29)*8</f>
        <v>944231.57005137077</v>
      </c>
      <c r="F197" s="15">
        <f ca="1">_xlfn.NORM.INV(RAND(),AVERAGE(Assumptions!$D$7,Assumptions!$F$7),(Assumptions!$F$7-Assumptions!$D$7)/3.29)*RANDBETWEEN(1,3)</f>
        <v>4040601.5607702336</v>
      </c>
      <c r="G197" s="3">
        <f ca="1">_xlfn.NORM.INV(RAND(),AVERAGE(Assumptions!$D$8,Assumptions!$F$8),(Assumptions!$F$8-Assumptions!$D$8)/3.29)*44</f>
        <v>1272999.5213615485</v>
      </c>
      <c r="H197" s="6">
        <f ca="1">_xlfn.NORM.INV(RAND(),AVERAGE(Assumptions!$D$9,Assumptions!$F$9),(Assumptions!$F$9-Assumptions!$D$9)/3.29)*21</f>
        <v>2704167.6331296512</v>
      </c>
      <c r="I197" s="9">
        <f ca="1">_xlfn.NORM.INV(RAND(),AVERAGE(Assumptions!$D$10,Assumptions!$F$10),(Assumptions!$F$10-Assumptions!$D$10)/3.29)*21</f>
        <v>593759.77404373162</v>
      </c>
      <c r="J197" s="12">
        <f ca="1">NORMINV(RAND(),AVERAGE(Assumptions!$D$11,Assumptions!$F$11),(Assumptions!$F$11-Assumptions!$D$11)/3.29)*44</f>
        <v>-27097.307496260852</v>
      </c>
      <c r="K197" s="15">
        <f ca="1">_xlfn.NORM.INV(RAND(),AVERAGE(Assumptions!$D$12,Assumptions!$F$12),(Assumptions!$F$12-Assumptions!$D$12)/3.29)*44</f>
        <v>10795517.076079777</v>
      </c>
      <c r="L197" s="3">
        <f ca="1">_xlfn.NORM.INV(RAND(),AVERAGE(Assumptions!$D$13,Assumptions!$F$13),(Assumptions!$F$13-Assumptions!$D$13)/3.29)*44</f>
        <v>9851124.3008566406</v>
      </c>
      <c r="M197" s="6">
        <f ca="1">_xlfn.NORM.INV(RAND(),AVERAGE(Assumptions!$D$14,Assumptions!$F$14),(Assumptions!$F$14-Assumptions!$D$14)/3.29)*44</f>
        <v>8216409.3974138461</v>
      </c>
      <c r="N197" s="9">
        <f ca="1">_xlfn.NORM.INV(RAND(),AVERAGE(Assumptions!$D$16,Assumptions!$F$16),(Assumptions!$F$16-Assumptions!$D$16)/3.29)*44</f>
        <v>6896006.1440924378</v>
      </c>
      <c r="O197" s="12">
        <f ca="1">_xlfn.NORM.INV(RAND(),AVERAGE(Assumptions!$D$15,Assumptions!$F$15),(Assumptions!$F$15-Assumptions!$D$15)/3.29)*44</f>
        <v>114950377.86420444</v>
      </c>
      <c r="P197" s="15">
        <f>Assumptions!$D$18</f>
        <v>14641750.345627395</v>
      </c>
      <c r="Q197" s="3">
        <f t="shared" ca="1" si="6"/>
        <v>63831604.090398788</v>
      </c>
      <c r="R197" s="6">
        <f t="shared" ca="1" si="7"/>
        <v>78473354.436026186</v>
      </c>
    </row>
    <row r="198" spans="1:18">
      <c r="A198" s="20">
        <v>197</v>
      </c>
      <c r="B198" s="3">
        <f ca="1">_xlfn.NORM.INV(RAND(),AVERAGE(Assumptions!$D$4,Assumptions!$F$4),(Assumptions!$F$4-Assumptions!$D$4)/3.29)*44</f>
        <v>1262489.8557395872</v>
      </c>
      <c r="C198" s="6">
        <f ca="1">_xlfn.NORM.INV(RAND(),AVERAGE(Assumptions!$D$5,Assumptions!$F$5),(Assumptions!$F$5-Assumptions!$D$5)/3.29)*44</f>
        <v>2360335.7846055245</v>
      </c>
      <c r="D198" s="9">
        <f ca="1">_xlfn.NORM.INV(RAND(),AVERAGE(Assumptions!$D$6,Assumptions!$F$6),(Assumptions!$F$6-Assumptions!$D$6)/3.29)*RANDBETWEEN(2,5)</f>
        <v>5452814.9870610628</v>
      </c>
      <c r="E198" s="12">
        <f ca="1">_xlfn.NORM.INV(RAND(),AVERAGE(Assumptions!$D$17,Assumptions!$F$17),(Assumptions!$F$17-Assumptions!$D$17)/3.29)*8</f>
        <v>1018098.9291414889</v>
      </c>
      <c r="F198" s="15">
        <f ca="1">_xlfn.NORM.INV(RAND(),AVERAGE(Assumptions!$D$7,Assumptions!$F$7),(Assumptions!$F$7-Assumptions!$D$7)/3.29)*RANDBETWEEN(1,3)</f>
        <v>2104507.4906162289</v>
      </c>
      <c r="G198" s="3">
        <f ca="1">_xlfn.NORM.INV(RAND(),AVERAGE(Assumptions!$D$8,Assumptions!$F$8),(Assumptions!$F$8-Assumptions!$D$8)/3.29)*44</f>
        <v>1117522.3345362754</v>
      </c>
      <c r="H198" s="6">
        <f ca="1">_xlfn.NORM.INV(RAND(),AVERAGE(Assumptions!$D$9,Assumptions!$F$9),(Assumptions!$F$9-Assumptions!$D$9)/3.29)*21</f>
        <v>7609298.7940445421</v>
      </c>
      <c r="I198" s="9">
        <f ca="1">_xlfn.NORM.INV(RAND(),AVERAGE(Assumptions!$D$10,Assumptions!$F$10),(Assumptions!$F$10-Assumptions!$D$10)/3.29)*21</f>
        <v>549169.3067170888</v>
      </c>
      <c r="J198" s="12">
        <f ca="1">NORMINV(RAND(),AVERAGE(Assumptions!$D$11,Assumptions!$F$11),(Assumptions!$F$11-Assumptions!$D$11)/3.29)*44</f>
        <v>4084078.5196784642</v>
      </c>
      <c r="K198" s="15">
        <f ca="1">_xlfn.NORM.INV(RAND(),AVERAGE(Assumptions!$D$12,Assumptions!$F$12),(Assumptions!$F$12-Assumptions!$D$12)/3.29)*44</f>
        <v>8180328.7780403886</v>
      </c>
      <c r="L198" s="3">
        <f ca="1">_xlfn.NORM.INV(RAND(),AVERAGE(Assumptions!$D$13,Assumptions!$F$13),(Assumptions!$F$13-Assumptions!$D$13)/3.29)*44</f>
        <v>11953298.649234805</v>
      </c>
      <c r="M198" s="6">
        <f ca="1">_xlfn.NORM.INV(RAND(),AVERAGE(Assumptions!$D$14,Assumptions!$F$14),(Assumptions!$F$14-Assumptions!$D$14)/3.29)*44</f>
        <v>5669877.2838682672</v>
      </c>
      <c r="N198" s="9">
        <f ca="1">_xlfn.NORM.INV(RAND(),AVERAGE(Assumptions!$D$16,Assumptions!$F$16),(Assumptions!$F$16-Assumptions!$D$16)/3.29)*44</f>
        <v>12058486.867491826</v>
      </c>
      <c r="O198" s="12">
        <f ca="1">_xlfn.NORM.INV(RAND(),AVERAGE(Assumptions!$D$15,Assumptions!$F$15),(Assumptions!$F$15-Assumptions!$D$15)/3.29)*44</f>
        <v>127776559.86859991</v>
      </c>
      <c r="P198" s="15">
        <f>Assumptions!$D$18</f>
        <v>14641750.345627395</v>
      </c>
      <c r="Q198" s="3">
        <f t="shared" ca="1" si="6"/>
        <v>64356252.287824348</v>
      </c>
      <c r="R198" s="6">
        <f t="shared" ca="1" si="7"/>
        <v>78998002.633451745</v>
      </c>
    </row>
    <row r="199" spans="1:18">
      <c r="A199" s="20">
        <v>198</v>
      </c>
      <c r="B199" s="3">
        <f ca="1">_xlfn.NORM.INV(RAND(),AVERAGE(Assumptions!$D$4,Assumptions!$F$4),(Assumptions!$F$4-Assumptions!$D$4)/3.29)*44</f>
        <v>1338467.3459632066</v>
      </c>
      <c r="C199" s="6">
        <f ca="1">_xlfn.NORM.INV(RAND(),AVERAGE(Assumptions!$D$5,Assumptions!$F$5),(Assumptions!$F$5-Assumptions!$D$5)/3.29)*44</f>
        <v>1967154.1725375834</v>
      </c>
      <c r="D199" s="9">
        <f ca="1">_xlfn.NORM.INV(RAND(),AVERAGE(Assumptions!$D$6,Assumptions!$F$6),(Assumptions!$F$6-Assumptions!$D$6)/3.29)*RANDBETWEEN(2,5)</f>
        <v>4899137.9361347659</v>
      </c>
      <c r="E199" s="12">
        <f ca="1">_xlfn.NORM.INV(RAND(),AVERAGE(Assumptions!$D$17,Assumptions!$F$17),(Assumptions!$F$17-Assumptions!$D$17)/3.29)*8</f>
        <v>927551.4667375373</v>
      </c>
      <c r="F199" s="15">
        <f ca="1">_xlfn.NORM.INV(RAND(),AVERAGE(Assumptions!$D$7,Assumptions!$F$7),(Assumptions!$F$7-Assumptions!$D$7)/3.29)*RANDBETWEEN(1,3)</f>
        <v>5089328.9044529526</v>
      </c>
      <c r="G199" s="3">
        <f ca="1">_xlfn.NORM.INV(RAND(),AVERAGE(Assumptions!$D$8,Assumptions!$F$8),(Assumptions!$F$8-Assumptions!$D$8)/3.29)*44</f>
        <v>1349087.9962789183</v>
      </c>
      <c r="H199" s="6">
        <f ca="1">_xlfn.NORM.INV(RAND(),AVERAGE(Assumptions!$D$9,Assumptions!$F$9),(Assumptions!$F$9-Assumptions!$D$9)/3.29)*21</f>
        <v>5338208.6630998515</v>
      </c>
      <c r="I199" s="9">
        <f ca="1">_xlfn.NORM.INV(RAND(),AVERAGE(Assumptions!$D$10,Assumptions!$F$10),(Assumptions!$F$10-Assumptions!$D$10)/3.29)*21</f>
        <v>703782.60537363554</v>
      </c>
      <c r="J199" s="12">
        <f ca="1">NORMINV(RAND(),AVERAGE(Assumptions!$D$11,Assumptions!$F$11),(Assumptions!$F$11-Assumptions!$D$11)/3.29)*44</f>
        <v>5275437.5086156102</v>
      </c>
      <c r="K199" s="15">
        <f ca="1">_xlfn.NORM.INV(RAND(),AVERAGE(Assumptions!$D$12,Assumptions!$F$12),(Assumptions!$F$12-Assumptions!$D$12)/3.29)*44</f>
        <v>8151084.8863897817</v>
      </c>
      <c r="L199" s="3">
        <f ca="1">_xlfn.NORM.INV(RAND(),AVERAGE(Assumptions!$D$13,Assumptions!$F$13),(Assumptions!$F$13-Assumptions!$D$13)/3.29)*44</f>
        <v>9274497.5604497567</v>
      </c>
      <c r="M199" s="6">
        <f ca="1">_xlfn.NORM.INV(RAND(),AVERAGE(Assumptions!$D$14,Assumptions!$F$14),(Assumptions!$F$14-Assumptions!$D$14)/3.29)*44</f>
        <v>5824985.818559804</v>
      </c>
      <c r="N199" s="9">
        <f ca="1">_xlfn.NORM.INV(RAND(),AVERAGE(Assumptions!$D$16,Assumptions!$F$16),(Assumptions!$F$16-Assumptions!$D$16)/3.29)*44</f>
        <v>8021204.2874739338</v>
      </c>
      <c r="O199" s="12">
        <f ca="1">_xlfn.NORM.INV(RAND(),AVERAGE(Assumptions!$D$15,Assumptions!$F$15),(Assumptions!$F$15-Assumptions!$D$15)/3.29)*44</f>
        <v>44232797.966998003</v>
      </c>
      <c r="P199" s="15">
        <f>Assumptions!$D$18</f>
        <v>14641750.345627395</v>
      </c>
      <c r="Q199" s="3">
        <f t="shared" ca="1" si="6"/>
        <v>-13927131.18506933</v>
      </c>
      <c r="R199" s="6">
        <f t="shared" ca="1" si="7"/>
        <v>714619.1605580654</v>
      </c>
    </row>
    <row r="200" spans="1:18">
      <c r="A200" s="20">
        <v>199</v>
      </c>
      <c r="B200" s="3">
        <f ca="1">_xlfn.NORM.INV(RAND(),AVERAGE(Assumptions!$D$4,Assumptions!$F$4),(Assumptions!$F$4-Assumptions!$D$4)/3.29)*44</f>
        <v>1287913.4907692622</v>
      </c>
      <c r="C200" s="6">
        <f ca="1">_xlfn.NORM.INV(RAND(),AVERAGE(Assumptions!$D$5,Assumptions!$F$5),(Assumptions!$F$5-Assumptions!$D$5)/3.29)*44</f>
        <v>1878098.1087163135</v>
      </c>
      <c r="D200" s="9">
        <f ca="1">_xlfn.NORM.INV(RAND(),AVERAGE(Assumptions!$D$6,Assumptions!$F$6),(Assumptions!$F$6-Assumptions!$D$6)/3.29)*RANDBETWEEN(2,5)</f>
        <v>5527182.5880331127</v>
      </c>
      <c r="E200" s="12">
        <f ca="1">_xlfn.NORM.INV(RAND(),AVERAGE(Assumptions!$D$17,Assumptions!$F$17),(Assumptions!$F$17-Assumptions!$D$17)/3.29)*8</f>
        <v>844058.50558143237</v>
      </c>
      <c r="F200" s="15">
        <f ca="1">_xlfn.NORM.INV(RAND(),AVERAGE(Assumptions!$D$7,Assumptions!$F$7),(Assumptions!$F$7-Assumptions!$D$7)/3.29)*RANDBETWEEN(1,3)</f>
        <v>10545078.010336353</v>
      </c>
      <c r="G200" s="3">
        <f ca="1">_xlfn.NORM.INV(RAND(),AVERAGE(Assumptions!$D$8,Assumptions!$F$8),(Assumptions!$F$8-Assumptions!$D$8)/3.29)*44</f>
        <v>1376714.3055665402</v>
      </c>
      <c r="H200" s="6">
        <f ca="1">_xlfn.NORM.INV(RAND(),AVERAGE(Assumptions!$D$9,Assumptions!$F$9),(Assumptions!$F$9-Assumptions!$D$9)/3.29)*21</f>
        <v>4257258.3111737985</v>
      </c>
      <c r="I200" s="9">
        <f ca="1">_xlfn.NORM.INV(RAND(),AVERAGE(Assumptions!$D$10,Assumptions!$F$10),(Assumptions!$F$10-Assumptions!$D$10)/3.29)*21</f>
        <v>826697.5691923335</v>
      </c>
      <c r="J200" s="12">
        <f ca="1">NORMINV(RAND(),AVERAGE(Assumptions!$D$11,Assumptions!$F$11),(Assumptions!$F$11-Assumptions!$D$11)/3.29)*44</f>
        <v>3275699.5798145914</v>
      </c>
      <c r="K200" s="15">
        <f ca="1">_xlfn.NORM.INV(RAND(),AVERAGE(Assumptions!$D$12,Assumptions!$F$12),(Assumptions!$F$12-Assumptions!$D$12)/3.29)*44</f>
        <v>6179049.415263243</v>
      </c>
      <c r="L200" s="3">
        <f ca="1">_xlfn.NORM.INV(RAND(),AVERAGE(Assumptions!$D$13,Assumptions!$F$13),(Assumptions!$F$13-Assumptions!$D$13)/3.29)*44</f>
        <v>15005579.899379805</v>
      </c>
      <c r="M200" s="6">
        <f ca="1">_xlfn.NORM.INV(RAND(),AVERAGE(Assumptions!$D$14,Assumptions!$F$14),(Assumptions!$F$14-Assumptions!$D$14)/3.29)*44</f>
        <v>7212730.285578602</v>
      </c>
      <c r="N200" s="9">
        <f ca="1">_xlfn.NORM.INV(RAND(),AVERAGE(Assumptions!$D$16,Assumptions!$F$16),(Assumptions!$F$16-Assumptions!$D$16)/3.29)*44</f>
        <v>1813923.4451771448</v>
      </c>
      <c r="O200" s="12">
        <f ca="1">_xlfn.NORM.INV(RAND(),AVERAGE(Assumptions!$D$15,Assumptions!$F$15),(Assumptions!$F$15-Assumptions!$D$15)/3.29)*44</f>
        <v>90106925.299297526</v>
      </c>
      <c r="P200" s="15">
        <f>Assumptions!$D$18</f>
        <v>14641750.345627395</v>
      </c>
      <c r="Q200" s="3">
        <f t="shared" ca="1" si="6"/>
        <v>30076941.784714997</v>
      </c>
      <c r="R200" s="6">
        <f t="shared" ca="1" si="7"/>
        <v>44718692.130342394</v>
      </c>
    </row>
    <row r="201" spans="1:18">
      <c r="A201" s="20">
        <v>200</v>
      </c>
      <c r="B201" s="3">
        <f ca="1">_xlfn.NORM.INV(RAND(),AVERAGE(Assumptions!$D$4,Assumptions!$F$4),(Assumptions!$F$4-Assumptions!$D$4)/3.29)*44</f>
        <v>1195016.2814879641</v>
      </c>
      <c r="C201" s="6">
        <f ca="1">_xlfn.NORM.INV(RAND(),AVERAGE(Assumptions!$D$5,Assumptions!$F$5),(Assumptions!$F$5-Assumptions!$D$5)/3.29)*44</f>
        <v>1526650.7083198577</v>
      </c>
      <c r="D201" s="9">
        <f ca="1">_xlfn.NORM.INV(RAND(),AVERAGE(Assumptions!$D$6,Assumptions!$F$6),(Assumptions!$F$6-Assumptions!$D$6)/3.29)*RANDBETWEEN(2,5)</f>
        <v>5620515.1259067217</v>
      </c>
      <c r="E201" s="12">
        <f ca="1">_xlfn.NORM.INV(RAND(),AVERAGE(Assumptions!$D$17,Assumptions!$F$17),(Assumptions!$F$17-Assumptions!$D$17)/3.29)*8</f>
        <v>1177992.0283512613</v>
      </c>
      <c r="F201" s="15">
        <f ca="1">_xlfn.NORM.INV(RAND(),AVERAGE(Assumptions!$D$7,Assumptions!$F$7),(Assumptions!$F$7-Assumptions!$D$7)/3.29)*RANDBETWEEN(1,3)</f>
        <v>5852220.2550302474</v>
      </c>
      <c r="G201" s="3">
        <f ca="1">_xlfn.NORM.INV(RAND(),AVERAGE(Assumptions!$D$8,Assumptions!$F$8),(Assumptions!$F$8-Assumptions!$D$8)/3.29)*44</f>
        <v>1021341.0138519874</v>
      </c>
      <c r="H201" s="6">
        <f ca="1">_xlfn.NORM.INV(RAND(),AVERAGE(Assumptions!$D$9,Assumptions!$F$9),(Assumptions!$F$9-Assumptions!$D$9)/3.29)*21</f>
        <v>2452420.7343263086</v>
      </c>
      <c r="I201" s="9">
        <f ca="1">_xlfn.NORM.INV(RAND(),AVERAGE(Assumptions!$D$10,Assumptions!$F$10),(Assumptions!$F$10-Assumptions!$D$10)/3.29)*21</f>
        <v>1046715.737223907</v>
      </c>
      <c r="J201" s="12">
        <f ca="1">NORMINV(RAND(),AVERAGE(Assumptions!$D$11,Assumptions!$F$11),(Assumptions!$F$11-Assumptions!$D$11)/3.29)*44</f>
        <v>2970720.2549998309</v>
      </c>
      <c r="K201" s="15">
        <f ca="1">_xlfn.NORM.INV(RAND(),AVERAGE(Assumptions!$D$12,Assumptions!$F$12),(Assumptions!$F$12-Assumptions!$D$12)/3.29)*44</f>
        <v>7669671.9208843224</v>
      </c>
      <c r="L201" s="3">
        <f ca="1">_xlfn.NORM.INV(RAND(),AVERAGE(Assumptions!$D$13,Assumptions!$F$13),(Assumptions!$F$13-Assumptions!$D$13)/3.29)*44</f>
        <v>24095551.836834524</v>
      </c>
      <c r="M201" s="6">
        <f ca="1">_xlfn.NORM.INV(RAND(),AVERAGE(Assumptions!$D$14,Assumptions!$F$14),(Assumptions!$F$14-Assumptions!$D$14)/3.29)*44</f>
        <v>5476021.7318543335</v>
      </c>
      <c r="N201" s="9">
        <f ca="1">_xlfn.NORM.INV(RAND(),AVERAGE(Assumptions!$D$16,Assumptions!$F$16),(Assumptions!$F$16-Assumptions!$D$16)/3.29)*44</f>
        <v>14332620.697495583</v>
      </c>
      <c r="O201" s="12">
        <f ca="1">_xlfn.NORM.INV(RAND(),AVERAGE(Assumptions!$D$15,Assumptions!$F$15),(Assumptions!$F$15-Assumptions!$D$15)/3.29)*44</f>
        <v>104267510.41864577</v>
      </c>
      <c r="P201" s="15">
        <f>Assumptions!$D$18</f>
        <v>14641750.345627395</v>
      </c>
      <c r="Q201" s="3">
        <f t="shared" ca="1" si="6"/>
        <v>29830052.092078924</v>
      </c>
      <c r="R201" s="6">
        <f t="shared" ca="1" si="7"/>
        <v>44471802.437706321</v>
      </c>
    </row>
    <row r="202" spans="1:18">
      <c r="A202" s="20">
        <v>201</v>
      </c>
      <c r="B202" s="3">
        <f ca="1">_xlfn.NORM.INV(RAND(),AVERAGE(Assumptions!$D$4,Assumptions!$F$4),(Assumptions!$F$4-Assumptions!$D$4)/3.29)*44</f>
        <v>1258215.1488364844</v>
      </c>
      <c r="C202" s="6">
        <f ca="1">_xlfn.NORM.INV(RAND(),AVERAGE(Assumptions!$D$5,Assumptions!$F$5),(Assumptions!$F$5-Assumptions!$D$5)/3.29)*44</f>
        <v>1877620.8405195067</v>
      </c>
      <c r="D202" s="9">
        <f ca="1">_xlfn.NORM.INV(RAND(),AVERAGE(Assumptions!$D$6,Assumptions!$F$6),(Assumptions!$F$6-Assumptions!$D$6)/3.29)*RANDBETWEEN(2,5)</f>
        <v>4094048.6316711698</v>
      </c>
      <c r="E202" s="12">
        <f ca="1">_xlfn.NORM.INV(RAND(),AVERAGE(Assumptions!$D$17,Assumptions!$F$17),(Assumptions!$F$17-Assumptions!$D$17)/3.29)*8</f>
        <v>1021184.7633467296</v>
      </c>
      <c r="F202" s="15">
        <f ca="1">_xlfn.NORM.INV(RAND(),AVERAGE(Assumptions!$D$7,Assumptions!$F$7),(Assumptions!$F$7-Assumptions!$D$7)/3.29)*RANDBETWEEN(1,3)</f>
        <v>5930233.4237578958</v>
      </c>
      <c r="G202" s="3">
        <f ca="1">_xlfn.NORM.INV(RAND(),AVERAGE(Assumptions!$D$8,Assumptions!$F$8),(Assumptions!$F$8-Assumptions!$D$8)/3.29)*44</f>
        <v>1439787.467685</v>
      </c>
      <c r="H202" s="6">
        <f ca="1">_xlfn.NORM.INV(RAND(),AVERAGE(Assumptions!$D$9,Assumptions!$F$9),(Assumptions!$F$9-Assumptions!$D$9)/3.29)*21</f>
        <v>5547282.6461146874</v>
      </c>
      <c r="I202" s="9">
        <f ca="1">_xlfn.NORM.INV(RAND(),AVERAGE(Assumptions!$D$10,Assumptions!$F$10),(Assumptions!$F$10-Assumptions!$D$10)/3.29)*21</f>
        <v>1125183.9153956543</v>
      </c>
      <c r="J202" s="12">
        <f ca="1">NORMINV(RAND(),AVERAGE(Assumptions!$D$11,Assumptions!$F$11),(Assumptions!$F$11-Assumptions!$D$11)/3.29)*44</f>
        <v>4952424.9741984112</v>
      </c>
      <c r="K202" s="15">
        <f ca="1">_xlfn.NORM.INV(RAND(),AVERAGE(Assumptions!$D$12,Assumptions!$F$12),(Assumptions!$F$12-Assumptions!$D$12)/3.29)*44</f>
        <v>7348012.6673648627</v>
      </c>
      <c r="L202" s="3">
        <f ca="1">_xlfn.NORM.INV(RAND(),AVERAGE(Assumptions!$D$13,Assumptions!$F$13),(Assumptions!$F$13-Assumptions!$D$13)/3.29)*44</f>
        <v>12019919.436123792</v>
      </c>
      <c r="M202" s="6">
        <f ca="1">_xlfn.NORM.INV(RAND(),AVERAGE(Assumptions!$D$14,Assumptions!$F$14),(Assumptions!$F$14-Assumptions!$D$14)/3.29)*44</f>
        <v>3968311.1276355442</v>
      </c>
      <c r="N202" s="9">
        <f ca="1">_xlfn.NORM.INV(RAND(),AVERAGE(Assumptions!$D$16,Assumptions!$F$16),(Assumptions!$F$16-Assumptions!$D$16)/3.29)*44</f>
        <v>17290286.896362085</v>
      </c>
      <c r="O202" s="12">
        <f ca="1">_xlfn.NORM.INV(RAND(),AVERAGE(Assumptions!$D$15,Assumptions!$F$15),(Assumptions!$F$15-Assumptions!$D$15)/3.29)*44</f>
        <v>24998390.152269341</v>
      </c>
      <c r="P202" s="15">
        <f>Assumptions!$D$18</f>
        <v>14641750.345627395</v>
      </c>
      <c r="Q202" s="3">
        <f t="shared" ca="1" si="6"/>
        <v>-42874121.786742486</v>
      </c>
      <c r="R202" s="6">
        <f t="shared" ca="1" si="7"/>
        <v>-28232371.441115089</v>
      </c>
    </row>
    <row r="203" spans="1:18">
      <c r="A203" s="20">
        <v>202</v>
      </c>
      <c r="B203" s="3">
        <f ca="1">_xlfn.NORM.INV(RAND(),AVERAGE(Assumptions!$D$4,Assumptions!$F$4),(Assumptions!$F$4-Assumptions!$D$4)/3.29)*44</f>
        <v>1073316.1068055835</v>
      </c>
      <c r="C203" s="6">
        <f ca="1">_xlfn.NORM.INV(RAND(),AVERAGE(Assumptions!$D$5,Assumptions!$F$5),(Assumptions!$F$5-Assumptions!$D$5)/3.29)*44</f>
        <v>1892886.0488600475</v>
      </c>
      <c r="D203" s="9">
        <f ca="1">_xlfn.NORM.INV(RAND(),AVERAGE(Assumptions!$D$6,Assumptions!$F$6),(Assumptions!$F$6-Assumptions!$D$6)/3.29)*RANDBETWEEN(2,5)</f>
        <v>3833270.9749482749</v>
      </c>
      <c r="E203" s="12">
        <f ca="1">_xlfn.NORM.INV(RAND(),AVERAGE(Assumptions!$D$17,Assumptions!$F$17),(Assumptions!$F$17-Assumptions!$D$17)/3.29)*8</f>
        <v>969899.8483087382</v>
      </c>
      <c r="F203" s="15">
        <f ca="1">_xlfn.NORM.INV(RAND(),AVERAGE(Assumptions!$D$7,Assumptions!$F$7),(Assumptions!$F$7-Assumptions!$D$7)/3.29)*RANDBETWEEN(1,3)</f>
        <v>6429438.6495344667</v>
      </c>
      <c r="G203" s="3">
        <f ca="1">_xlfn.NORM.INV(RAND(),AVERAGE(Assumptions!$D$8,Assumptions!$F$8),(Assumptions!$F$8-Assumptions!$D$8)/3.29)*44</f>
        <v>1441255.7873517321</v>
      </c>
      <c r="H203" s="6">
        <f ca="1">_xlfn.NORM.INV(RAND(),AVERAGE(Assumptions!$D$9,Assumptions!$F$9),(Assumptions!$F$9-Assumptions!$D$9)/3.29)*21</f>
        <v>412884.69451915822</v>
      </c>
      <c r="I203" s="9">
        <f ca="1">_xlfn.NORM.INV(RAND(),AVERAGE(Assumptions!$D$10,Assumptions!$F$10),(Assumptions!$F$10-Assumptions!$D$10)/3.29)*21</f>
        <v>816962.0169671746</v>
      </c>
      <c r="J203" s="12">
        <f ca="1">NORMINV(RAND(),AVERAGE(Assumptions!$D$11,Assumptions!$F$11),(Assumptions!$F$11-Assumptions!$D$11)/3.29)*44</f>
        <v>3176844.7725275513</v>
      </c>
      <c r="K203" s="15">
        <f ca="1">_xlfn.NORM.INV(RAND(),AVERAGE(Assumptions!$D$12,Assumptions!$F$12),(Assumptions!$F$12-Assumptions!$D$12)/3.29)*44</f>
        <v>11147087.569216304</v>
      </c>
      <c r="L203" s="3">
        <f ca="1">_xlfn.NORM.INV(RAND(),AVERAGE(Assumptions!$D$13,Assumptions!$F$13),(Assumptions!$F$13-Assumptions!$D$13)/3.29)*44</f>
        <v>10425498.962076085</v>
      </c>
      <c r="M203" s="6">
        <f ca="1">_xlfn.NORM.INV(RAND(),AVERAGE(Assumptions!$D$14,Assumptions!$F$14),(Assumptions!$F$14-Assumptions!$D$14)/3.29)*44</f>
        <v>5021392.7303341227</v>
      </c>
      <c r="N203" s="9">
        <f ca="1">_xlfn.NORM.INV(RAND(),AVERAGE(Assumptions!$D$16,Assumptions!$F$16),(Assumptions!$F$16-Assumptions!$D$16)/3.29)*44</f>
        <v>15983081.217132036</v>
      </c>
      <c r="O203" s="12">
        <f ca="1">_xlfn.NORM.INV(RAND(),AVERAGE(Assumptions!$D$15,Assumptions!$F$15),(Assumptions!$F$15-Assumptions!$D$15)/3.29)*44</f>
        <v>136435366.59863997</v>
      </c>
      <c r="P203" s="15">
        <f>Assumptions!$D$18</f>
        <v>14641750.345627395</v>
      </c>
      <c r="Q203" s="3">
        <f t="shared" ca="1" si="6"/>
        <v>73811547.220058709</v>
      </c>
      <c r="R203" s="6">
        <f t="shared" ca="1" si="7"/>
        <v>88453297.565686107</v>
      </c>
    </row>
    <row r="204" spans="1:18">
      <c r="A204" s="20">
        <v>203</v>
      </c>
      <c r="B204" s="3">
        <f ca="1">_xlfn.NORM.INV(RAND(),AVERAGE(Assumptions!$D$4,Assumptions!$F$4),(Assumptions!$F$4-Assumptions!$D$4)/3.29)*44</f>
        <v>1238340.8064442091</v>
      </c>
      <c r="C204" s="6">
        <f ca="1">_xlfn.NORM.INV(RAND(),AVERAGE(Assumptions!$D$5,Assumptions!$F$5),(Assumptions!$F$5-Assumptions!$D$5)/3.29)*44</f>
        <v>1896854.8813218621</v>
      </c>
      <c r="D204" s="9">
        <f ca="1">_xlfn.NORM.INV(RAND(),AVERAGE(Assumptions!$D$6,Assumptions!$F$6),(Assumptions!$F$6-Assumptions!$D$6)/3.29)*RANDBETWEEN(2,5)</f>
        <v>2330448.259397848</v>
      </c>
      <c r="E204" s="12">
        <f ca="1">_xlfn.NORM.INV(RAND(),AVERAGE(Assumptions!$D$17,Assumptions!$F$17),(Assumptions!$F$17-Assumptions!$D$17)/3.29)*8</f>
        <v>1022466.0761961024</v>
      </c>
      <c r="F204" s="15">
        <f ca="1">_xlfn.NORM.INV(RAND(),AVERAGE(Assumptions!$D$7,Assumptions!$F$7),(Assumptions!$F$7-Assumptions!$D$7)/3.29)*RANDBETWEEN(1,3)</f>
        <v>6974024.3759556785</v>
      </c>
      <c r="G204" s="3">
        <f ca="1">_xlfn.NORM.INV(RAND(),AVERAGE(Assumptions!$D$8,Assumptions!$F$8),(Assumptions!$F$8-Assumptions!$D$8)/3.29)*44</f>
        <v>1593804.3657390135</v>
      </c>
      <c r="H204" s="6">
        <f ca="1">_xlfn.NORM.INV(RAND(),AVERAGE(Assumptions!$D$9,Assumptions!$F$9),(Assumptions!$F$9-Assumptions!$D$9)/3.29)*21</f>
        <v>3781206.616200868</v>
      </c>
      <c r="I204" s="9">
        <f ca="1">_xlfn.NORM.INV(RAND(),AVERAGE(Assumptions!$D$10,Assumptions!$F$10),(Assumptions!$F$10-Assumptions!$D$10)/3.29)*21</f>
        <v>995684.16504411213</v>
      </c>
      <c r="J204" s="12">
        <f ca="1">NORMINV(RAND(),AVERAGE(Assumptions!$D$11,Assumptions!$F$11),(Assumptions!$F$11-Assumptions!$D$11)/3.29)*44</f>
        <v>4990681.2565323655</v>
      </c>
      <c r="K204" s="15">
        <f ca="1">_xlfn.NORM.INV(RAND(),AVERAGE(Assumptions!$D$12,Assumptions!$F$12),(Assumptions!$F$12-Assumptions!$D$12)/3.29)*44</f>
        <v>11973705.429869872</v>
      </c>
      <c r="L204" s="3">
        <f ca="1">_xlfn.NORM.INV(RAND(),AVERAGE(Assumptions!$D$13,Assumptions!$F$13),(Assumptions!$F$13-Assumptions!$D$13)/3.29)*44</f>
        <v>7068016.4203972351</v>
      </c>
      <c r="M204" s="6">
        <f ca="1">_xlfn.NORM.INV(RAND(),AVERAGE(Assumptions!$D$14,Assumptions!$F$14),(Assumptions!$F$14-Assumptions!$D$14)/3.29)*44</f>
        <v>5152715.8982719872</v>
      </c>
      <c r="N204" s="9">
        <f ca="1">_xlfn.NORM.INV(RAND(),AVERAGE(Assumptions!$D$16,Assumptions!$F$16),(Assumptions!$F$16-Assumptions!$D$16)/3.29)*44</f>
        <v>6056047.7385985013</v>
      </c>
      <c r="O204" s="12">
        <f ca="1">_xlfn.NORM.INV(RAND(),AVERAGE(Assumptions!$D$15,Assumptions!$F$15),(Assumptions!$F$15-Assumptions!$D$15)/3.29)*44</f>
        <v>130101921.36623834</v>
      </c>
      <c r="P204" s="15">
        <f>Assumptions!$D$18</f>
        <v>14641750.345627395</v>
      </c>
      <c r="Q204" s="3">
        <f t="shared" ca="1" si="6"/>
        <v>75027925.076268688</v>
      </c>
      <c r="R204" s="6">
        <f t="shared" ca="1" si="7"/>
        <v>89669675.421896085</v>
      </c>
    </row>
    <row r="205" spans="1:18">
      <c r="A205" s="20">
        <v>204</v>
      </c>
      <c r="B205" s="3">
        <f ca="1">_xlfn.NORM.INV(RAND(),AVERAGE(Assumptions!$D$4,Assumptions!$F$4),(Assumptions!$F$4-Assumptions!$D$4)/3.29)*44</f>
        <v>1085204.4006105983</v>
      </c>
      <c r="C205" s="6">
        <f ca="1">_xlfn.NORM.INV(RAND(),AVERAGE(Assumptions!$D$5,Assumptions!$F$5),(Assumptions!$F$5-Assumptions!$D$5)/3.29)*44</f>
        <v>1813714.1791401503</v>
      </c>
      <c r="D205" s="9">
        <f ca="1">_xlfn.NORM.INV(RAND(),AVERAGE(Assumptions!$D$6,Assumptions!$F$6),(Assumptions!$F$6-Assumptions!$D$6)/3.29)*RANDBETWEEN(2,5)</f>
        <v>7117958.9989499263</v>
      </c>
      <c r="E205" s="12">
        <f ca="1">_xlfn.NORM.INV(RAND(),AVERAGE(Assumptions!$D$17,Assumptions!$F$17),(Assumptions!$F$17-Assumptions!$D$17)/3.29)*8</f>
        <v>808231.93367802934</v>
      </c>
      <c r="F205" s="15">
        <f ca="1">_xlfn.NORM.INV(RAND(),AVERAGE(Assumptions!$D$7,Assumptions!$F$7),(Assumptions!$F$7-Assumptions!$D$7)/3.29)*RANDBETWEEN(1,3)</f>
        <v>1775302.3290323853</v>
      </c>
      <c r="G205" s="3">
        <f ca="1">_xlfn.NORM.INV(RAND(),AVERAGE(Assumptions!$D$8,Assumptions!$F$8),(Assumptions!$F$8-Assumptions!$D$8)/3.29)*44</f>
        <v>1148247.6331305385</v>
      </c>
      <c r="H205" s="6">
        <f ca="1">_xlfn.NORM.INV(RAND(),AVERAGE(Assumptions!$D$9,Assumptions!$F$9),(Assumptions!$F$9-Assumptions!$D$9)/3.29)*21</f>
        <v>5300927.4999383138</v>
      </c>
      <c r="I205" s="9">
        <f ca="1">_xlfn.NORM.INV(RAND(),AVERAGE(Assumptions!$D$10,Assumptions!$F$10),(Assumptions!$F$10-Assumptions!$D$10)/3.29)*21</f>
        <v>1077863.9896601748</v>
      </c>
      <c r="J205" s="12">
        <f ca="1">NORMINV(RAND(),AVERAGE(Assumptions!$D$11,Assumptions!$F$11),(Assumptions!$F$11-Assumptions!$D$11)/3.29)*44</f>
        <v>3153975.0858949265</v>
      </c>
      <c r="K205" s="15">
        <f ca="1">_xlfn.NORM.INV(RAND(),AVERAGE(Assumptions!$D$12,Assumptions!$F$12),(Assumptions!$F$12-Assumptions!$D$12)/3.29)*44</f>
        <v>10126731.533281079</v>
      </c>
      <c r="L205" s="3">
        <f ca="1">_xlfn.NORM.INV(RAND(),AVERAGE(Assumptions!$D$13,Assumptions!$F$13),(Assumptions!$F$13-Assumptions!$D$13)/3.29)*44</f>
        <v>10665877.910062201</v>
      </c>
      <c r="M205" s="6">
        <f ca="1">_xlfn.NORM.INV(RAND(),AVERAGE(Assumptions!$D$14,Assumptions!$F$14),(Assumptions!$F$14-Assumptions!$D$14)/3.29)*44</f>
        <v>7063756.5745827332</v>
      </c>
      <c r="N205" s="9">
        <f ca="1">_xlfn.NORM.INV(RAND(),AVERAGE(Assumptions!$D$16,Assumptions!$F$16),(Assumptions!$F$16-Assumptions!$D$16)/3.29)*44</f>
        <v>5413390.9435418369</v>
      </c>
      <c r="O205" s="12">
        <f ca="1">_xlfn.NORM.INV(RAND(),AVERAGE(Assumptions!$D$15,Assumptions!$F$15),(Assumptions!$F$15-Assumptions!$D$15)/3.29)*44</f>
        <v>84257557.921036184</v>
      </c>
      <c r="P205" s="15">
        <f>Assumptions!$D$18</f>
        <v>14641750.345627395</v>
      </c>
      <c r="Q205" s="3">
        <f t="shared" ca="1" si="6"/>
        <v>27706374.909533285</v>
      </c>
      <c r="R205" s="6">
        <f t="shared" ca="1" si="7"/>
        <v>42348125.255160682</v>
      </c>
    </row>
    <row r="206" spans="1:18">
      <c r="A206" s="20">
        <v>205</v>
      </c>
      <c r="B206" s="3">
        <f ca="1">_xlfn.NORM.INV(RAND(),AVERAGE(Assumptions!$D$4,Assumptions!$F$4),(Assumptions!$F$4-Assumptions!$D$4)/3.29)*44</f>
        <v>1141586.3533862862</v>
      </c>
      <c r="C206" s="6">
        <f ca="1">_xlfn.NORM.INV(RAND(),AVERAGE(Assumptions!$D$5,Assumptions!$F$5),(Assumptions!$F$5-Assumptions!$D$5)/3.29)*44</f>
        <v>1738363.7281870055</v>
      </c>
      <c r="D206" s="9">
        <f ca="1">_xlfn.NORM.INV(RAND(),AVERAGE(Assumptions!$D$6,Assumptions!$F$6),(Assumptions!$F$6-Assumptions!$D$6)/3.29)*RANDBETWEEN(2,5)</f>
        <v>6288910.5069994116</v>
      </c>
      <c r="E206" s="12">
        <f ca="1">_xlfn.NORM.INV(RAND(),AVERAGE(Assumptions!$D$17,Assumptions!$F$17),(Assumptions!$F$17-Assumptions!$D$17)/3.29)*8</f>
        <v>844928.08909039991</v>
      </c>
      <c r="F206" s="15">
        <f ca="1">_xlfn.NORM.INV(RAND(),AVERAGE(Assumptions!$D$7,Assumptions!$F$7),(Assumptions!$F$7-Assumptions!$D$7)/3.29)*RANDBETWEEN(1,3)</f>
        <v>2354576.7501891805</v>
      </c>
      <c r="G206" s="3">
        <f ca="1">_xlfn.NORM.INV(RAND(),AVERAGE(Assumptions!$D$8,Assumptions!$F$8),(Assumptions!$F$8-Assumptions!$D$8)/3.29)*44</f>
        <v>1305991.3181960022</v>
      </c>
      <c r="H206" s="6">
        <f ca="1">_xlfn.NORM.INV(RAND(),AVERAGE(Assumptions!$D$9,Assumptions!$F$9),(Assumptions!$F$9-Assumptions!$D$9)/3.29)*21</f>
        <v>4662242.1193719264</v>
      </c>
      <c r="I206" s="9">
        <f ca="1">_xlfn.NORM.INV(RAND(),AVERAGE(Assumptions!$D$10,Assumptions!$F$10),(Assumptions!$F$10-Assumptions!$D$10)/3.29)*21</f>
        <v>1225944.9215656288</v>
      </c>
      <c r="J206" s="12">
        <f ca="1">NORMINV(RAND(),AVERAGE(Assumptions!$D$11,Assumptions!$F$11),(Assumptions!$F$11-Assumptions!$D$11)/3.29)*44</f>
        <v>4791059.3497824715</v>
      </c>
      <c r="K206" s="15">
        <f ca="1">_xlfn.NORM.INV(RAND(),AVERAGE(Assumptions!$D$12,Assumptions!$F$12),(Assumptions!$F$12-Assumptions!$D$12)/3.29)*44</f>
        <v>10350140.282232676</v>
      </c>
      <c r="L206" s="3">
        <f ca="1">_xlfn.NORM.INV(RAND(),AVERAGE(Assumptions!$D$13,Assumptions!$F$13),(Assumptions!$F$13-Assumptions!$D$13)/3.29)*44</f>
        <v>14268026.291853419</v>
      </c>
      <c r="M206" s="6">
        <f ca="1">_xlfn.NORM.INV(RAND(),AVERAGE(Assumptions!$D$14,Assumptions!$F$14),(Assumptions!$F$14-Assumptions!$D$14)/3.29)*44</f>
        <v>5924970.2916372539</v>
      </c>
      <c r="N206" s="9">
        <f ca="1">_xlfn.NORM.INV(RAND(),AVERAGE(Assumptions!$D$16,Assumptions!$F$16),(Assumptions!$F$16-Assumptions!$D$16)/3.29)*44</f>
        <v>5991627.0532490164</v>
      </c>
      <c r="O206" s="12">
        <f ca="1">_xlfn.NORM.INV(RAND(),AVERAGE(Assumptions!$D$15,Assumptions!$F$15),(Assumptions!$F$15-Assumptions!$D$15)/3.29)*44</f>
        <v>125777862.37794115</v>
      </c>
      <c r="P206" s="15">
        <f>Assumptions!$D$18</f>
        <v>14641750.345627395</v>
      </c>
      <c r="Q206" s="3">
        <f t="shared" ca="1" si="6"/>
        <v>64889495.322200462</v>
      </c>
      <c r="R206" s="6">
        <f t="shared" ca="1" si="7"/>
        <v>79531245.66782786</v>
      </c>
    </row>
    <row r="207" spans="1:18">
      <c r="A207" s="20">
        <v>206</v>
      </c>
      <c r="B207" s="3">
        <f ca="1">_xlfn.NORM.INV(RAND(),AVERAGE(Assumptions!$D$4,Assumptions!$F$4),(Assumptions!$F$4-Assumptions!$D$4)/3.29)*44</f>
        <v>1282952.2056101512</v>
      </c>
      <c r="C207" s="6">
        <f ca="1">_xlfn.NORM.INV(RAND(),AVERAGE(Assumptions!$D$5,Assumptions!$F$5),(Assumptions!$F$5-Assumptions!$D$5)/3.29)*44</f>
        <v>1733984.1142572733</v>
      </c>
      <c r="D207" s="9">
        <f ca="1">_xlfn.NORM.INV(RAND(),AVERAGE(Assumptions!$D$6,Assumptions!$F$6),(Assumptions!$F$6-Assumptions!$D$6)/3.29)*RANDBETWEEN(2,5)</f>
        <v>3474309.2301955512</v>
      </c>
      <c r="E207" s="12">
        <f ca="1">_xlfn.NORM.INV(RAND(),AVERAGE(Assumptions!$D$17,Assumptions!$F$17),(Assumptions!$F$17-Assumptions!$D$17)/3.29)*8</f>
        <v>1091821.6762249346</v>
      </c>
      <c r="F207" s="15">
        <f ca="1">_xlfn.NORM.INV(RAND(),AVERAGE(Assumptions!$D$7,Assumptions!$F$7),(Assumptions!$F$7-Assumptions!$D$7)/3.29)*RANDBETWEEN(1,3)</f>
        <v>3215370.7575207571</v>
      </c>
      <c r="G207" s="3">
        <f ca="1">_xlfn.NORM.INV(RAND(),AVERAGE(Assumptions!$D$8,Assumptions!$F$8),(Assumptions!$F$8-Assumptions!$D$8)/3.29)*44</f>
        <v>1456679.1870682086</v>
      </c>
      <c r="H207" s="6">
        <f ca="1">_xlfn.NORM.INV(RAND(),AVERAGE(Assumptions!$D$9,Assumptions!$F$9),(Assumptions!$F$9-Assumptions!$D$9)/3.29)*21</f>
        <v>3214565.1179544786</v>
      </c>
      <c r="I207" s="9">
        <f ca="1">_xlfn.NORM.INV(RAND(),AVERAGE(Assumptions!$D$10,Assumptions!$F$10),(Assumptions!$F$10-Assumptions!$D$10)/3.29)*21</f>
        <v>520087.36736309103</v>
      </c>
      <c r="J207" s="12">
        <f ca="1">NORMINV(RAND(),AVERAGE(Assumptions!$D$11,Assumptions!$F$11),(Assumptions!$F$11-Assumptions!$D$11)/3.29)*44</f>
        <v>2067821.540695651</v>
      </c>
      <c r="K207" s="15">
        <f ca="1">_xlfn.NORM.INV(RAND(),AVERAGE(Assumptions!$D$12,Assumptions!$F$12),(Assumptions!$F$12-Assumptions!$D$12)/3.29)*44</f>
        <v>7471268.1910910858</v>
      </c>
      <c r="L207" s="3">
        <f ca="1">_xlfn.NORM.INV(RAND(),AVERAGE(Assumptions!$D$13,Assumptions!$F$13),(Assumptions!$F$13-Assumptions!$D$13)/3.29)*44</f>
        <v>14061061.876918007</v>
      </c>
      <c r="M207" s="6">
        <f ca="1">_xlfn.NORM.INV(RAND(),AVERAGE(Assumptions!$D$14,Assumptions!$F$14),(Assumptions!$F$14-Assumptions!$D$14)/3.29)*44</f>
        <v>5623775.6781539051</v>
      </c>
      <c r="N207" s="9">
        <f ca="1">_xlfn.NORM.INV(RAND(),AVERAGE(Assumptions!$D$16,Assumptions!$F$16),(Assumptions!$F$16-Assumptions!$D$16)/3.29)*44</f>
        <v>12838786.877403988</v>
      </c>
      <c r="O207" s="12">
        <f ca="1">_xlfn.NORM.INV(RAND(),AVERAGE(Assumptions!$D$15,Assumptions!$F$15),(Assumptions!$F$15-Assumptions!$D$15)/3.29)*44</f>
        <v>219106903.18253845</v>
      </c>
      <c r="P207" s="15">
        <f>Assumptions!$D$18</f>
        <v>14641750.345627395</v>
      </c>
      <c r="Q207" s="3">
        <f t="shared" ca="1" si="6"/>
        <v>161054419.36208135</v>
      </c>
      <c r="R207" s="6">
        <f t="shared" ca="1" si="7"/>
        <v>175696169.70770875</v>
      </c>
    </row>
    <row r="208" spans="1:18">
      <c r="A208" s="20">
        <v>207</v>
      </c>
      <c r="B208" s="3">
        <f ca="1">_xlfn.NORM.INV(RAND(),AVERAGE(Assumptions!$D$4,Assumptions!$F$4),(Assumptions!$F$4-Assumptions!$D$4)/3.29)*44</f>
        <v>1155528.290360587</v>
      </c>
      <c r="C208" s="6">
        <f ca="1">_xlfn.NORM.INV(RAND(),AVERAGE(Assumptions!$D$5,Assumptions!$F$5),(Assumptions!$F$5-Assumptions!$D$5)/3.29)*44</f>
        <v>1789399.3492994974</v>
      </c>
      <c r="D208" s="9">
        <f ca="1">_xlfn.NORM.INV(RAND(),AVERAGE(Assumptions!$D$6,Assumptions!$F$6),(Assumptions!$F$6-Assumptions!$D$6)/3.29)*RANDBETWEEN(2,5)</f>
        <v>7211312.0165393483</v>
      </c>
      <c r="E208" s="12">
        <f ca="1">_xlfn.NORM.INV(RAND(),AVERAGE(Assumptions!$D$17,Assumptions!$F$17),(Assumptions!$F$17-Assumptions!$D$17)/3.29)*8</f>
        <v>1152265.2115049907</v>
      </c>
      <c r="F208" s="15">
        <f ca="1">_xlfn.NORM.INV(RAND(),AVERAGE(Assumptions!$D$7,Assumptions!$F$7),(Assumptions!$F$7-Assumptions!$D$7)/3.29)*RANDBETWEEN(1,3)</f>
        <v>6467805.2686078837</v>
      </c>
      <c r="G208" s="3">
        <f ca="1">_xlfn.NORM.INV(RAND(),AVERAGE(Assumptions!$D$8,Assumptions!$F$8),(Assumptions!$F$8-Assumptions!$D$8)/3.29)*44</f>
        <v>1139167.3340880102</v>
      </c>
      <c r="H208" s="6">
        <f ca="1">_xlfn.NORM.INV(RAND(),AVERAGE(Assumptions!$D$9,Assumptions!$F$9),(Assumptions!$F$9-Assumptions!$D$9)/3.29)*21</f>
        <v>5696733.2437616447</v>
      </c>
      <c r="I208" s="9">
        <f ca="1">_xlfn.NORM.INV(RAND(),AVERAGE(Assumptions!$D$10,Assumptions!$F$10),(Assumptions!$F$10-Assumptions!$D$10)/3.29)*21</f>
        <v>977903.02531071717</v>
      </c>
      <c r="J208" s="12">
        <f ca="1">NORMINV(RAND(),AVERAGE(Assumptions!$D$11,Assumptions!$F$11),(Assumptions!$F$11-Assumptions!$D$11)/3.29)*44</f>
        <v>4411558.1633153455</v>
      </c>
      <c r="K208" s="15">
        <f ca="1">_xlfn.NORM.INV(RAND(),AVERAGE(Assumptions!$D$12,Assumptions!$F$12),(Assumptions!$F$12-Assumptions!$D$12)/3.29)*44</f>
        <v>7169154.2542413529</v>
      </c>
      <c r="L208" s="3">
        <f ca="1">_xlfn.NORM.INV(RAND(),AVERAGE(Assumptions!$D$13,Assumptions!$F$13),(Assumptions!$F$13-Assumptions!$D$13)/3.29)*44</f>
        <v>19097259.304863159</v>
      </c>
      <c r="M208" s="6">
        <f ca="1">_xlfn.NORM.INV(RAND(),AVERAGE(Assumptions!$D$14,Assumptions!$F$14),(Assumptions!$F$14-Assumptions!$D$14)/3.29)*44</f>
        <v>6904339.7066710461</v>
      </c>
      <c r="N208" s="9">
        <f ca="1">_xlfn.NORM.INV(RAND(),AVERAGE(Assumptions!$D$16,Assumptions!$F$16),(Assumptions!$F$16-Assumptions!$D$16)/3.29)*44</f>
        <v>13700868.152735766</v>
      </c>
      <c r="O208" s="12">
        <f ca="1">_xlfn.NORM.INV(RAND(),AVERAGE(Assumptions!$D$15,Assumptions!$F$15),(Assumptions!$F$15-Assumptions!$D$15)/3.29)*44</f>
        <v>128057125.93699378</v>
      </c>
      <c r="P208" s="15">
        <f>Assumptions!$D$18</f>
        <v>14641750.345627395</v>
      </c>
      <c r="Q208" s="3">
        <f t="shared" ca="1" si="6"/>
        <v>51183832.615694419</v>
      </c>
      <c r="R208" s="6">
        <f t="shared" ca="1" si="7"/>
        <v>65825582.961321816</v>
      </c>
    </row>
    <row r="209" spans="1:18">
      <c r="A209" s="20">
        <v>208</v>
      </c>
      <c r="B209" s="3">
        <f ca="1">_xlfn.NORM.INV(RAND(),AVERAGE(Assumptions!$D$4,Assumptions!$F$4),(Assumptions!$F$4-Assumptions!$D$4)/3.29)*44</f>
        <v>1120989.2278615793</v>
      </c>
      <c r="C209" s="6">
        <f ca="1">_xlfn.NORM.INV(RAND(),AVERAGE(Assumptions!$D$5,Assumptions!$F$5),(Assumptions!$F$5-Assumptions!$D$5)/3.29)*44</f>
        <v>1577156.0702228106</v>
      </c>
      <c r="D209" s="9">
        <f ca="1">_xlfn.NORM.INV(RAND(),AVERAGE(Assumptions!$D$6,Assumptions!$F$6),(Assumptions!$F$6-Assumptions!$D$6)/3.29)*RANDBETWEEN(2,5)</f>
        <v>1263387.0795307308</v>
      </c>
      <c r="E209" s="12">
        <f ca="1">_xlfn.NORM.INV(RAND(),AVERAGE(Assumptions!$D$17,Assumptions!$F$17),(Assumptions!$F$17-Assumptions!$D$17)/3.29)*8</f>
        <v>976539.90659741953</v>
      </c>
      <c r="F209" s="15">
        <f ca="1">_xlfn.NORM.INV(RAND(),AVERAGE(Assumptions!$D$7,Assumptions!$F$7),(Assumptions!$F$7-Assumptions!$D$7)/3.29)*RANDBETWEEN(1,3)</f>
        <v>3229931.3789428012</v>
      </c>
      <c r="G209" s="3">
        <f ca="1">_xlfn.NORM.INV(RAND(),AVERAGE(Assumptions!$D$8,Assumptions!$F$8),(Assumptions!$F$8-Assumptions!$D$8)/3.29)*44</f>
        <v>1458524.0744994753</v>
      </c>
      <c r="H209" s="6">
        <f ca="1">_xlfn.NORM.INV(RAND(),AVERAGE(Assumptions!$D$9,Assumptions!$F$9),(Assumptions!$F$9-Assumptions!$D$9)/3.29)*21</f>
        <v>4941208.5677756518</v>
      </c>
      <c r="I209" s="9">
        <f ca="1">_xlfn.NORM.INV(RAND(),AVERAGE(Assumptions!$D$10,Assumptions!$F$10),(Assumptions!$F$10-Assumptions!$D$10)/3.29)*21</f>
        <v>867738.0245481095</v>
      </c>
      <c r="J209" s="12">
        <f ca="1">NORMINV(RAND(),AVERAGE(Assumptions!$D$11,Assumptions!$F$11),(Assumptions!$F$11-Assumptions!$D$11)/3.29)*44</f>
        <v>4627903.6048477404</v>
      </c>
      <c r="K209" s="15">
        <f ca="1">_xlfn.NORM.INV(RAND(),AVERAGE(Assumptions!$D$12,Assumptions!$F$12),(Assumptions!$F$12-Assumptions!$D$12)/3.29)*44</f>
        <v>10271699.270062579</v>
      </c>
      <c r="L209" s="3">
        <f ca="1">_xlfn.NORM.INV(RAND(),AVERAGE(Assumptions!$D$13,Assumptions!$F$13),(Assumptions!$F$13-Assumptions!$D$13)/3.29)*44</f>
        <v>12126912.581309529</v>
      </c>
      <c r="M209" s="6">
        <f ca="1">_xlfn.NORM.INV(RAND(),AVERAGE(Assumptions!$D$14,Assumptions!$F$14),(Assumptions!$F$14-Assumptions!$D$14)/3.29)*44</f>
        <v>5461150.1104203397</v>
      </c>
      <c r="N209" s="9">
        <f ca="1">_xlfn.NORM.INV(RAND(),AVERAGE(Assumptions!$D$16,Assumptions!$F$16),(Assumptions!$F$16-Assumptions!$D$16)/3.29)*44</f>
        <v>11600913.480595991</v>
      </c>
      <c r="O209" s="12">
        <f ca="1">_xlfn.NORM.INV(RAND(),AVERAGE(Assumptions!$D$15,Assumptions!$F$15),(Assumptions!$F$15-Assumptions!$D$15)/3.29)*44</f>
        <v>136863942.07428464</v>
      </c>
      <c r="P209" s="15">
        <f>Assumptions!$D$18</f>
        <v>14641750.345627395</v>
      </c>
      <c r="Q209" s="3">
        <f t="shared" ca="1" si="6"/>
        <v>77339888.697069883</v>
      </c>
      <c r="R209" s="6">
        <f t="shared" ca="1" si="7"/>
        <v>91981639.042697281</v>
      </c>
    </row>
    <row r="210" spans="1:18">
      <c r="A210" s="20">
        <v>209</v>
      </c>
      <c r="B210" s="3">
        <f ca="1">_xlfn.NORM.INV(RAND(),AVERAGE(Assumptions!$D$4,Assumptions!$F$4),(Assumptions!$F$4-Assumptions!$D$4)/3.29)*44</f>
        <v>1117571.7718626761</v>
      </c>
      <c r="C210" s="6">
        <f ca="1">_xlfn.NORM.INV(RAND(),AVERAGE(Assumptions!$D$5,Assumptions!$F$5),(Assumptions!$F$5-Assumptions!$D$5)/3.29)*44</f>
        <v>1711980.7048113721</v>
      </c>
      <c r="D210" s="9">
        <f ca="1">_xlfn.NORM.INV(RAND(),AVERAGE(Assumptions!$D$6,Assumptions!$F$6),(Assumptions!$F$6-Assumptions!$D$6)/3.29)*RANDBETWEEN(2,5)</f>
        <v>2055228.962916909</v>
      </c>
      <c r="E210" s="12">
        <f ca="1">_xlfn.NORM.INV(RAND(),AVERAGE(Assumptions!$D$17,Assumptions!$F$17),(Assumptions!$F$17-Assumptions!$D$17)/3.29)*8</f>
        <v>867927.760347615</v>
      </c>
      <c r="F210" s="15">
        <f ca="1">_xlfn.NORM.INV(RAND(),AVERAGE(Assumptions!$D$7,Assumptions!$F$7),(Assumptions!$F$7-Assumptions!$D$7)/3.29)*RANDBETWEEN(1,3)</f>
        <v>3269316.7827008883</v>
      </c>
      <c r="G210" s="3">
        <f ca="1">_xlfn.NORM.INV(RAND(),AVERAGE(Assumptions!$D$8,Assumptions!$F$8),(Assumptions!$F$8-Assumptions!$D$8)/3.29)*44</f>
        <v>1236253.6470507705</v>
      </c>
      <c r="H210" s="6">
        <f ca="1">_xlfn.NORM.INV(RAND(),AVERAGE(Assumptions!$D$9,Assumptions!$F$9),(Assumptions!$F$9-Assumptions!$D$9)/3.29)*21</f>
        <v>5155764.9857595377</v>
      </c>
      <c r="I210" s="9">
        <f ca="1">_xlfn.NORM.INV(RAND(),AVERAGE(Assumptions!$D$10,Assumptions!$F$10),(Assumptions!$F$10-Assumptions!$D$10)/3.29)*21</f>
        <v>720801.47883767926</v>
      </c>
      <c r="J210" s="12">
        <f ca="1">NORMINV(RAND(),AVERAGE(Assumptions!$D$11,Assumptions!$F$11),(Assumptions!$F$11-Assumptions!$D$11)/3.29)*44</f>
        <v>2335266.5769837112</v>
      </c>
      <c r="K210" s="15">
        <f ca="1">_xlfn.NORM.INV(RAND(),AVERAGE(Assumptions!$D$12,Assumptions!$F$12),(Assumptions!$F$12-Assumptions!$D$12)/3.29)*44</f>
        <v>7068203.6351942988</v>
      </c>
      <c r="L210" s="3">
        <f ca="1">_xlfn.NORM.INV(RAND(),AVERAGE(Assumptions!$D$13,Assumptions!$F$13),(Assumptions!$F$13-Assumptions!$D$13)/3.29)*44</f>
        <v>15803949.567489292</v>
      </c>
      <c r="M210" s="6">
        <f ca="1">_xlfn.NORM.INV(RAND(),AVERAGE(Assumptions!$D$14,Assumptions!$F$14),(Assumptions!$F$14-Assumptions!$D$14)/3.29)*44</f>
        <v>4596497.3683466688</v>
      </c>
      <c r="N210" s="9">
        <f ca="1">_xlfn.NORM.INV(RAND(),AVERAGE(Assumptions!$D$16,Assumptions!$F$16),(Assumptions!$F$16-Assumptions!$D$16)/3.29)*44</f>
        <v>10564625.373208247</v>
      </c>
      <c r="O210" s="12">
        <f ca="1">_xlfn.NORM.INV(RAND(),AVERAGE(Assumptions!$D$15,Assumptions!$F$15),(Assumptions!$F$15-Assumptions!$D$15)/3.29)*44</f>
        <v>82845244.918811798</v>
      </c>
      <c r="P210" s="15">
        <f>Assumptions!$D$18</f>
        <v>14641750.345627395</v>
      </c>
      <c r="Q210" s="3">
        <f t="shared" ca="1" si="6"/>
        <v>26341856.303302132</v>
      </c>
      <c r="R210" s="6">
        <f t="shared" ca="1" si="7"/>
        <v>40983606.648929529</v>
      </c>
    </row>
    <row r="211" spans="1:18">
      <c r="A211" s="20">
        <v>210</v>
      </c>
      <c r="B211" s="3">
        <f ca="1">_xlfn.NORM.INV(RAND(),AVERAGE(Assumptions!$D$4,Assumptions!$F$4),(Assumptions!$F$4-Assumptions!$D$4)/3.29)*44</f>
        <v>1093504.1767922349</v>
      </c>
      <c r="C211" s="6">
        <f ca="1">_xlfn.NORM.INV(RAND(),AVERAGE(Assumptions!$D$5,Assumptions!$F$5),(Assumptions!$F$5-Assumptions!$D$5)/3.29)*44</f>
        <v>1834077.9510942607</v>
      </c>
      <c r="D211" s="9">
        <f ca="1">_xlfn.NORM.INV(RAND(),AVERAGE(Assumptions!$D$6,Assumptions!$F$6),(Assumptions!$F$6-Assumptions!$D$6)/3.29)*RANDBETWEEN(2,5)</f>
        <v>3698004.8524985956</v>
      </c>
      <c r="E211" s="12">
        <f ca="1">_xlfn.NORM.INV(RAND(),AVERAGE(Assumptions!$D$17,Assumptions!$F$17),(Assumptions!$F$17-Assumptions!$D$17)/3.29)*8</f>
        <v>1005024.3183866623</v>
      </c>
      <c r="F211" s="15">
        <f ca="1">_xlfn.NORM.INV(RAND(),AVERAGE(Assumptions!$D$7,Assumptions!$F$7),(Assumptions!$F$7-Assumptions!$D$7)/3.29)*RANDBETWEEN(1,3)</f>
        <v>7840443.0065530334</v>
      </c>
      <c r="G211" s="3">
        <f ca="1">_xlfn.NORM.INV(RAND(),AVERAGE(Assumptions!$D$8,Assumptions!$F$8),(Assumptions!$F$8-Assumptions!$D$8)/3.29)*44</f>
        <v>1406819.247491488</v>
      </c>
      <c r="H211" s="6">
        <f ca="1">_xlfn.NORM.INV(RAND(),AVERAGE(Assumptions!$D$9,Assumptions!$F$9),(Assumptions!$F$9-Assumptions!$D$9)/3.29)*21</f>
        <v>4486461.921241615</v>
      </c>
      <c r="I211" s="9">
        <f ca="1">_xlfn.NORM.INV(RAND(),AVERAGE(Assumptions!$D$10,Assumptions!$F$10),(Assumptions!$F$10-Assumptions!$D$10)/3.29)*21</f>
        <v>969768.10596693004</v>
      </c>
      <c r="J211" s="12">
        <f ca="1">NORMINV(RAND(),AVERAGE(Assumptions!$D$11,Assumptions!$F$11),(Assumptions!$F$11-Assumptions!$D$11)/3.29)*44</f>
        <v>5207857.3737689294</v>
      </c>
      <c r="K211" s="15">
        <f ca="1">_xlfn.NORM.INV(RAND(),AVERAGE(Assumptions!$D$12,Assumptions!$F$12),(Assumptions!$F$12-Assumptions!$D$12)/3.29)*44</f>
        <v>11486187.859689748</v>
      </c>
      <c r="L211" s="3">
        <f ca="1">_xlfn.NORM.INV(RAND(),AVERAGE(Assumptions!$D$13,Assumptions!$F$13),(Assumptions!$F$13-Assumptions!$D$13)/3.29)*44</f>
        <v>18772003.717942394</v>
      </c>
      <c r="M211" s="6">
        <f ca="1">_xlfn.NORM.INV(RAND(),AVERAGE(Assumptions!$D$14,Assumptions!$F$14),(Assumptions!$F$14-Assumptions!$D$14)/3.29)*44</f>
        <v>6504744.255124242</v>
      </c>
      <c r="N211" s="9">
        <f ca="1">_xlfn.NORM.INV(RAND(),AVERAGE(Assumptions!$D$16,Assumptions!$F$16),(Assumptions!$F$16-Assumptions!$D$16)/3.29)*44</f>
        <v>15157119.578607464</v>
      </c>
      <c r="O211" s="12">
        <f ca="1">_xlfn.NORM.INV(RAND(),AVERAGE(Assumptions!$D$15,Assumptions!$F$15),(Assumptions!$F$15-Assumptions!$D$15)/3.29)*44</f>
        <v>119057608.95520121</v>
      </c>
      <c r="P211" s="15">
        <f>Assumptions!$D$18</f>
        <v>14641750.345627395</v>
      </c>
      <c r="Q211" s="3">
        <f t="shared" ca="1" si="6"/>
        <v>39595592.590043619</v>
      </c>
      <c r="R211" s="6">
        <f t="shared" ca="1" si="7"/>
        <v>54237342.935671017</v>
      </c>
    </row>
    <row r="212" spans="1:18">
      <c r="A212" s="20">
        <v>211</v>
      </c>
      <c r="B212" s="3">
        <f ca="1">_xlfn.NORM.INV(RAND(),AVERAGE(Assumptions!$D$4,Assumptions!$F$4),(Assumptions!$F$4-Assumptions!$D$4)/3.29)*44</f>
        <v>1211359.4539395105</v>
      </c>
      <c r="C212" s="6">
        <f ca="1">_xlfn.NORM.INV(RAND(),AVERAGE(Assumptions!$D$5,Assumptions!$F$5),(Assumptions!$F$5-Assumptions!$D$5)/3.29)*44</f>
        <v>1893714.4904925702</v>
      </c>
      <c r="D212" s="9">
        <f ca="1">_xlfn.NORM.INV(RAND(),AVERAGE(Assumptions!$D$6,Assumptions!$F$6),(Assumptions!$F$6-Assumptions!$D$6)/3.29)*RANDBETWEEN(2,5)</f>
        <v>8325058.8995249774</v>
      </c>
      <c r="E212" s="12">
        <f ca="1">_xlfn.NORM.INV(RAND(),AVERAGE(Assumptions!$D$17,Assumptions!$F$17),(Assumptions!$F$17-Assumptions!$D$17)/3.29)*8</f>
        <v>896684.8501424368</v>
      </c>
      <c r="F212" s="15">
        <f ca="1">_xlfn.NORM.INV(RAND(),AVERAGE(Assumptions!$D$7,Assumptions!$F$7),(Assumptions!$F$7-Assumptions!$D$7)/3.29)*RANDBETWEEN(1,3)</f>
        <v>5631830.4215876674</v>
      </c>
      <c r="G212" s="3">
        <f ca="1">_xlfn.NORM.INV(RAND(),AVERAGE(Assumptions!$D$8,Assumptions!$F$8),(Assumptions!$F$8-Assumptions!$D$8)/3.29)*44</f>
        <v>834652.30254027457</v>
      </c>
      <c r="H212" s="6">
        <f ca="1">_xlfn.NORM.INV(RAND(),AVERAGE(Assumptions!$D$9,Assumptions!$F$9),(Assumptions!$F$9-Assumptions!$D$9)/3.29)*21</f>
        <v>3645840.7155613485</v>
      </c>
      <c r="I212" s="9">
        <f ca="1">_xlfn.NORM.INV(RAND(),AVERAGE(Assumptions!$D$10,Assumptions!$F$10),(Assumptions!$F$10-Assumptions!$D$10)/3.29)*21</f>
        <v>888343.58759917691</v>
      </c>
      <c r="J212" s="12">
        <f ca="1">NORMINV(RAND(),AVERAGE(Assumptions!$D$11,Assumptions!$F$11),(Assumptions!$F$11-Assumptions!$D$11)/3.29)*44</f>
        <v>2364645.8910912257</v>
      </c>
      <c r="K212" s="15">
        <f ca="1">_xlfn.NORM.INV(RAND(),AVERAGE(Assumptions!$D$12,Assumptions!$F$12),(Assumptions!$F$12-Assumptions!$D$12)/3.29)*44</f>
        <v>10304903.953070439</v>
      </c>
      <c r="L212" s="3">
        <f ca="1">_xlfn.NORM.INV(RAND(),AVERAGE(Assumptions!$D$13,Assumptions!$F$13),(Assumptions!$F$13-Assumptions!$D$13)/3.29)*44</f>
        <v>21912520.610854253</v>
      </c>
      <c r="M212" s="6">
        <f ca="1">_xlfn.NORM.INV(RAND(),AVERAGE(Assumptions!$D$14,Assumptions!$F$14),(Assumptions!$F$14-Assumptions!$D$14)/3.29)*44</f>
        <v>6996117.8769571334</v>
      </c>
      <c r="N212" s="9">
        <f ca="1">_xlfn.NORM.INV(RAND(),AVERAGE(Assumptions!$D$16,Assumptions!$F$16),(Assumptions!$F$16-Assumptions!$D$16)/3.29)*44</f>
        <v>3489875.7426955672</v>
      </c>
      <c r="O212" s="12">
        <f ca="1">_xlfn.NORM.INV(RAND(),AVERAGE(Assumptions!$D$15,Assumptions!$F$15),(Assumptions!$F$15-Assumptions!$D$15)/3.29)*44</f>
        <v>181841577.71144047</v>
      </c>
      <c r="P212" s="15">
        <f>Assumptions!$D$18</f>
        <v>14641750.345627395</v>
      </c>
      <c r="Q212" s="3">
        <f t="shared" ca="1" si="6"/>
        <v>113446028.91538389</v>
      </c>
      <c r="R212" s="6">
        <f t="shared" ca="1" si="7"/>
        <v>128087779.26101129</v>
      </c>
    </row>
    <row r="213" spans="1:18">
      <c r="A213" s="20">
        <v>212</v>
      </c>
      <c r="B213" s="3">
        <f ca="1">_xlfn.NORM.INV(RAND(),AVERAGE(Assumptions!$D$4,Assumptions!$F$4),(Assumptions!$F$4-Assumptions!$D$4)/3.29)*44</f>
        <v>1227375.9612753151</v>
      </c>
      <c r="C213" s="6">
        <f ca="1">_xlfn.NORM.INV(RAND(),AVERAGE(Assumptions!$D$5,Assumptions!$F$5),(Assumptions!$F$5-Assumptions!$D$5)/3.29)*44</f>
        <v>1583042.759610224</v>
      </c>
      <c r="D213" s="9">
        <f ca="1">_xlfn.NORM.INV(RAND(),AVERAGE(Assumptions!$D$6,Assumptions!$F$6),(Assumptions!$F$6-Assumptions!$D$6)/3.29)*RANDBETWEEN(2,5)</f>
        <v>4006852.8144313265</v>
      </c>
      <c r="E213" s="12">
        <f ca="1">_xlfn.NORM.INV(RAND(),AVERAGE(Assumptions!$D$17,Assumptions!$F$17),(Assumptions!$F$17-Assumptions!$D$17)/3.29)*8</f>
        <v>1010082.947059771</v>
      </c>
      <c r="F213" s="15">
        <f ca="1">_xlfn.NORM.INV(RAND(),AVERAGE(Assumptions!$D$7,Assumptions!$F$7),(Assumptions!$F$7-Assumptions!$D$7)/3.29)*RANDBETWEEN(1,3)</f>
        <v>5556360.1730275871</v>
      </c>
      <c r="G213" s="3">
        <f ca="1">_xlfn.NORM.INV(RAND(),AVERAGE(Assumptions!$D$8,Assumptions!$F$8),(Assumptions!$F$8-Assumptions!$D$8)/3.29)*44</f>
        <v>1194097.2734331884</v>
      </c>
      <c r="H213" s="6">
        <f ca="1">_xlfn.NORM.INV(RAND(),AVERAGE(Assumptions!$D$9,Assumptions!$F$9),(Assumptions!$F$9-Assumptions!$D$9)/3.29)*21</f>
        <v>3187734.4107921585</v>
      </c>
      <c r="I213" s="9">
        <f ca="1">_xlfn.NORM.INV(RAND(),AVERAGE(Assumptions!$D$10,Assumptions!$F$10),(Assumptions!$F$10-Assumptions!$D$10)/3.29)*21</f>
        <v>922292.50189926336</v>
      </c>
      <c r="J213" s="12">
        <f ca="1">NORMINV(RAND(),AVERAGE(Assumptions!$D$11,Assumptions!$F$11),(Assumptions!$F$11-Assumptions!$D$11)/3.29)*44</f>
        <v>3873876.9364027507</v>
      </c>
      <c r="K213" s="15">
        <f ca="1">_xlfn.NORM.INV(RAND(),AVERAGE(Assumptions!$D$12,Assumptions!$F$12),(Assumptions!$F$12-Assumptions!$D$12)/3.29)*44</f>
        <v>10574118.562951665</v>
      </c>
      <c r="L213" s="3">
        <f ca="1">_xlfn.NORM.INV(RAND(),AVERAGE(Assumptions!$D$13,Assumptions!$F$13),(Assumptions!$F$13-Assumptions!$D$13)/3.29)*44</f>
        <v>12721267.96670652</v>
      </c>
      <c r="M213" s="6">
        <f ca="1">_xlfn.NORM.INV(RAND(),AVERAGE(Assumptions!$D$14,Assumptions!$F$14),(Assumptions!$F$14-Assumptions!$D$14)/3.29)*44</f>
        <v>5053043.1945734657</v>
      </c>
      <c r="N213" s="9">
        <f ca="1">_xlfn.NORM.INV(RAND(),AVERAGE(Assumptions!$D$16,Assumptions!$F$16),(Assumptions!$F$16-Assumptions!$D$16)/3.29)*44</f>
        <v>9206230.0897508375</v>
      </c>
      <c r="O213" s="12">
        <f ca="1">_xlfn.NORM.INV(RAND(),AVERAGE(Assumptions!$D$15,Assumptions!$F$15),(Assumptions!$F$15-Assumptions!$D$15)/3.29)*44</f>
        <v>167200890.27751869</v>
      </c>
      <c r="P213" s="15">
        <f>Assumptions!$D$18</f>
        <v>14641750.345627395</v>
      </c>
      <c r="Q213" s="3">
        <f t="shared" ca="1" si="6"/>
        <v>107084514.6856046</v>
      </c>
      <c r="R213" s="6">
        <f t="shared" ca="1" si="7"/>
        <v>121726265.031232</v>
      </c>
    </row>
    <row r="214" spans="1:18">
      <c r="A214" s="20">
        <v>213</v>
      </c>
      <c r="B214" s="3">
        <f ca="1">_xlfn.NORM.INV(RAND(),AVERAGE(Assumptions!$D$4,Assumptions!$F$4),(Assumptions!$F$4-Assumptions!$D$4)/3.29)*44</f>
        <v>1191046.5496200072</v>
      </c>
      <c r="C214" s="6">
        <f ca="1">_xlfn.NORM.INV(RAND(),AVERAGE(Assumptions!$D$5,Assumptions!$F$5),(Assumptions!$F$5-Assumptions!$D$5)/3.29)*44</f>
        <v>1872063.4924807074</v>
      </c>
      <c r="D214" s="9">
        <f ca="1">_xlfn.NORM.INV(RAND(),AVERAGE(Assumptions!$D$6,Assumptions!$F$6),(Assumptions!$F$6-Assumptions!$D$6)/3.29)*RANDBETWEEN(2,5)</f>
        <v>2258176.9965935359</v>
      </c>
      <c r="E214" s="12">
        <f ca="1">_xlfn.NORM.INV(RAND(),AVERAGE(Assumptions!$D$17,Assumptions!$F$17),(Assumptions!$F$17-Assumptions!$D$17)/3.29)*8</f>
        <v>909812.33565522765</v>
      </c>
      <c r="F214" s="15">
        <f ca="1">_xlfn.NORM.INV(RAND(),AVERAGE(Assumptions!$D$7,Assumptions!$F$7),(Assumptions!$F$7-Assumptions!$D$7)/3.29)*RANDBETWEEN(1,3)</f>
        <v>5521911.0369483493</v>
      </c>
      <c r="G214" s="3">
        <f ca="1">_xlfn.NORM.INV(RAND(),AVERAGE(Assumptions!$D$8,Assumptions!$F$8),(Assumptions!$F$8-Assumptions!$D$8)/3.29)*44</f>
        <v>1380388.8968064871</v>
      </c>
      <c r="H214" s="6">
        <f ca="1">_xlfn.NORM.INV(RAND(),AVERAGE(Assumptions!$D$9,Assumptions!$F$9),(Assumptions!$F$9-Assumptions!$D$9)/3.29)*21</f>
        <v>4186357.83431294</v>
      </c>
      <c r="I214" s="9">
        <f ca="1">_xlfn.NORM.INV(RAND(),AVERAGE(Assumptions!$D$10,Assumptions!$F$10),(Assumptions!$F$10-Assumptions!$D$10)/3.29)*21</f>
        <v>747074.45334047999</v>
      </c>
      <c r="J214" s="12">
        <f ca="1">NORMINV(RAND(),AVERAGE(Assumptions!$D$11,Assumptions!$F$11),(Assumptions!$F$11-Assumptions!$D$11)/3.29)*44</f>
        <v>3040147.8325299514</v>
      </c>
      <c r="K214" s="15">
        <f ca="1">_xlfn.NORM.INV(RAND(),AVERAGE(Assumptions!$D$12,Assumptions!$F$12),(Assumptions!$F$12-Assumptions!$D$12)/3.29)*44</f>
        <v>7829196.4092722014</v>
      </c>
      <c r="L214" s="3">
        <f ca="1">_xlfn.NORM.INV(RAND(),AVERAGE(Assumptions!$D$13,Assumptions!$F$13),(Assumptions!$F$13-Assumptions!$D$13)/3.29)*44</f>
        <v>16944487.79947545</v>
      </c>
      <c r="M214" s="6">
        <f ca="1">_xlfn.NORM.INV(RAND(),AVERAGE(Assumptions!$D$14,Assumptions!$F$14),(Assumptions!$F$14-Assumptions!$D$14)/3.29)*44</f>
        <v>5523956.0673665563</v>
      </c>
      <c r="N214" s="9">
        <f ca="1">_xlfn.NORM.INV(RAND(),AVERAGE(Assumptions!$D$16,Assumptions!$F$16),(Assumptions!$F$16-Assumptions!$D$16)/3.29)*44</f>
        <v>20645412.431700137</v>
      </c>
      <c r="O214" s="12">
        <f ca="1">_xlfn.NORM.INV(RAND(),AVERAGE(Assumptions!$D$15,Assumptions!$F$15),(Assumptions!$F$15-Assumptions!$D$15)/3.29)*44</f>
        <v>18577119.761350039</v>
      </c>
      <c r="P214" s="15">
        <f>Assumptions!$D$18</f>
        <v>14641750.345627395</v>
      </c>
      <c r="Q214" s="3">
        <f t="shared" ca="1" si="6"/>
        <v>-53472912.374752</v>
      </c>
      <c r="R214" s="6">
        <f t="shared" ca="1" si="7"/>
        <v>-38831162.029124603</v>
      </c>
    </row>
    <row r="215" spans="1:18">
      <c r="A215" s="20">
        <v>214</v>
      </c>
      <c r="B215" s="3">
        <f ca="1">_xlfn.NORM.INV(RAND(),AVERAGE(Assumptions!$D$4,Assumptions!$F$4),(Assumptions!$F$4-Assumptions!$D$4)/3.29)*44</f>
        <v>1327112.7042459268</v>
      </c>
      <c r="C215" s="6">
        <f ca="1">_xlfn.NORM.INV(RAND(),AVERAGE(Assumptions!$D$5,Assumptions!$F$5),(Assumptions!$F$5-Assumptions!$D$5)/3.29)*44</f>
        <v>1919731.7521500746</v>
      </c>
      <c r="D215" s="9">
        <f ca="1">_xlfn.NORM.INV(RAND(),AVERAGE(Assumptions!$D$6,Assumptions!$F$6),(Assumptions!$F$6-Assumptions!$D$6)/3.29)*RANDBETWEEN(2,5)</f>
        <v>3128472.6966533097</v>
      </c>
      <c r="E215" s="12">
        <f ca="1">_xlfn.NORM.INV(RAND(),AVERAGE(Assumptions!$D$17,Assumptions!$F$17),(Assumptions!$F$17-Assumptions!$D$17)/3.29)*8</f>
        <v>920511.50723769935</v>
      </c>
      <c r="F215" s="15">
        <f ca="1">_xlfn.NORM.INV(RAND(),AVERAGE(Assumptions!$D$7,Assumptions!$F$7),(Assumptions!$F$7-Assumptions!$D$7)/3.29)*RANDBETWEEN(1,3)</f>
        <v>9018362.9661202617</v>
      </c>
      <c r="G215" s="3">
        <f ca="1">_xlfn.NORM.INV(RAND(),AVERAGE(Assumptions!$D$8,Assumptions!$F$8),(Assumptions!$F$8-Assumptions!$D$8)/3.29)*44</f>
        <v>1131904.6080198367</v>
      </c>
      <c r="H215" s="6">
        <f ca="1">_xlfn.NORM.INV(RAND(),AVERAGE(Assumptions!$D$9,Assumptions!$F$9),(Assumptions!$F$9-Assumptions!$D$9)/3.29)*21</f>
        <v>4164820.9866559724</v>
      </c>
      <c r="I215" s="9">
        <f ca="1">_xlfn.NORM.INV(RAND(),AVERAGE(Assumptions!$D$10,Assumptions!$F$10),(Assumptions!$F$10-Assumptions!$D$10)/3.29)*21</f>
        <v>427154.46625713317</v>
      </c>
      <c r="J215" s="12">
        <f ca="1">NORMINV(RAND(),AVERAGE(Assumptions!$D$11,Assumptions!$F$11),(Assumptions!$F$11-Assumptions!$D$11)/3.29)*44</f>
        <v>2999870.4702994032</v>
      </c>
      <c r="K215" s="15">
        <f ca="1">_xlfn.NORM.INV(RAND(),AVERAGE(Assumptions!$D$12,Assumptions!$F$12),(Assumptions!$F$12-Assumptions!$D$12)/3.29)*44</f>
        <v>8406161.5082298499</v>
      </c>
      <c r="L215" s="3">
        <f ca="1">_xlfn.NORM.INV(RAND(),AVERAGE(Assumptions!$D$13,Assumptions!$F$13),(Assumptions!$F$13-Assumptions!$D$13)/3.29)*44</f>
        <v>13885270.645309146</v>
      </c>
      <c r="M215" s="6">
        <f ca="1">_xlfn.NORM.INV(RAND(),AVERAGE(Assumptions!$D$14,Assumptions!$F$14),(Assumptions!$F$14-Assumptions!$D$14)/3.29)*44</f>
        <v>5438204.3911214052</v>
      </c>
      <c r="N215" s="9">
        <f ca="1">_xlfn.NORM.INV(RAND(),AVERAGE(Assumptions!$D$16,Assumptions!$F$16),(Assumptions!$F$16-Assumptions!$D$16)/3.29)*44</f>
        <v>4599863.4565045265</v>
      </c>
      <c r="O215" s="12">
        <f ca="1">_xlfn.NORM.INV(RAND(),AVERAGE(Assumptions!$D$15,Assumptions!$F$15),(Assumptions!$F$15-Assumptions!$D$15)/3.29)*44</f>
        <v>118019956.88855861</v>
      </c>
      <c r="P215" s="15">
        <f>Assumptions!$D$18</f>
        <v>14641750.345627395</v>
      </c>
      <c r="Q215" s="3">
        <f t="shared" ca="1" si="6"/>
        <v>60652514.729754075</v>
      </c>
      <c r="R215" s="6">
        <f t="shared" ca="1" si="7"/>
        <v>75294265.075381473</v>
      </c>
    </row>
    <row r="216" spans="1:18">
      <c r="A216" s="20">
        <v>215</v>
      </c>
      <c r="B216" s="3">
        <f ca="1">_xlfn.NORM.INV(RAND(),AVERAGE(Assumptions!$D$4,Assumptions!$F$4),(Assumptions!$F$4-Assumptions!$D$4)/3.29)*44</f>
        <v>1245751.9860353854</v>
      </c>
      <c r="C216" s="6">
        <f ca="1">_xlfn.NORM.INV(RAND(),AVERAGE(Assumptions!$D$5,Assumptions!$F$5),(Assumptions!$F$5-Assumptions!$D$5)/3.29)*44</f>
        <v>1952474.6582127134</v>
      </c>
      <c r="D216" s="9">
        <f ca="1">_xlfn.NORM.INV(RAND(),AVERAGE(Assumptions!$D$6,Assumptions!$F$6),(Assumptions!$F$6-Assumptions!$D$6)/3.29)*RANDBETWEEN(2,5)</f>
        <v>3154406.5584691959</v>
      </c>
      <c r="E216" s="12">
        <f ca="1">_xlfn.NORM.INV(RAND(),AVERAGE(Assumptions!$D$17,Assumptions!$F$17),(Assumptions!$F$17-Assumptions!$D$17)/3.29)*8</f>
        <v>839760.84074223135</v>
      </c>
      <c r="F216" s="15">
        <f ca="1">_xlfn.NORM.INV(RAND(),AVERAGE(Assumptions!$D$7,Assumptions!$F$7),(Assumptions!$F$7-Assumptions!$D$7)/3.29)*RANDBETWEEN(1,3)</f>
        <v>2736768.9342090888</v>
      </c>
      <c r="G216" s="3">
        <f ca="1">_xlfn.NORM.INV(RAND(),AVERAGE(Assumptions!$D$8,Assumptions!$F$8),(Assumptions!$F$8-Assumptions!$D$8)/3.29)*44</f>
        <v>1307767.6037110474</v>
      </c>
      <c r="H216" s="6">
        <f ca="1">_xlfn.NORM.INV(RAND(),AVERAGE(Assumptions!$D$9,Assumptions!$F$9),(Assumptions!$F$9-Assumptions!$D$9)/3.29)*21</f>
        <v>4102040.65958041</v>
      </c>
      <c r="I216" s="9">
        <f ca="1">_xlfn.NORM.INV(RAND(),AVERAGE(Assumptions!$D$10,Assumptions!$F$10),(Assumptions!$F$10-Assumptions!$D$10)/3.29)*21</f>
        <v>842911.40732545848</v>
      </c>
      <c r="J216" s="12">
        <f ca="1">NORMINV(RAND(),AVERAGE(Assumptions!$D$11,Assumptions!$F$11),(Assumptions!$F$11-Assumptions!$D$11)/3.29)*44</f>
        <v>3839387.9573741644</v>
      </c>
      <c r="K216" s="15">
        <f ca="1">_xlfn.NORM.INV(RAND(),AVERAGE(Assumptions!$D$12,Assumptions!$F$12),(Assumptions!$F$12-Assumptions!$D$12)/3.29)*44</f>
        <v>8283307.3464866467</v>
      </c>
      <c r="L216" s="3">
        <f ca="1">_xlfn.NORM.INV(RAND(),AVERAGE(Assumptions!$D$13,Assumptions!$F$13),(Assumptions!$F$13-Assumptions!$D$13)/3.29)*44</f>
        <v>6143819.7634990616</v>
      </c>
      <c r="M216" s="6">
        <f ca="1">_xlfn.NORM.INV(RAND(),AVERAGE(Assumptions!$D$14,Assumptions!$F$14),(Assumptions!$F$14-Assumptions!$D$14)/3.29)*44</f>
        <v>6600351.0284617329</v>
      </c>
      <c r="N216" s="9">
        <f ca="1">_xlfn.NORM.INV(RAND(),AVERAGE(Assumptions!$D$16,Assumptions!$F$16),(Assumptions!$F$16-Assumptions!$D$16)/3.29)*44</f>
        <v>8546627.6015060451</v>
      </c>
      <c r="O216" s="12">
        <f ca="1">_xlfn.NORM.INV(RAND(),AVERAGE(Assumptions!$D$15,Assumptions!$F$15),(Assumptions!$F$15-Assumptions!$D$15)/3.29)*44</f>
        <v>73942287.821044579</v>
      </c>
      <c r="P216" s="15">
        <f>Assumptions!$D$18</f>
        <v>14641750.345627395</v>
      </c>
      <c r="Q216" s="3">
        <f t="shared" ca="1" si="6"/>
        <v>24346911.475431398</v>
      </c>
      <c r="R216" s="6">
        <f t="shared" ca="1" si="7"/>
        <v>38988661.821058795</v>
      </c>
    </row>
    <row r="217" spans="1:18">
      <c r="A217" s="20">
        <v>216</v>
      </c>
      <c r="B217" s="3">
        <f ca="1">_xlfn.NORM.INV(RAND(),AVERAGE(Assumptions!$D$4,Assumptions!$F$4),(Assumptions!$F$4-Assumptions!$D$4)/3.29)*44</f>
        <v>1265887.626321241</v>
      </c>
      <c r="C217" s="6">
        <f ca="1">_xlfn.NORM.INV(RAND(),AVERAGE(Assumptions!$D$5,Assumptions!$F$5),(Assumptions!$F$5-Assumptions!$D$5)/3.29)*44</f>
        <v>1884838.3656154678</v>
      </c>
      <c r="D217" s="9">
        <f ca="1">_xlfn.NORM.INV(RAND(),AVERAGE(Assumptions!$D$6,Assumptions!$F$6),(Assumptions!$F$6-Assumptions!$D$6)/3.29)*RANDBETWEEN(2,5)</f>
        <v>2918940.6210480472</v>
      </c>
      <c r="E217" s="12">
        <f ca="1">_xlfn.NORM.INV(RAND(),AVERAGE(Assumptions!$D$17,Assumptions!$F$17),(Assumptions!$F$17-Assumptions!$D$17)/3.29)*8</f>
        <v>1241373.2270781631</v>
      </c>
      <c r="F217" s="15">
        <f ca="1">_xlfn.NORM.INV(RAND(),AVERAGE(Assumptions!$D$7,Assumptions!$F$7),(Assumptions!$F$7-Assumptions!$D$7)/3.29)*RANDBETWEEN(1,3)</f>
        <v>7062207.9869349636</v>
      </c>
      <c r="G217" s="3">
        <f ca="1">_xlfn.NORM.INV(RAND(),AVERAGE(Assumptions!$D$8,Assumptions!$F$8),(Assumptions!$F$8-Assumptions!$D$8)/3.29)*44</f>
        <v>851349.48632454313</v>
      </c>
      <c r="H217" s="6">
        <f ca="1">_xlfn.NORM.INV(RAND(),AVERAGE(Assumptions!$D$9,Assumptions!$F$9),(Assumptions!$F$9-Assumptions!$D$9)/3.29)*21</f>
        <v>3412544.1786738876</v>
      </c>
      <c r="I217" s="9">
        <f ca="1">_xlfn.NORM.INV(RAND(),AVERAGE(Assumptions!$D$10,Assumptions!$F$10),(Assumptions!$F$10-Assumptions!$D$10)/3.29)*21</f>
        <v>1002348.9482468265</v>
      </c>
      <c r="J217" s="12">
        <f ca="1">NORMINV(RAND(),AVERAGE(Assumptions!$D$11,Assumptions!$F$11),(Assumptions!$F$11-Assumptions!$D$11)/3.29)*44</f>
        <v>4984895.4764957326</v>
      </c>
      <c r="K217" s="15">
        <f ca="1">_xlfn.NORM.INV(RAND(),AVERAGE(Assumptions!$D$12,Assumptions!$F$12),(Assumptions!$F$12-Assumptions!$D$12)/3.29)*44</f>
        <v>9417211.0604096204</v>
      </c>
      <c r="L217" s="3">
        <f ca="1">_xlfn.NORM.INV(RAND(),AVERAGE(Assumptions!$D$13,Assumptions!$F$13),(Assumptions!$F$13-Assumptions!$D$13)/3.29)*44</f>
        <v>15021515.783154842</v>
      </c>
      <c r="M217" s="6">
        <f ca="1">_xlfn.NORM.INV(RAND(),AVERAGE(Assumptions!$D$14,Assumptions!$F$14),(Assumptions!$F$14-Assumptions!$D$14)/3.29)*44</f>
        <v>6226993.8843015572</v>
      </c>
      <c r="N217" s="9">
        <f ca="1">_xlfn.NORM.INV(RAND(),AVERAGE(Assumptions!$D$16,Assumptions!$F$16),(Assumptions!$F$16-Assumptions!$D$16)/3.29)*44</f>
        <v>14019541.747148931</v>
      </c>
      <c r="O217" s="12">
        <f ca="1">_xlfn.NORM.INV(RAND(),AVERAGE(Assumptions!$D$15,Assumptions!$F$15),(Assumptions!$F$15-Assumptions!$D$15)/3.29)*44</f>
        <v>51891768.928049564</v>
      </c>
      <c r="P217" s="15">
        <f>Assumptions!$D$18</f>
        <v>14641750.345627395</v>
      </c>
      <c r="Q217" s="3">
        <f t="shared" ca="1" si="6"/>
        <v>-17417879.463704258</v>
      </c>
      <c r="R217" s="6">
        <f t="shared" ca="1" si="7"/>
        <v>-2776129.1180768628</v>
      </c>
    </row>
    <row r="218" spans="1:18">
      <c r="A218" s="20">
        <v>217</v>
      </c>
      <c r="B218" s="3">
        <f ca="1">_xlfn.NORM.INV(RAND(),AVERAGE(Assumptions!$D$4,Assumptions!$F$4),(Assumptions!$F$4-Assumptions!$D$4)/3.29)*44</f>
        <v>1402575.7072677617</v>
      </c>
      <c r="C218" s="6">
        <f ca="1">_xlfn.NORM.INV(RAND(),AVERAGE(Assumptions!$D$5,Assumptions!$F$5),(Assumptions!$F$5-Assumptions!$D$5)/3.29)*44</f>
        <v>1810659.150465975</v>
      </c>
      <c r="D218" s="9">
        <f ca="1">_xlfn.NORM.INV(RAND(),AVERAGE(Assumptions!$D$6,Assumptions!$F$6),(Assumptions!$F$6-Assumptions!$D$6)/3.29)*RANDBETWEEN(2,5)</f>
        <v>1305012.6143515692</v>
      </c>
      <c r="E218" s="12">
        <f ca="1">_xlfn.NORM.INV(RAND(),AVERAGE(Assumptions!$D$17,Assumptions!$F$17),(Assumptions!$F$17-Assumptions!$D$17)/3.29)*8</f>
        <v>1060114.2212699873</v>
      </c>
      <c r="F218" s="15">
        <f ca="1">_xlfn.NORM.INV(RAND(),AVERAGE(Assumptions!$D$7,Assumptions!$F$7),(Assumptions!$F$7-Assumptions!$D$7)/3.29)*RANDBETWEEN(1,3)</f>
        <v>9425305.6534562558</v>
      </c>
      <c r="G218" s="3">
        <f ca="1">_xlfn.NORM.INV(RAND(),AVERAGE(Assumptions!$D$8,Assumptions!$F$8),(Assumptions!$F$8-Assumptions!$D$8)/3.29)*44</f>
        <v>1112360.0105715105</v>
      </c>
      <c r="H218" s="6">
        <f ca="1">_xlfn.NORM.INV(RAND(),AVERAGE(Assumptions!$D$9,Assumptions!$F$9),(Assumptions!$F$9-Assumptions!$D$9)/3.29)*21</f>
        <v>3897805.4234536132</v>
      </c>
      <c r="I218" s="9">
        <f ca="1">_xlfn.NORM.INV(RAND(),AVERAGE(Assumptions!$D$10,Assumptions!$F$10),(Assumptions!$F$10-Assumptions!$D$10)/3.29)*21</f>
        <v>403217.58053925441</v>
      </c>
      <c r="J218" s="12">
        <f ca="1">NORMINV(RAND(),AVERAGE(Assumptions!$D$11,Assumptions!$F$11),(Assumptions!$F$11-Assumptions!$D$11)/3.29)*44</f>
        <v>4454615.2169682514</v>
      </c>
      <c r="K218" s="15">
        <f ca="1">_xlfn.NORM.INV(RAND(),AVERAGE(Assumptions!$D$12,Assumptions!$F$12),(Assumptions!$F$12-Assumptions!$D$12)/3.29)*44</f>
        <v>13628160.512174986</v>
      </c>
      <c r="L218" s="3">
        <f ca="1">_xlfn.NORM.INV(RAND(),AVERAGE(Assumptions!$D$13,Assumptions!$F$13),(Assumptions!$F$13-Assumptions!$D$13)/3.29)*44</f>
        <v>23928314.48425363</v>
      </c>
      <c r="M218" s="6">
        <f ca="1">_xlfn.NORM.INV(RAND(),AVERAGE(Assumptions!$D$14,Assumptions!$F$14),(Assumptions!$F$14-Assumptions!$D$14)/3.29)*44</f>
        <v>7900660.911368438</v>
      </c>
      <c r="N218" s="9">
        <f ca="1">_xlfn.NORM.INV(RAND(),AVERAGE(Assumptions!$D$16,Assumptions!$F$16),(Assumptions!$F$16-Assumptions!$D$16)/3.29)*44</f>
        <v>13977572.883856865</v>
      </c>
      <c r="O218" s="12">
        <f ca="1">_xlfn.NORM.INV(RAND(),AVERAGE(Assumptions!$D$15,Assumptions!$F$15),(Assumptions!$F$15-Assumptions!$D$15)/3.29)*44</f>
        <v>134052624.61101808</v>
      </c>
      <c r="P218" s="15">
        <f>Assumptions!$D$18</f>
        <v>14641750.345627395</v>
      </c>
      <c r="Q218" s="3">
        <f t="shared" ca="1" si="6"/>
        <v>49746250.241019979</v>
      </c>
      <c r="R218" s="6">
        <f t="shared" ca="1" si="7"/>
        <v>64388000.586647376</v>
      </c>
    </row>
    <row r="219" spans="1:18">
      <c r="A219" s="20">
        <v>218</v>
      </c>
      <c r="B219" s="3">
        <f ca="1">_xlfn.NORM.INV(RAND(),AVERAGE(Assumptions!$D$4,Assumptions!$F$4),(Assumptions!$F$4-Assumptions!$D$4)/3.29)*44</f>
        <v>1164418.6078656474</v>
      </c>
      <c r="C219" s="6">
        <f ca="1">_xlfn.NORM.INV(RAND(),AVERAGE(Assumptions!$D$5,Assumptions!$F$5),(Assumptions!$F$5-Assumptions!$D$5)/3.29)*44</f>
        <v>1614386.5053765378</v>
      </c>
      <c r="D219" s="9">
        <f ca="1">_xlfn.NORM.INV(RAND(),AVERAGE(Assumptions!$D$6,Assumptions!$F$6),(Assumptions!$F$6-Assumptions!$D$6)/3.29)*RANDBETWEEN(2,5)</f>
        <v>3057076.3361507584</v>
      </c>
      <c r="E219" s="12">
        <f ca="1">_xlfn.NORM.INV(RAND(),AVERAGE(Assumptions!$D$17,Assumptions!$F$17),(Assumptions!$F$17-Assumptions!$D$17)/3.29)*8</f>
        <v>1003701.3999074592</v>
      </c>
      <c r="F219" s="15">
        <f ca="1">_xlfn.NORM.INV(RAND(),AVERAGE(Assumptions!$D$7,Assumptions!$F$7),(Assumptions!$F$7-Assumptions!$D$7)/3.29)*RANDBETWEEN(1,3)</f>
        <v>5092540.2300634719</v>
      </c>
      <c r="G219" s="3">
        <f ca="1">_xlfn.NORM.INV(RAND(),AVERAGE(Assumptions!$D$8,Assumptions!$F$8),(Assumptions!$F$8-Assumptions!$D$8)/3.29)*44</f>
        <v>1329322.6463491777</v>
      </c>
      <c r="H219" s="6">
        <f ca="1">_xlfn.NORM.INV(RAND(),AVERAGE(Assumptions!$D$9,Assumptions!$F$9),(Assumptions!$F$9-Assumptions!$D$9)/3.29)*21</f>
        <v>3649352.8132985388</v>
      </c>
      <c r="I219" s="9">
        <f ca="1">_xlfn.NORM.INV(RAND(),AVERAGE(Assumptions!$D$10,Assumptions!$F$10),(Assumptions!$F$10-Assumptions!$D$10)/3.29)*21</f>
        <v>846209.20778334467</v>
      </c>
      <c r="J219" s="12">
        <f ca="1">NORMINV(RAND(),AVERAGE(Assumptions!$D$11,Assumptions!$F$11),(Assumptions!$F$11-Assumptions!$D$11)/3.29)*44</f>
        <v>5760461.2844090462</v>
      </c>
      <c r="K219" s="15">
        <f ca="1">_xlfn.NORM.INV(RAND(),AVERAGE(Assumptions!$D$12,Assumptions!$F$12),(Assumptions!$F$12-Assumptions!$D$12)/3.29)*44</f>
        <v>9430166.7478193492</v>
      </c>
      <c r="L219" s="3">
        <f ca="1">_xlfn.NORM.INV(RAND(),AVERAGE(Assumptions!$D$13,Assumptions!$F$13),(Assumptions!$F$13-Assumptions!$D$13)/3.29)*44</f>
        <v>23774515.459295321</v>
      </c>
      <c r="M219" s="6">
        <f ca="1">_xlfn.NORM.INV(RAND(),AVERAGE(Assumptions!$D$14,Assumptions!$F$14),(Assumptions!$F$14-Assumptions!$D$14)/3.29)*44</f>
        <v>6848243.7590070264</v>
      </c>
      <c r="N219" s="9">
        <f ca="1">_xlfn.NORM.INV(RAND(),AVERAGE(Assumptions!$D$16,Assumptions!$F$16),(Assumptions!$F$16-Assumptions!$D$16)/3.29)*44</f>
        <v>2059057.8992620348</v>
      </c>
      <c r="O219" s="12">
        <f ca="1">_xlfn.NORM.INV(RAND(),AVERAGE(Assumptions!$D$15,Assumptions!$F$15),(Assumptions!$F$15-Assumptions!$D$15)/3.29)*44</f>
        <v>159418729.07005516</v>
      </c>
      <c r="P219" s="15">
        <f>Assumptions!$D$18</f>
        <v>14641750.345627395</v>
      </c>
      <c r="Q219" s="3">
        <f t="shared" ca="1" si="6"/>
        <v>93789276.173467427</v>
      </c>
      <c r="R219" s="6">
        <f t="shared" ca="1" si="7"/>
        <v>108431026.51909482</v>
      </c>
    </row>
    <row r="220" spans="1:18">
      <c r="A220" s="20">
        <v>219</v>
      </c>
      <c r="B220" s="3">
        <f ca="1">_xlfn.NORM.INV(RAND(),AVERAGE(Assumptions!$D$4,Assumptions!$F$4),(Assumptions!$F$4-Assumptions!$D$4)/3.29)*44</f>
        <v>1306402.4645317551</v>
      </c>
      <c r="C220" s="6">
        <f ca="1">_xlfn.NORM.INV(RAND(),AVERAGE(Assumptions!$D$5,Assumptions!$F$5),(Assumptions!$F$5-Assumptions!$D$5)/3.29)*44</f>
        <v>1840367.907550721</v>
      </c>
      <c r="D220" s="9">
        <f ca="1">_xlfn.NORM.INV(RAND(),AVERAGE(Assumptions!$D$6,Assumptions!$F$6),(Assumptions!$F$6-Assumptions!$D$6)/3.29)*RANDBETWEEN(2,5)</f>
        <v>9495991.7609036844</v>
      </c>
      <c r="E220" s="12">
        <f ca="1">_xlfn.NORM.INV(RAND(),AVERAGE(Assumptions!$D$17,Assumptions!$F$17),(Assumptions!$F$17-Assumptions!$D$17)/3.29)*8</f>
        <v>1057327.1332880366</v>
      </c>
      <c r="F220" s="15">
        <f ca="1">_xlfn.NORM.INV(RAND(),AVERAGE(Assumptions!$D$7,Assumptions!$F$7),(Assumptions!$F$7-Assumptions!$D$7)/3.29)*RANDBETWEEN(1,3)</f>
        <v>7179823.7142083189</v>
      </c>
      <c r="G220" s="3">
        <f ca="1">_xlfn.NORM.INV(RAND(),AVERAGE(Assumptions!$D$8,Assumptions!$F$8),(Assumptions!$F$8-Assumptions!$D$8)/3.29)*44</f>
        <v>1029053.2441024585</v>
      </c>
      <c r="H220" s="6">
        <f ca="1">_xlfn.NORM.INV(RAND(),AVERAGE(Assumptions!$D$9,Assumptions!$F$9),(Assumptions!$F$9-Assumptions!$D$9)/3.29)*21</f>
        <v>6019044.4170199428</v>
      </c>
      <c r="I220" s="9">
        <f ca="1">_xlfn.NORM.INV(RAND(),AVERAGE(Assumptions!$D$10,Assumptions!$F$10),(Assumptions!$F$10-Assumptions!$D$10)/3.29)*21</f>
        <v>963784.72717713844</v>
      </c>
      <c r="J220" s="12">
        <f ca="1">NORMINV(RAND(),AVERAGE(Assumptions!$D$11,Assumptions!$F$11),(Assumptions!$F$11-Assumptions!$D$11)/3.29)*44</f>
        <v>3262608.8410860677</v>
      </c>
      <c r="K220" s="15">
        <f ca="1">_xlfn.NORM.INV(RAND(),AVERAGE(Assumptions!$D$12,Assumptions!$F$12),(Assumptions!$F$12-Assumptions!$D$12)/3.29)*44</f>
        <v>9910865.1009279937</v>
      </c>
      <c r="L220" s="3">
        <f ca="1">_xlfn.NORM.INV(RAND(),AVERAGE(Assumptions!$D$13,Assumptions!$F$13),(Assumptions!$F$13-Assumptions!$D$13)/3.29)*44</f>
        <v>13904869.647116119</v>
      </c>
      <c r="M220" s="6">
        <f ca="1">_xlfn.NORM.INV(RAND(),AVERAGE(Assumptions!$D$14,Assumptions!$F$14),(Assumptions!$F$14-Assumptions!$D$14)/3.29)*44</f>
        <v>5679607.2055406384</v>
      </c>
      <c r="N220" s="9">
        <f ca="1">_xlfn.NORM.INV(RAND(),AVERAGE(Assumptions!$D$16,Assumptions!$F$16),(Assumptions!$F$16-Assumptions!$D$16)/3.29)*44</f>
        <v>9726264.8794448543</v>
      </c>
      <c r="O220" s="12">
        <f ca="1">_xlfn.NORM.INV(RAND(),AVERAGE(Assumptions!$D$15,Assumptions!$F$15),(Assumptions!$F$15-Assumptions!$D$15)/3.29)*44</f>
        <v>133041740.07839702</v>
      </c>
      <c r="P220" s="15">
        <f>Assumptions!$D$18</f>
        <v>14641750.345627395</v>
      </c>
      <c r="Q220" s="3">
        <f t="shared" ca="1" si="6"/>
        <v>61665729.03549929</v>
      </c>
      <c r="R220" s="6">
        <f t="shared" ca="1" si="7"/>
        <v>76307479.381126687</v>
      </c>
    </row>
    <row r="221" spans="1:18">
      <c r="A221" s="20">
        <v>220</v>
      </c>
      <c r="B221" s="3">
        <f ca="1">_xlfn.NORM.INV(RAND(),AVERAGE(Assumptions!$D$4,Assumptions!$F$4),(Assumptions!$F$4-Assumptions!$D$4)/3.29)*44</f>
        <v>1236995.170688798</v>
      </c>
      <c r="C221" s="6">
        <f ca="1">_xlfn.NORM.INV(RAND(),AVERAGE(Assumptions!$D$5,Assumptions!$F$5),(Assumptions!$F$5-Assumptions!$D$5)/3.29)*44</f>
        <v>1878999.9364725016</v>
      </c>
      <c r="D221" s="9">
        <f ca="1">_xlfn.NORM.INV(RAND(),AVERAGE(Assumptions!$D$6,Assumptions!$F$6),(Assumptions!$F$6-Assumptions!$D$6)/3.29)*RANDBETWEEN(2,5)</f>
        <v>3532804.2921286183</v>
      </c>
      <c r="E221" s="12">
        <f ca="1">_xlfn.NORM.INV(RAND(),AVERAGE(Assumptions!$D$17,Assumptions!$F$17),(Assumptions!$F$17-Assumptions!$D$17)/3.29)*8</f>
        <v>960522.96687399829</v>
      </c>
      <c r="F221" s="15">
        <f ca="1">_xlfn.NORM.INV(RAND(),AVERAGE(Assumptions!$D$7,Assumptions!$F$7),(Assumptions!$F$7-Assumptions!$D$7)/3.29)*RANDBETWEEN(1,3)</f>
        <v>3738490.5352302976</v>
      </c>
      <c r="G221" s="3">
        <f ca="1">_xlfn.NORM.INV(RAND(),AVERAGE(Assumptions!$D$8,Assumptions!$F$8),(Assumptions!$F$8-Assumptions!$D$8)/3.29)*44</f>
        <v>988637.19016076275</v>
      </c>
      <c r="H221" s="6">
        <f ca="1">_xlfn.NORM.INV(RAND(),AVERAGE(Assumptions!$D$9,Assumptions!$F$9),(Assumptions!$F$9-Assumptions!$D$9)/3.29)*21</f>
        <v>7881825.2531708134</v>
      </c>
      <c r="I221" s="9">
        <f ca="1">_xlfn.NORM.INV(RAND(),AVERAGE(Assumptions!$D$10,Assumptions!$F$10),(Assumptions!$F$10-Assumptions!$D$10)/3.29)*21</f>
        <v>896788.68190596288</v>
      </c>
      <c r="J221" s="12">
        <f ca="1">NORMINV(RAND(),AVERAGE(Assumptions!$D$11,Assumptions!$F$11),(Assumptions!$F$11-Assumptions!$D$11)/3.29)*44</f>
        <v>3331493.3305903501</v>
      </c>
      <c r="K221" s="15">
        <f ca="1">_xlfn.NORM.INV(RAND(),AVERAGE(Assumptions!$D$12,Assumptions!$F$12),(Assumptions!$F$12-Assumptions!$D$12)/3.29)*44</f>
        <v>11472056.933312053</v>
      </c>
      <c r="L221" s="3">
        <f ca="1">_xlfn.NORM.INV(RAND(),AVERAGE(Assumptions!$D$13,Assumptions!$F$13),(Assumptions!$F$13-Assumptions!$D$13)/3.29)*44</f>
        <v>12129135.502727328</v>
      </c>
      <c r="M221" s="6">
        <f ca="1">_xlfn.NORM.INV(RAND(),AVERAGE(Assumptions!$D$14,Assumptions!$F$14),(Assumptions!$F$14-Assumptions!$D$14)/3.29)*44</f>
        <v>5656546.8717500949</v>
      </c>
      <c r="N221" s="9">
        <f ca="1">_xlfn.NORM.INV(RAND(),AVERAGE(Assumptions!$D$16,Assumptions!$F$16),(Assumptions!$F$16-Assumptions!$D$16)/3.29)*44</f>
        <v>11481759.81345593</v>
      </c>
      <c r="O221" s="12">
        <f ca="1">_xlfn.NORM.INV(RAND(),AVERAGE(Assumptions!$D$15,Assumptions!$F$15),(Assumptions!$F$15-Assumptions!$D$15)/3.29)*44</f>
        <v>68331788.729307353</v>
      </c>
      <c r="P221" s="15">
        <f>Assumptions!$D$18</f>
        <v>14641750.345627395</v>
      </c>
      <c r="Q221" s="3">
        <f t="shared" ca="1" si="6"/>
        <v>3145732.2508398443</v>
      </c>
      <c r="R221" s="6">
        <f t="shared" ca="1" si="7"/>
        <v>17787482.596467242</v>
      </c>
    </row>
    <row r="222" spans="1:18">
      <c r="A222" s="20">
        <v>221</v>
      </c>
      <c r="B222" s="3">
        <f ca="1">_xlfn.NORM.INV(RAND(),AVERAGE(Assumptions!$D$4,Assumptions!$F$4),(Assumptions!$F$4-Assumptions!$D$4)/3.29)*44</f>
        <v>1294342.4940760494</v>
      </c>
      <c r="C222" s="6">
        <f ca="1">_xlfn.NORM.INV(RAND(),AVERAGE(Assumptions!$D$5,Assumptions!$F$5),(Assumptions!$F$5-Assumptions!$D$5)/3.29)*44</f>
        <v>1742270.5386898839</v>
      </c>
      <c r="D222" s="9">
        <f ca="1">_xlfn.NORM.INV(RAND(),AVERAGE(Assumptions!$D$6,Assumptions!$F$6),(Assumptions!$F$6-Assumptions!$D$6)/3.29)*RANDBETWEEN(2,5)</f>
        <v>2232695.6320471913</v>
      </c>
      <c r="E222" s="12">
        <f ca="1">_xlfn.NORM.INV(RAND(),AVERAGE(Assumptions!$D$17,Assumptions!$F$17),(Assumptions!$F$17-Assumptions!$D$17)/3.29)*8</f>
        <v>880423.51621014765</v>
      </c>
      <c r="F222" s="15">
        <f ca="1">_xlfn.NORM.INV(RAND(),AVERAGE(Assumptions!$D$7,Assumptions!$F$7),(Assumptions!$F$7-Assumptions!$D$7)/3.29)*RANDBETWEEN(1,3)</f>
        <v>5385094.541734728</v>
      </c>
      <c r="G222" s="3">
        <f ca="1">_xlfn.NORM.INV(RAND(),AVERAGE(Assumptions!$D$8,Assumptions!$F$8),(Assumptions!$F$8-Assumptions!$D$8)/3.29)*44</f>
        <v>877232.55172729923</v>
      </c>
      <c r="H222" s="6">
        <f ca="1">_xlfn.NORM.INV(RAND(),AVERAGE(Assumptions!$D$9,Assumptions!$F$9),(Assumptions!$F$9-Assumptions!$D$9)/3.29)*21</f>
        <v>4382738.0721919006</v>
      </c>
      <c r="I222" s="9">
        <f ca="1">_xlfn.NORM.INV(RAND(),AVERAGE(Assumptions!$D$10,Assumptions!$F$10),(Assumptions!$F$10-Assumptions!$D$10)/3.29)*21</f>
        <v>671105.74457363295</v>
      </c>
      <c r="J222" s="12">
        <f ca="1">NORMINV(RAND(),AVERAGE(Assumptions!$D$11,Assumptions!$F$11),(Assumptions!$F$11-Assumptions!$D$11)/3.29)*44</f>
        <v>1637444.3217471531</v>
      </c>
      <c r="K222" s="15">
        <f ca="1">_xlfn.NORM.INV(RAND(),AVERAGE(Assumptions!$D$12,Assumptions!$F$12),(Assumptions!$F$12-Assumptions!$D$12)/3.29)*44</f>
        <v>9163229.0556671582</v>
      </c>
      <c r="L222" s="3">
        <f ca="1">_xlfn.NORM.INV(RAND(),AVERAGE(Assumptions!$D$13,Assumptions!$F$13),(Assumptions!$F$13-Assumptions!$D$13)/3.29)*44</f>
        <v>14109598.294684833</v>
      </c>
      <c r="M222" s="6">
        <f ca="1">_xlfn.NORM.INV(RAND(),AVERAGE(Assumptions!$D$14,Assumptions!$F$14),(Assumptions!$F$14-Assumptions!$D$14)/3.29)*44</f>
        <v>6715621.7880952563</v>
      </c>
      <c r="N222" s="9">
        <f ca="1">_xlfn.NORM.INV(RAND(),AVERAGE(Assumptions!$D$16,Assumptions!$F$16),(Assumptions!$F$16-Assumptions!$D$16)/3.29)*44</f>
        <v>8053143.8285224419</v>
      </c>
      <c r="O222" s="12">
        <f ca="1">_xlfn.NORM.INV(RAND(),AVERAGE(Assumptions!$D$15,Assumptions!$F$15),(Assumptions!$F$15-Assumptions!$D$15)/3.29)*44</f>
        <v>155266659.21967018</v>
      </c>
      <c r="P222" s="15">
        <f>Assumptions!$D$18</f>
        <v>14641750.345627395</v>
      </c>
      <c r="Q222" s="3">
        <f t="shared" ca="1" si="6"/>
        <v>98121718.839702502</v>
      </c>
      <c r="R222" s="6">
        <f t="shared" ca="1" si="7"/>
        <v>112763469.1853299</v>
      </c>
    </row>
    <row r="223" spans="1:18">
      <c r="A223" s="20">
        <v>222</v>
      </c>
      <c r="B223" s="3">
        <f ca="1">_xlfn.NORM.INV(RAND(),AVERAGE(Assumptions!$D$4,Assumptions!$F$4),(Assumptions!$F$4-Assumptions!$D$4)/3.29)*44</f>
        <v>1274059.0192824481</v>
      </c>
      <c r="C223" s="6">
        <f ca="1">_xlfn.NORM.INV(RAND(),AVERAGE(Assumptions!$D$5,Assumptions!$F$5),(Assumptions!$F$5-Assumptions!$D$5)/3.29)*44</f>
        <v>1971397.298693887</v>
      </c>
      <c r="D223" s="9">
        <f ca="1">_xlfn.NORM.INV(RAND(),AVERAGE(Assumptions!$D$6,Assumptions!$F$6),(Assumptions!$F$6-Assumptions!$D$6)/3.29)*RANDBETWEEN(2,5)</f>
        <v>6104532.6143376669</v>
      </c>
      <c r="E223" s="12">
        <f ca="1">_xlfn.NORM.INV(RAND(),AVERAGE(Assumptions!$D$17,Assumptions!$F$17),(Assumptions!$F$17-Assumptions!$D$17)/3.29)*8</f>
        <v>941215.63062656741</v>
      </c>
      <c r="F223" s="15">
        <f ca="1">_xlfn.NORM.INV(RAND(),AVERAGE(Assumptions!$D$7,Assumptions!$F$7),(Assumptions!$F$7-Assumptions!$D$7)/3.29)*RANDBETWEEN(1,3)</f>
        <v>9378495.6861793939</v>
      </c>
      <c r="G223" s="3">
        <f ca="1">_xlfn.NORM.INV(RAND(),AVERAGE(Assumptions!$D$8,Assumptions!$F$8),(Assumptions!$F$8-Assumptions!$D$8)/3.29)*44</f>
        <v>1352463.2356493012</v>
      </c>
      <c r="H223" s="6">
        <f ca="1">_xlfn.NORM.INV(RAND(),AVERAGE(Assumptions!$D$9,Assumptions!$F$9),(Assumptions!$F$9-Assumptions!$D$9)/3.29)*21</f>
        <v>4073933.8257181877</v>
      </c>
      <c r="I223" s="9">
        <f ca="1">_xlfn.NORM.INV(RAND(),AVERAGE(Assumptions!$D$10,Assumptions!$F$10),(Assumptions!$F$10-Assumptions!$D$10)/3.29)*21</f>
        <v>844670.6633824301</v>
      </c>
      <c r="J223" s="12">
        <f ca="1">NORMINV(RAND(),AVERAGE(Assumptions!$D$11,Assumptions!$F$11),(Assumptions!$F$11-Assumptions!$D$11)/3.29)*44</f>
        <v>4474805.1328633847</v>
      </c>
      <c r="K223" s="15">
        <f ca="1">_xlfn.NORM.INV(RAND(),AVERAGE(Assumptions!$D$12,Assumptions!$F$12),(Assumptions!$F$12-Assumptions!$D$12)/3.29)*44</f>
        <v>10700952.459229201</v>
      </c>
      <c r="L223" s="3">
        <f ca="1">_xlfn.NORM.INV(RAND(),AVERAGE(Assumptions!$D$13,Assumptions!$F$13),(Assumptions!$F$13-Assumptions!$D$13)/3.29)*44</f>
        <v>13287322.981706448</v>
      </c>
      <c r="M223" s="6">
        <f ca="1">_xlfn.NORM.INV(RAND(),AVERAGE(Assumptions!$D$14,Assumptions!$F$14),(Assumptions!$F$14-Assumptions!$D$14)/3.29)*44</f>
        <v>7137968.9606930614</v>
      </c>
      <c r="N223" s="9">
        <f ca="1">_xlfn.NORM.INV(RAND(),AVERAGE(Assumptions!$D$16,Assumptions!$F$16),(Assumptions!$F$16-Assumptions!$D$16)/3.29)*44</f>
        <v>18739345.955692425</v>
      </c>
      <c r="O223" s="12">
        <f ca="1">_xlfn.NORM.INV(RAND(),AVERAGE(Assumptions!$D$15,Assumptions!$F$15),(Assumptions!$F$15-Assumptions!$D$15)/3.29)*44</f>
        <v>138002092.64673042</v>
      </c>
      <c r="P223" s="15">
        <f>Assumptions!$D$18</f>
        <v>14641750.345627395</v>
      </c>
      <c r="Q223" s="3">
        <f t="shared" ca="1" si="6"/>
        <v>57720929.182676017</v>
      </c>
      <c r="R223" s="6">
        <f t="shared" ca="1" si="7"/>
        <v>72362679.528303415</v>
      </c>
    </row>
    <row r="224" spans="1:18">
      <c r="A224" s="20">
        <v>223</v>
      </c>
      <c r="B224" s="3">
        <f ca="1">_xlfn.NORM.INV(RAND(),AVERAGE(Assumptions!$D$4,Assumptions!$F$4),(Assumptions!$F$4-Assumptions!$D$4)/3.29)*44</f>
        <v>1075206.9911189</v>
      </c>
      <c r="C224" s="6">
        <f ca="1">_xlfn.NORM.INV(RAND(),AVERAGE(Assumptions!$D$5,Assumptions!$F$5),(Assumptions!$F$5-Assumptions!$D$5)/3.29)*44</f>
        <v>1840559.2051025489</v>
      </c>
      <c r="D224" s="9">
        <f ca="1">_xlfn.NORM.INV(RAND(),AVERAGE(Assumptions!$D$6,Assumptions!$F$6),(Assumptions!$F$6-Assumptions!$D$6)/3.29)*RANDBETWEEN(2,5)</f>
        <v>2189335.7615795811</v>
      </c>
      <c r="E224" s="12">
        <f ca="1">_xlfn.NORM.INV(RAND(),AVERAGE(Assumptions!$D$17,Assumptions!$F$17),(Assumptions!$F$17-Assumptions!$D$17)/3.29)*8</f>
        <v>1025598.4388005742</v>
      </c>
      <c r="F224" s="15">
        <f ca="1">_xlfn.NORM.INV(RAND(),AVERAGE(Assumptions!$D$7,Assumptions!$F$7),(Assumptions!$F$7-Assumptions!$D$7)/3.29)*RANDBETWEEN(1,3)</f>
        <v>2227742.7204554807</v>
      </c>
      <c r="G224" s="3">
        <f ca="1">_xlfn.NORM.INV(RAND(),AVERAGE(Assumptions!$D$8,Assumptions!$F$8),(Assumptions!$F$8-Assumptions!$D$8)/3.29)*44</f>
        <v>1135214.682920997</v>
      </c>
      <c r="H224" s="6">
        <f ca="1">_xlfn.NORM.INV(RAND(),AVERAGE(Assumptions!$D$9,Assumptions!$F$9),(Assumptions!$F$9-Assumptions!$D$9)/3.29)*21</f>
        <v>-55246.333897281816</v>
      </c>
      <c r="I224" s="9">
        <f ca="1">_xlfn.NORM.INV(RAND(),AVERAGE(Assumptions!$D$10,Assumptions!$F$10),(Assumptions!$F$10-Assumptions!$D$10)/3.29)*21</f>
        <v>1000247.1325017053</v>
      </c>
      <c r="J224" s="12">
        <f ca="1">NORMINV(RAND(),AVERAGE(Assumptions!$D$11,Assumptions!$F$11),(Assumptions!$F$11-Assumptions!$D$11)/3.29)*44</f>
        <v>4180247.0393442605</v>
      </c>
      <c r="K224" s="15">
        <f ca="1">_xlfn.NORM.INV(RAND(),AVERAGE(Assumptions!$D$12,Assumptions!$F$12),(Assumptions!$F$12-Assumptions!$D$12)/3.29)*44</f>
        <v>9583335.9976879917</v>
      </c>
      <c r="L224" s="3">
        <f ca="1">_xlfn.NORM.INV(RAND(),AVERAGE(Assumptions!$D$13,Assumptions!$F$13),(Assumptions!$F$13-Assumptions!$D$13)/3.29)*44</f>
        <v>19173341.964480784</v>
      </c>
      <c r="M224" s="6">
        <f ca="1">_xlfn.NORM.INV(RAND(),AVERAGE(Assumptions!$D$14,Assumptions!$F$14),(Assumptions!$F$14-Assumptions!$D$14)/3.29)*44</f>
        <v>7384133.6229821984</v>
      </c>
      <c r="N224" s="9">
        <f ca="1">_xlfn.NORM.INV(RAND(),AVERAGE(Assumptions!$D$16,Assumptions!$F$16),(Assumptions!$F$16-Assumptions!$D$16)/3.29)*44</f>
        <v>11689242.553428316</v>
      </c>
      <c r="O224" s="12">
        <f ca="1">_xlfn.NORM.INV(RAND(),AVERAGE(Assumptions!$D$15,Assumptions!$F$15),(Assumptions!$F$15-Assumptions!$D$15)/3.29)*44</f>
        <v>60677883.625479423</v>
      </c>
      <c r="P224" s="15">
        <f>Assumptions!$D$18</f>
        <v>14641750.345627395</v>
      </c>
      <c r="Q224" s="3">
        <f t="shared" ca="1" si="6"/>
        <v>-1771076.1510266289</v>
      </c>
      <c r="R224" s="6">
        <f t="shared" ca="1" si="7"/>
        <v>12870674.194600767</v>
      </c>
    </row>
    <row r="225" spans="1:18">
      <c r="A225" s="20">
        <v>224</v>
      </c>
      <c r="B225" s="3">
        <f ca="1">_xlfn.NORM.INV(RAND(),AVERAGE(Assumptions!$D$4,Assumptions!$F$4),(Assumptions!$F$4-Assumptions!$D$4)/3.29)*44</f>
        <v>1021628.6943460327</v>
      </c>
      <c r="C225" s="6">
        <f ca="1">_xlfn.NORM.INV(RAND(),AVERAGE(Assumptions!$D$5,Assumptions!$F$5),(Assumptions!$F$5-Assumptions!$D$5)/3.29)*44</f>
        <v>1861526.0609718161</v>
      </c>
      <c r="D225" s="9">
        <f ca="1">_xlfn.NORM.INV(RAND(),AVERAGE(Assumptions!$D$6,Assumptions!$F$6),(Assumptions!$F$6-Assumptions!$D$6)/3.29)*RANDBETWEEN(2,5)</f>
        <v>2871784.6508268164</v>
      </c>
      <c r="E225" s="12">
        <f ca="1">_xlfn.NORM.INV(RAND(),AVERAGE(Assumptions!$D$17,Assumptions!$F$17),(Assumptions!$F$17-Assumptions!$D$17)/3.29)*8</f>
        <v>674913.97434678278</v>
      </c>
      <c r="F225" s="15">
        <f ca="1">_xlfn.NORM.INV(RAND(),AVERAGE(Assumptions!$D$7,Assumptions!$F$7),(Assumptions!$F$7-Assumptions!$D$7)/3.29)*RANDBETWEEN(1,3)</f>
        <v>2532149.5279174768</v>
      </c>
      <c r="G225" s="3">
        <f ca="1">_xlfn.NORM.INV(RAND(),AVERAGE(Assumptions!$D$8,Assumptions!$F$8),(Assumptions!$F$8-Assumptions!$D$8)/3.29)*44</f>
        <v>1256539.6717774461</v>
      </c>
      <c r="H225" s="6">
        <f ca="1">_xlfn.NORM.INV(RAND(),AVERAGE(Assumptions!$D$9,Assumptions!$F$9),(Assumptions!$F$9-Assumptions!$D$9)/3.29)*21</f>
        <v>2627500.0579560273</v>
      </c>
      <c r="I225" s="9">
        <f ca="1">_xlfn.NORM.INV(RAND(),AVERAGE(Assumptions!$D$10,Assumptions!$F$10),(Assumptions!$F$10-Assumptions!$D$10)/3.29)*21</f>
        <v>1345897.082840198</v>
      </c>
      <c r="J225" s="12">
        <f ca="1">NORMINV(RAND(),AVERAGE(Assumptions!$D$11,Assumptions!$F$11),(Assumptions!$F$11-Assumptions!$D$11)/3.29)*44</f>
        <v>3218155.7736207419</v>
      </c>
      <c r="K225" s="15">
        <f ca="1">_xlfn.NORM.INV(RAND(),AVERAGE(Assumptions!$D$12,Assumptions!$F$12),(Assumptions!$F$12-Assumptions!$D$12)/3.29)*44</f>
        <v>10398857.724676058</v>
      </c>
      <c r="L225" s="3">
        <f ca="1">_xlfn.NORM.INV(RAND(),AVERAGE(Assumptions!$D$13,Assumptions!$F$13),(Assumptions!$F$13-Assumptions!$D$13)/3.29)*44</f>
        <v>10813481.806580424</v>
      </c>
      <c r="M225" s="6">
        <f ca="1">_xlfn.NORM.INV(RAND(),AVERAGE(Assumptions!$D$14,Assumptions!$F$14),(Assumptions!$F$14-Assumptions!$D$14)/3.29)*44</f>
        <v>4842138.2689496344</v>
      </c>
      <c r="N225" s="9">
        <f ca="1">_xlfn.NORM.INV(RAND(),AVERAGE(Assumptions!$D$16,Assumptions!$F$16),(Assumptions!$F$16-Assumptions!$D$16)/3.29)*44</f>
        <v>15225712.297857057</v>
      </c>
      <c r="O225" s="12">
        <f ca="1">_xlfn.NORM.INV(RAND(),AVERAGE(Assumptions!$D$15,Assumptions!$F$15),(Assumptions!$F$15-Assumptions!$D$15)/3.29)*44</f>
        <v>26392443.900645491</v>
      </c>
      <c r="P225" s="15">
        <f>Assumptions!$D$18</f>
        <v>14641750.345627395</v>
      </c>
      <c r="Q225" s="3">
        <f t="shared" ca="1" si="6"/>
        <v>-32297841.692021023</v>
      </c>
      <c r="R225" s="6">
        <f t="shared" ca="1" si="7"/>
        <v>-17656091.34639363</v>
      </c>
    </row>
    <row r="226" spans="1:18">
      <c r="A226" s="20">
        <v>225</v>
      </c>
      <c r="B226" s="3">
        <f ca="1">_xlfn.NORM.INV(RAND(),AVERAGE(Assumptions!$D$4,Assumptions!$F$4),(Assumptions!$F$4-Assumptions!$D$4)/3.29)*44</f>
        <v>1271422.3921169098</v>
      </c>
      <c r="C226" s="6">
        <f ca="1">_xlfn.NORM.INV(RAND(),AVERAGE(Assumptions!$D$5,Assumptions!$F$5),(Assumptions!$F$5-Assumptions!$D$5)/3.29)*44</f>
        <v>2137351.6859680237</v>
      </c>
      <c r="D226" s="9">
        <f ca="1">_xlfn.NORM.INV(RAND(),AVERAGE(Assumptions!$D$6,Assumptions!$F$6),(Assumptions!$F$6-Assumptions!$D$6)/3.29)*RANDBETWEEN(2,5)</f>
        <v>5479963.8043768685</v>
      </c>
      <c r="E226" s="12">
        <f ca="1">_xlfn.NORM.INV(RAND(),AVERAGE(Assumptions!$D$17,Assumptions!$F$17),(Assumptions!$F$17-Assumptions!$D$17)/3.29)*8</f>
        <v>903550.49698582548</v>
      </c>
      <c r="F226" s="15">
        <f ca="1">_xlfn.NORM.INV(RAND(),AVERAGE(Assumptions!$D$7,Assumptions!$F$7),(Assumptions!$F$7-Assumptions!$D$7)/3.29)*RANDBETWEEN(1,3)</f>
        <v>9754673.8262430318</v>
      </c>
      <c r="G226" s="3">
        <f ca="1">_xlfn.NORM.INV(RAND(),AVERAGE(Assumptions!$D$8,Assumptions!$F$8),(Assumptions!$F$8-Assumptions!$D$8)/3.29)*44</f>
        <v>1047050.3959969489</v>
      </c>
      <c r="H226" s="6">
        <f ca="1">_xlfn.NORM.INV(RAND(),AVERAGE(Assumptions!$D$9,Assumptions!$F$9),(Assumptions!$F$9-Assumptions!$D$9)/3.29)*21</f>
        <v>2777853.8511646125</v>
      </c>
      <c r="I226" s="9">
        <f ca="1">_xlfn.NORM.INV(RAND(),AVERAGE(Assumptions!$D$10,Assumptions!$F$10),(Assumptions!$F$10-Assumptions!$D$10)/3.29)*21</f>
        <v>945630.9561436224</v>
      </c>
      <c r="J226" s="12">
        <f ca="1">NORMINV(RAND(),AVERAGE(Assumptions!$D$11,Assumptions!$F$11),(Assumptions!$F$11-Assumptions!$D$11)/3.29)*44</f>
        <v>4591542.9023869177</v>
      </c>
      <c r="K226" s="15">
        <f ca="1">_xlfn.NORM.INV(RAND(),AVERAGE(Assumptions!$D$12,Assumptions!$F$12),(Assumptions!$F$12-Assumptions!$D$12)/3.29)*44</f>
        <v>10678613.16780518</v>
      </c>
      <c r="L226" s="3">
        <f ca="1">_xlfn.NORM.INV(RAND(),AVERAGE(Assumptions!$D$13,Assumptions!$F$13),(Assumptions!$F$13-Assumptions!$D$13)/3.29)*44</f>
        <v>19419324.341313601</v>
      </c>
      <c r="M226" s="6">
        <f ca="1">_xlfn.NORM.INV(RAND(),AVERAGE(Assumptions!$D$14,Assumptions!$F$14),(Assumptions!$F$14-Assumptions!$D$14)/3.29)*44</f>
        <v>6213844.91759816</v>
      </c>
      <c r="N226" s="9">
        <f ca="1">_xlfn.NORM.INV(RAND(),AVERAGE(Assumptions!$D$16,Assumptions!$F$16),(Assumptions!$F$16-Assumptions!$D$16)/3.29)*44</f>
        <v>12714243.755483389</v>
      </c>
      <c r="O226" s="12">
        <f ca="1">_xlfn.NORM.INV(RAND(),AVERAGE(Assumptions!$D$15,Assumptions!$F$15),(Assumptions!$F$15-Assumptions!$D$15)/3.29)*44</f>
        <v>68495843.112503439</v>
      </c>
      <c r="P226" s="15">
        <f>Assumptions!$D$18</f>
        <v>14641750.345627395</v>
      </c>
      <c r="Q226" s="3">
        <f t="shared" ca="1" si="6"/>
        <v>-9439223.381079644</v>
      </c>
      <c r="R226" s="6">
        <f t="shared" ca="1" si="7"/>
        <v>5202526.9645477515</v>
      </c>
    </row>
    <row r="227" spans="1:18">
      <c r="A227" s="20">
        <v>226</v>
      </c>
      <c r="B227" s="3">
        <f ca="1">_xlfn.NORM.INV(RAND(),AVERAGE(Assumptions!$D$4,Assumptions!$F$4),(Assumptions!$F$4-Assumptions!$D$4)/3.29)*44</f>
        <v>1219838.7977691616</v>
      </c>
      <c r="C227" s="6">
        <f ca="1">_xlfn.NORM.INV(RAND(),AVERAGE(Assumptions!$D$5,Assumptions!$F$5),(Assumptions!$F$5-Assumptions!$D$5)/3.29)*44</f>
        <v>1750360.0163777627</v>
      </c>
      <c r="D227" s="9">
        <f ca="1">_xlfn.NORM.INV(RAND(),AVERAGE(Assumptions!$D$6,Assumptions!$F$6),(Assumptions!$F$6-Assumptions!$D$6)/3.29)*RANDBETWEEN(2,5)</f>
        <v>4542930.7622992732</v>
      </c>
      <c r="E227" s="12">
        <f ca="1">_xlfn.NORM.INV(RAND(),AVERAGE(Assumptions!$D$17,Assumptions!$F$17),(Assumptions!$F$17-Assumptions!$D$17)/3.29)*8</f>
        <v>789015.79444848641</v>
      </c>
      <c r="F227" s="15">
        <f ca="1">_xlfn.NORM.INV(RAND(),AVERAGE(Assumptions!$D$7,Assumptions!$F$7),(Assumptions!$F$7-Assumptions!$D$7)/3.29)*RANDBETWEEN(1,3)</f>
        <v>4366881.8498251075</v>
      </c>
      <c r="G227" s="3">
        <f ca="1">_xlfn.NORM.INV(RAND(),AVERAGE(Assumptions!$D$8,Assumptions!$F$8),(Assumptions!$F$8-Assumptions!$D$8)/3.29)*44</f>
        <v>1259336.8287065139</v>
      </c>
      <c r="H227" s="6">
        <f ca="1">_xlfn.NORM.INV(RAND(),AVERAGE(Assumptions!$D$9,Assumptions!$F$9),(Assumptions!$F$9-Assumptions!$D$9)/3.29)*21</f>
        <v>3830417.2612663973</v>
      </c>
      <c r="I227" s="9">
        <f ca="1">_xlfn.NORM.INV(RAND(),AVERAGE(Assumptions!$D$10,Assumptions!$F$10),(Assumptions!$F$10-Assumptions!$D$10)/3.29)*21</f>
        <v>767830.93938869552</v>
      </c>
      <c r="J227" s="12">
        <f ca="1">NORMINV(RAND(),AVERAGE(Assumptions!$D$11,Assumptions!$F$11),(Assumptions!$F$11-Assumptions!$D$11)/3.29)*44</f>
        <v>2469639.3551324485</v>
      </c>
      <c r="K227" s="15">
        <f ca="1">_xlfn.NORM.INV(RAND(),AVERAGE(Assumptions!$D$12,Assumptions!$F$12),(Assumptions!$F$12-Assumptions!$D$12)/3.29)*44</f>
        <v>8407115.3987648394</v>
      </c>
      <c r="L227" s="3">
        <f ca="1">_xlfn.NORM.INV(RAND(),AVERAGE(Assumptions!$D$13,Assumptions!$F$13),(Assumptions!$F$13-Assumptions!$D$13)/3.29)*44</f>
        <v>18407957.530098777</v>
      </c>
      <c r="M227" s="6">
        <f ca="1">_xlfn.NORM.INV(RAND(),AVERAGE(Assumptions!$D$14,Assumptions!$F$14),(Assumptions!$F$14-Assumptions!$D$14)/3.29)*44</f>
        <v>7855909.6232446712</v>
      </c>
      <c r="N227" s="9">
        <f ca="1">_xlfn.NORM.INV(RAND(),AVERAGE(Assumptions!$D$16,Assumptions!$F$16),(Assumptions!$F$16-Assumptions!$D$16)/3.29)*44</f>
        <v>10680365.733982187</v>
      </c>
      <c r="O227" s="12">
        <f ca="1">_xlfn.NORM.INV(RAND(),AVERAGE(Assumptions!$D$15,Assumptions!$F$15),(Assumptions!$F$15-Assumptions!$D$15)/3.29)*44</f>
        <v>133783820.872164</v>
      </c>
      <c r="P227" s="15">
        <f>Assumptions!$D$18</f>
        <v>14641750.345627395</v>
      </c>
      <c r="Q227" s="3">
        <f t="shared" ca="1" si="6"/>
        <v>67436220.980859667</v>
      </c>
      <c r="R227" s="6">
        <f t="shared" ca="1" si="7"/>
        <v>82077971.326487064</v>
      </c>
    </row>
    <row r="228" spans="1:18">
      <c r="A228" s="20">
        <v>227</v>
      </c>
      <c r="B228" s="3">
        <f ca="1">_xlfn.NORM.INV(RAND(),AVERAGE(Assumptions!$D$4,Assumptions!$F$4),(Assumptions!$F$4-Assumptions!$D$4)/3.29)*44</f>
        <v>1121044.4670847324</v>
      </c>
      <c r="C228" s="6">
        <f ca="1">_xlfn.NORM.INV(RAND(),AVERAGE(Assumptions!$D$5,Assumptions!$F$5),(Assumptions!$F$5-Assumptions!$D$5)/3.29)*44</f>
        <v>1878132.4314507134</v>
      </c>
      <c r="D228" s="9">
        <f ca="1">_xlfn.NORM.INV(RAND(),AVERAGE(Assumptions!$D$6,Assumptions!$F$6),(Assumptions!$F$6-Assumptions!$D$6)/3.29)*RANDBETWEEN(2,5)</f>
        <v>4643694.1380240405</v>
      </c>
      <c r="E228" s="12">
        <f ca="1">_xlfn.NORM.INV(RAND(),AVERAGE(Assumptions!$D$17,Assumptions!$F$17),(Assumptions!$F$17-Assumptions!$D$17)/3.29)*8</f>
        <v>894180.32321478671</v>
      </c>
      <c r="F228" s="15">
        <f ca="1">_xlfn.NORM.INV(RAND(),AVERAGE(Assumptions!$D$7,Assumptions!$F$7),(Assumptions!$F$7-Assumptions!$D$7)/3.29)*RANDBETWEEN(1,3)</f>
        <v>3211645.148962222</v>
      </c>
      <c r="G228" s="3">
        <f ca="1">_xlfn.NORM.INV(RAND(),AVERAGE(Assumptions!$D$8,Assumptions!$F$8),(Assumptions!$F$8-Assumptions!$D$8)/3.29)*44</f>
        <v>1135127.592484568</v>
      </c>
      <c r="H228" s="6">
        <f ca="1">_xlfn.NORM.INV(RAND(),AVERAGE(Assumptions!$D$9,Assumptions!$F$9),(Assumptions!$F$9-Assumptions!$D$9)/3.29)*21</f>
        <v>4238650.0448644441</v>
      </c>
      <c r="I228" s="9">
        <f ca="1">_xlfn.NORM.INV(RAND(),AVERAGE(Assumptions!$D$10,Assumptions!$F$10),(Assumptions!$F$10-Assumptions!$D$10)/3.29)*21</f>
        <v>779144.80057954753</v>
      </c>
      <c r="J228" s="12">
        <f ca="1">NORMINV(RAND(),AVERAGE(Assumptions!$D$11,Assumptions!$F$11),(Assumptions!$F$11-Assumptions!$D$11)/3.29)*44</f>
        <v>2911262.4384131678</v>
      </c>
      <c r="K228" s="15">
        <f ca="1">_xlfn.NORM.INV(RAND(),AVERAGE(Assumptions!$D$12,Assumptions!$F$12),(Assumptions!$F$12-Assumptions!$D$12)/3.29)*44</f>
        <v>7770857.3012769539</v>
      </c>
      <c r="L228" s="3">
        <f ca="1">_xlfn.NORM.INV(RAND(),AVERAGE(Assumptions!$D$13,Assumptions!$F$13),(Assumptions!$F$13-Assumptions!$D$13)/3.29)*44</f>
        <v>14785089.19736746</v>
      </c>
      <c r="M228" s="6">
        <f ca="1">_xlfn.NORM.INV(RAND(),AVERAGE(Assumptions!$D$14,Assumptions!$F$14),(Assumptions!$F$14-Assumptions!$D$14)/3.29)*44</f>
        <v>7312616.0937993638</v>
      </c>
      <c r="N228" s="9">
        <f ca="1">_xlfn.NORM.INV(RAND(),AVERAGE(Assumptions!$D$16,Assumptions!$F$16),(Assumptions!$F$16-Assumptions!$D$16)/3.29)*44</f>
        <v>10696841.121714229</v>
      </c>
      <c r="O228" s="12">
        <f ca="1">_xlfn.NORM.INV(RAND(),AVERAGE(Assumptions!$D$15,Assumptions!$F$15),(Assumptions!$F$15-Assumptions!$D$15)/3.29)*44</f>
        <v>85639525.819632903</v>
      </c>
      <c r="P228" s="15">
        <f>Assumptions!$D$18</f>
        <v>14641750.345627395</v>
      </c>
      <c r="Q228" s="3">
        <f t="shared" ca="1" si="6"/>
        <v>24261240.720396675</v>
      </c>
      <c r="R228" s="6">
        <f t="shared" ca="1" si="7"/>
        <v>38902991.066024072</v>
      </c>
    </row>
    <row r="229" spans="1:18">
      <c r="A229" s="20">
        <v>228</v>
      </c>
      <c r="B229" s="3">
        <f ca="1">_xlfn.NORM.INV(RAND(),AVERAGE(Assumptions!$D$4,Assumptions!$F$4),(Assumptions!$F$4-Assumptions!$D$4)/3.29)*44</f>
        <v>1186434.6995541584</v>
      </c>
      <c r="C229" s="6">
        <f ca="1">_xlfn.NORM.INV(RAND(),AVERAGE(Assumptions!$D$5,Assumptions!$F$5),(Assumptions!$F$5-Assumptions!$D$5)/3.29)*44</f>
        <v>2114719.4611484683</v>
      </c>
      <c r="D229" s="9">
        <f ca="1">_xlfn.NORM.INV(RAND(),AVERAGE(Assumptions!$D$6,Assumptions!$F$6),(Assumptions!$F$6-Assumptions!$D$6)/3.29)*RANDBETWEEN(2,5)</f>
        <v>2334579.3607884701</v>
      </c>
      <c r="E229" s="12">
        <f ca="1">_xlfn.NORM.INV(RAND(),AVERAGE(Assumptions!$D$17,Assumptions!$F$17),(Assumptions!$F$17-Assumptions!$D$17)/3.29)*8</f>
        <v>769115.25550797547</v>
      </c>
      <c r="F229" s="15">
        <f ca="1">_xlfn.NORM.INV(RAND(),AVERAGE(Assumptions!$D$7,Assumptions!$F$7),(Assumptions!$F$7-Assumptions!$D$7)/3.29)*RANDBETWEEN(1,3)</f>
        <v>4493499.3636537436</v>
      </c>
      <c r="G229" s="3">
        <f ca="1">_xlfn.NORM.INV(RAND(),AVERAGE(Assumptions!$D$8,Assumptions!$F$8),(Assumptions!$F$8-Assumptions!$D$8)/3.29)*44</f>
        <v>914786.28746161202</v>
      </c>
      <c r="H229" s="6">
        <f ca="1">_xlfn.NORM.INV(RAND(),AVERAGE(Assumptions!$D$9,Assumptions!$F$9),(Assumptions!$F$9-Assumptions!$D$9)/3.29)*21</f>
        <v>6272256.0269025574</v>
      </c>
      <c r="I229" s="9">
        <f ca="1">_xlfn.NORM.INV(RAND(),AVERAGE(Assumptions!$D$10,Assumptions!$F$10),(Assumptions!$F$10-Assumptions!$D$10)/3.29)*21</f>
        <v>805105.44133230159</v>
      </c>
      <c r="J229" s="12">
        <f ca="1">NORMINV(RAND(),AVERAGE(Assumptions!$D$11,Assumptions!$F$11),(Assumptions!$F$11-Assumptions!$D$11)/3.29)*44</f>
        <v>4326112.2913239654</v>
      </c>
      <c r="K229" s="15">
        <f ca="1">_xlfn.NORM.INV(RAND(),AVERAGE(Assumptions!$D$12,Assumptions!$F$12),(Assumptions!$F$12-Assumptions!$D$12)/3.29)*44</f>
        <v>10963186.515170984</v>
      </c>
      <c r="L229" s="3">
        <f ca="1">_xlfn.NORM.INV(RAND(),AVERAGE(Assumptions!$D$13,Assumptions!$F$13),(Assumptions!$F$13-Assumptions!$D$13)/3.29)*44</f>
        <v>12921571.216025433</v>
      </c>
      <c r="M229" s="6">
        <f ca="1">_xlfn.NORM.INV(RAND(),AVERAGE(Assumptions!$D$14,Assumptions!$F$14),(Assumptions!$F$14-Assumptions!$D$14)/3.29)*44</f>
        <v>4684462.2656103382</v>
      </c>
      <c r="N229" s="9">
        <f ca="1">_xlfn.NORM.INV(RAND(),AVERAGE(Assumptions!$D$16,Assumptions!$F$16),(Assumptions!$F$16-Assumptions!$D$16)/3.29)*44</f>
        <v>4584439.6744919959</v>
      </c>
      <c r="O229" s="12">
        <f ca="1">_xlfn.NORM.INV(RAND(),AVERAGE(Assumptions!$D$15,Assumptions!$F$15),(Assumptions!$F$15-Assumptions!$D$15)/3.29)*44</f>
        <v>103243708.21606757</v>
      </c>
      <c r="P229" s="15">
        <f>Assumptions!$D$18</f>
        <v>14641750.345627395</v>
      </c>
      <c r="Q229" s="3">
        <f t="shared" ca="1" si="6"/>
        <v>46873440.357095562</v>
      </c>
      <c r="R229" s="6">
        <f t="shared" ca="1" si="7"/>
        <v>61515190.702722959</v>
      </c>
    </row>
    <row r="230" spans="1:18">
      <c r="A230" s="20">
        <v>229</v>
      </c>
      <c r="B230" s="3">
        <f ca="1">_xlfn.NORM.INV(RAND(),AVERAGE(Assumptions!$D$4,Assumptions!$F$4),(Assumptions!$F$4-Assumptions!$D$4)/3.29)*44</f>
        <v>1251289.8629253181</v>
      </c>
      <c r="C230" s="6">
        <f ca="1">_xlfn.NORM.INV(RAND(),AVERAGE(Assumptions!$D$5,Assumptions!$F$5),(Assumptions!$F$5-Assumptions!$D$5)/3.29)*44</f>
        <v>1773907.0874883416</v>
      </c>
      <c r="D230" s="9">
        <f ca="1">_xlfn.NORM.INV(RAND(),AVERAGE(Assumptions!$D$6,Assumptions!$F$6),(Assumptions!$F$6-Assumptions!$D$6)/3.29)*RANDBETWEEN(2,5)</f>
        <v>1682009.5405458852</v>
      </c>
      <c r="E230" s="12">
        <f ca="1">_xlfn.NORM.INV(RAND(),AVERAGE(Assumptions!$D$17,Assumptions!$F$17),(Assumptions!$F$17-Assumptions!$D$17)/3.29)*8</f>
        <v>960383.40538459178</v>
      </c>
      <c r="F230" s="15">
        <f ca="1">_xlfn.NORM.INV(RAND(),AVERAGE(Assumptions!$D$7,Assumptions!$F$7),(Assumptions!$F$7-Assumptions!$D$7)/3.29)*RANDBETWEEN(1,3)</f>
        <v>3879043.4779578755</v>
      </c>
      <c r="G230" s="3">
        <f ca="1">_xlfn.NORM.INV(RAND(),AVERAGE(Assumptions!$D$8,Assumptions!$F$8),(Assumptions!$F$8-Assumptions!$D$8)/3.29)*44</f>
        <v>1293317.4699678444</v>
      </c>
      <c r="H230" s="6">
        <f ca="1">_xlfn.NORM.INV(RAND(),AVERAGE(Assumptions!$D$9,Assumptions!$F$9),(Assumptions!$F$9-Assumptions!$D$9)/3.29)*21</f>
        <v>3418598.9911624556</v>
      </c>
      <c r="I230" s="9">
        <f ca="1">_xlfn.NORM.INV(RAND(),AVERAGE(Assumptions!$D$10,Assumptions!$F$10),(Assumptions!$F$10-Assumptions!$D$10)/3.29)*21</f>
        <v>436651.63183362788</v>
      </c>
      <c r="J230" s="12">
        <f ca="1">NORMINV(RAND(),AVERAGE(Assumptions!$D$11,Assumptions!$F$11),(Assumptions!$F$11-Assumptions!$D$11)/3.29)*44</f>
        <v>4413275.8914336963</v>
      </c>
      <c r="K230" s="15">
        <f ca="1">_xlfn.NORM.INV(RAND(),AVERAGE(Assumptions!$D$12,Assumptions!$F$12),(Assumptions!$F$12-Assumptions!$D$12)/3.29)*44</f>
        <v>10195362.721415589</v>
      </c>
      <c r="L230" s="3">
        <f ca="1">_xlfn.NORM.INV(RAND(),AVERAGE(Assumptions!$D$13,Assumptions!$F$13),(Assumptions!$F$13-Assumptions!$D$13)/3.29)*44</f>
        <v>1174769.4947367457</v>
      </c>
      <c r="M230" s="6">
        <f ca="1">_xlfn.NORM.INV(RAND(),AVERAGE(Assumptions!$D$14,Assumptions!$F$14),(Assumptions!$F$14-Assumptions!$D$14)/3.29)*44</f>
        <v>7322936.3190334886</v>
      </c>
      <c r="N230" s="9">
        <f ca="1">_xlfn.NORM.INV(RAND(),AVERAGE(Assumptions!$D$16,Assumptions!$F$16),(Assumptions!$F$16-Assumptions!$D$16)/3.29)*44</f>
        <v>11283015.789494507</v>
      </c>
      <c r="O230" s="12">
        <f ca="1">_xlfn.NORM.INV(RAND(),AVERAGE(Assumptions!$D$15,Assumptions!$F$15),(Assumptions!$F$15-Assumptions!$D$15)/3.29)*44</f>
        <v>40475520.132513121</v>
      </c>
      <c r="P230" s="15">
        <f>Assumptions!$D$18</f>
        <v>14641750.345627395</v>
      </c>
      <c r="Q230" s="3">
        <f t="shared" ca="1" si="6"/>
        <v>-8609041.5508668497</v>
      </c>
      <c r="R230" s="6">
        <f t="shared" ca="1" si="7"/>
        <v>6032708.7947605457</v>
      </c>
    </row>
    <row r="231" spans="1:18">
      <c r="A231" s="20">
        <v>230</v>
      </c>
      <c r="B231" s="3">
        <f ca="1">_xlfn.NORM.INV(RAND(),AVERAGE(Assumptions!$D$4,Assumptions!$F$4),(Assumptions!$F$4-Assumptions!$D$4)/3.29)*44</f>
        <v>1301110.3361755945</v>
      </c>
      <c r="C231" s="6">
        <f ca="1">_xlfn.NORM.INV(RAND(),AVERAGE(Assumptions!$D$5,Assumptions!$F$5),(Assumptions!$F$5-Assumptions!$D$5)/3.29)*44</f>
        <v>1938238.591883979</v>
      </c>
      <c r="D231" s="9">
        <f ca="1">_xlfn.NORM.INV(RAND(),AVERAGE(Assumptions!$D$6,Assumptions!$F$6),(Assumptions!$F$6-Assumptions!$D$6)/3.29)*RANDBETWEEN(2,5)</f>
        <v>4574365.7680506669</v>
      </c>
      <c r="E231" s="12">
        <f ca="1">_xlfn.NORM.INV(RAND(),AVERAGE(Assumptions!$D$17,Assumptions!$F$17),(Assumptions!$F$17-Assumptions!$D$17)/3.29)*8</f>
        <v>1027574.4912126226</v>
      </c>
      <c r="F231" s="15">
        <f ca="1">_xlfn.NORM.INV(RAND(),AVERAGE(Assumptions!$D$7,Assumptions!$F$7),(Assumptions!$F$7-Assumptions!$D$7)/3.29)*RANDBETWEEN(1,3)</f>
        <v>2138060.2061342145</v>
      </c>
      <c r="G231" s="3">
        <f ca="1">_xlfn.NORM.INV(RAND(),AVERAGE(Assumptions!$D$8,Assumptions!$F$8),(Assumptions!$F$8-Assumptions!$D$8)/3.29)*44</f>
        <v>1305132.269540492</v>
      </c>
      <c r="H231" s="6">
        <f ca="1">_xlfn.NORM.INV(RAND(),AVERAGE(Assumptions!$D$9,Assumptions!$F$9),(Assumptions!$F$9-Assumptions!$D$9)/3.29)*21</f>
        <v>3709681.5218507308</v>
      </c>
      <c r="I231" s="9">
        <f ca="1">_xlfn.NORM.INV(RAND(),AVERAGE(Assumptions!$D$10,Assumptions!$F$10),(Assumptions!$F$10-Assumptions!$D$10)/3.29)*21</f>
        <v>1098577.4429295734</v>
      </c>
      <c r="J231" s="12">
        <f ca="1">NORMINV(RAND(),AVERAGE(Assumptions!$D$11,Assumptions!$F$11),(Assumptions!$F$11-Assumptions!$D$11)/3.29)*44</f>
        <v>2242573.1294363672</v>
      </c>
      <c r="K231" s="15">
        <f ca="1">_xlfn.NORM.INV(RAND(),AVERAGE(Assumptions!$D$12,Assumptions!$F$12),(Assumptions!$F$12-Assumptions!$D$12)/3.29)*44</f>
        <v>8338441.5633550761</v>
      </c>
      <c r="L231" s="3">
        <f ca="1">_xlfn.NORM.INV(RAND(),AVERAGE(Assumptions!$D$13,Assumptions!$F$13),(Assumptions!$F$13-Assumptions!$D$13)/3.29)*44</f>
        <v>11870901.095858023</v>
      </c>
      <c r="M231" s="6">
        <f ca="1">_xlfn.NORM.INV(RAND(),AVERAGE(Assumptions!$D$14,Assumptions!$F$14),(Assumptions!$F$14-Assumptions!$D$14)/3.29)*44</f>
        <v>5990031.8041884806</v>
      </c>
      <c r="N231" s="9">
        <f ca="1">_xlfn.NORM.INV(RAND(),AVERAGE(Assumptions!$D$16,Assumptions!$F$16),(Assumptions!$F$16-Assumptions!$D$16)/3.29)*44</f>
        <v>13037099.1748024</v>
      </c>
      <c r="O231" s="12">
        <f ca="1">_xlfn.NORM.INV(RAND(),AVERAGE(Assumptions!$D$15,Assumptions!$F$15),(Assumptions!$F$15-Assumptions!$D$15)/3.29)*44</f>
        <v>58937797.803341165</v>
      </c>
      <c r="P231" s="15">
        <f>Assumptions!$D$18</f>
        <v>14641750.345627395</v>
      </c>
      <c r="Q231" s="3">
        <f t="shared" ca="1" si="6"/>
        <v>366010.40792293847</v>
      </c>
      <c r="R231" s="6">
        <f t="shared" ca="1" si="7"/>
        <v>15007760.753550334</v>
      </c>
    </row>
    <row r="232" spans="1:18">
      <c r="A232" s="20">
        <v>231</v>
      </c>
      <c r="B232" s="3">
        <f ca="1">_xlfn.NORM.INV(RAND(),AVERAGE(Assumptions!$D$4,Assumptions!$F$4),(Assumptions!$F$4-Assumptions!$D$4)/3.29)*44</f>
        <v>1088655.752360686</v>
      </c>
      <c r="C232" s="6">
        <f ca="1">_xlfn.NORM.INV(RAND(),AVERAGE(Assumptions!$D$5,Assumptions!$F$5),(Assumptions!$F$5-Assumptions!$D$5)/3.29)*44</f>
        <v>1725991.5619874471</v>
      </c>
      <c r="D232" s="9">
        <f ca="1">_xlfn.NORM.INV(RAND(),AVERAGE(Assumptions!$D$6,Assumptions!$F$6),(Assumptions!$F$6-Assumptions!$D$6)/3.29)*RANDBETWEEN(2,5)</f>
        <v>2735680.6205776264</v>
      </c>
      <c r="E232" s="12">
        <f ca="1">_xlfn.NORM.INV(RAND(),AVERAGE(Assumptions!$D$17,Assumptions!$F$17),(Assumptions!$F$17-Assumptions!$D$17)/3.29)*8</f>
        <v>698848.19876142778</v>
      </c>
      <c r="F232" s="15">
        <f ca="1">_xlfn.NORM.INV(RAND(),AVERAGE(Assumptions!$D$7,Assumptions!$F$7),(Assumptions!$F$7-Assumptions!$D$7)/3.29)*RANDBETWEEN(1,3)</f>
        <v>3083356.2096071523</v>
      </c>
      <c r="G232" s="3">
        <f ca="1">_xlfn.NORM.INV(RAND(),AVERAGE(Assumptions!$D$8,Assumptions!$F$8),(Assumptions!$F$8-Assumptions!$D$8)/3.29)*44</f>
        <v>1279355.8409502062</v>
      </c>
      <c r="H232" s="6">
        <f ca="1">_xlfn.NORM.INV(RAND(),AVERAGE(Assumptions!$D$9,Assumptions!$F$9),(Assumptions!$F$9-Assumptions!$D$9)/3.29)*21</f>
        <v>5891574.0138458181</v>
      </c>
      <c r="I232" s="9">
        <f ca="1">_xlfn.NORM.INV(RAND(),AVERAGE(Assumptions!$D$10,Assumptions!$F$10),(Assumptions!$F$10-Assumptions!$D$10)/3.29)*21</f>
        <v>1004011.0960257782</v>
      </c>
      <c r="J232" s="12">
        <f ca="1">NORMINV(RAND(),AVERAGE(Assumptions!$D$11,Assumptions!$F$11),(Assumptions!$F$11-Assumptions!$D$11)/3.29)*44</f>
        <v>3202600.17609003</v>
      </c>
      <c r="K232" s="15">
        <f ca="1">_xlfn.NORM.INV(RAND(),AVERAGE(Assumptions!$D$12,Assumptions!$F$12),(Assumptions!$F$12-Assumptions!$D$12)/3.29)*44</f>
        <v>7122542.3117535785</v>
      </c>
      <c r="L232" s="3">
        <f ca="1">_xlfn.NORM.INV(RAND(),AVERAGE(Assumptions!$D$13,Assumptions!$F$13),(Assumptions!$F$13-Assumptions!$D$13)/3.29)*44</f>
        <v>14495449.240624215</v>
      </c>
      <c r="M232" s="6">
        <f ca="1">_xlfn.NORM.INV(RAND(),AVERAGE(Assumptions!$D$14,Assumptions!$F$14),(Assumptions!$F$14-Assumptions!$D$14)/3.29)*44</f>
        <v>6923286.6126337219</v>
      </c>
      <c r="N232" s="9">
        <f ca="1">_xlfn.NORM.INV(RAND(),AVERAGE(Assumptions!$D$16,Assumptions!$F$16),(Assumptions!$F$16-Assumptions!$D$16)/3.29)*44</f>
        <v>10849246.169480354</v>
      </c>
      <c r="O232" s="12">
        <f ca="1">_xlfn.NORM.INV(RAND(),AVERAGE(Assumptions!$D$15,Assumptions!$F$15),(Assumptions!$F$15-Assumptions!$D$15)/3.29)*44</f>
        <v>168504487.72694811</v>
      </c>
      <c r="P232" s="15">
        <f>Assumptions!$D$18</f>
        <v>14641750.345627395</v>
      </c>
      <c r="Q232" s="3">
        <f t="shared" ca="1" si="6"/>
        <v>108403889.92225006</v>
      </c>
      <c r="R232" s="6">
        <f t="shared" ca="1" si="7"/>
        <v>123045640.26787746</v>
      </c>
    </row>
    <row r="233" spans="1:18">
      <c r="A233" s="20">
        <v>232</v>
      </c>
      <c r="B233" s="3">
        <f ca="1">_xlfn.NORM.INV(RAND(),AVERAGE(Assumptions!$D$4,Assumptions!$F$4),(Assumptions!$F$4-Assumptions!$D$4)/3.29)*44</f>
        <v>1329655.2184767872</v>
      </c>
      <c r="C233" s="6">
        <f ca="1">_xlfn.NORM.INV(RAND(),AVERAGE(Assumptions!$D$5,Assumptions!$F$5),(Assumptions!$F$5-Assumptions!$D$5)/3.29)*44</f>
        <v>1791866.2388760389</v>
      </c>
      <c r="D233" s="9">
        <f ca="1">_xlfn.NORM.INV(RAND(),AVERAGE(Assumptions!$D$6,Assumptions!$F$6),(Assumptions!$F$6-Assumptions!$D$6)/3.29)*RANDBETWEEN(2,5)</f>
        <v>4872981.0526477098</v>
      </c>
      <c r="E233" s="12">
        <f ca="1">_xlfn.NORM.INV(RAND(),AVERAGE(Assumptions!$D$17,Assumptions!$F$17),(Assumptions!$F$17-Assumptions!$D$17)/3.29)*8</f>
        <v>985429.81016066845</v>
      </c>
      <c r="F233" s="15">
        <f ca="1">_xlfn.NORM.INV(RAND(),AVERAGE(Assumptions!$D$7,Assumptions!$F$7),(Assumptions!$F$7-Assumptions!$D$7)/3.29)*RANDBETWEEN(1,3)</f>
        <v>6968054.4907999635</v>
      </c>
      <c r="G233" s="3">
        <f ca="1">_xlfn.NORM.INV(RAND(),AVERAGE(Assumptions!$D$8,Assumptions!$F$8),(Assumptions!$F$8-Assumptions!$D$8)/3.29)*44</f>
        <v>1428620.0748263437</v>
      </c>
      <c r="H233" s="6">
        <f ca="1">_xlfn.NORM.INV(RAND(),AVERAGE(Assumptions!$D$9,Assumptions!$F$9),(Assumptions!$F$9-Assumptions!$D$9)/3.29)*21</f>
        <v>4859549.9666701853</v>
      </c>
      <c r="I233" s="9">
        <f ca="1">_xlfn.NORM.INV(RAND(),AVERAGE(Assumptions!$D$10,Assumptions!$F$10),(Assumptions!$F$10-Assumptions!$D$10)/3.29)*21</f>
        <v>1311616.658296759</v>
      </c>
      <c r="J233" s="12">
        <f ca="1">NORMINV(RAND(),AVERAGE(Assumptions!$D$11,Assumptions!$F$11),(Assumptions!$F$11-Assumptions!$D$11)/3.29)*44</f>
        <v>3011876.733612081</v>
      </c>
      <c r="K233" s="15">
        <f ca="1">_xlfn.NORM.INV(RAND(),AVERAGE(Assumptions!$D$12,Assumptions!$F$12),(Assumptions!$F$12-Assumptions!$D$12)/3.29)*44</f>
        <v>8811324.3572830893</v>
      </c>
      <c r="L233" s="3">
        <f ca="1">_xlfn.NORM.INV(RAND(),AVERAGE(Assumptions!$D$13,Assumptions!$F$13),(Assumptions!$F$13-Assumptions!$D$13)/3.29)*44</f>
        <v>22516438.526483219</v>
      </c>
      <c r="M233" s="6">
        <f ca="1">_xlfn.NORM.INV(RAND(),AVERAGE(Assumptions!$D$14,Assumptions!$F$14),(Assumptions!$F$14-Assumptions!$D$14)/3.29)*44</f>
        <v>6460076.2886397121</v>
      </c>
      <c r="N233" s="9">
        <f ca="1">_xlfn.NORM.INV(RAND(),AVERAGE(Assumptions!$D$16,Assumptions!$F$16),(Assumptions!$F$16-Assumptions!$D$16)/3.29)*44</f>
        <v>9794151.1955762729</v>
      </c>
      <c r="O233" s="12">
        <f ca="1">_xlfn.NORM.INV(RAND(),AVERAGE(Assumptions!$D$15,Assumptions!$F$15),(Assumptions!$F$15-Assumptions!$D$15)/3.29)*44</f>
        <v>67221253.590940833</v>
      </c>
      <c r="P233" s="15">
        <f>Assumptions!$D$18</f>
        <v>14641750.345627395</v>
      </c>
      <c r="Q233" s="3">
        <f t="shared" ca="1" si="6"/>
        <v>-6920387.0214079916</v>
      </c>
      <c r="R233" s="6">
        <f t="shared" ca="1" si="7"/>
        <v>7721363.3242194038</v>
      </c>
    </row>
    <row r="234" spans="1:18">
      <c r="A234" s="20">
        <v>233</v>
      </c>
      <c r="B234" s="3">
        <f ca="1">_xlfn.NORM.INV(RAND(),AVERAGE(Assumptions!$D$4,Assumptions!$F$4),(Assumptions!$F$4-Assumptions!$D$4)/3.29)*44</f>
        <v>1355280.9352014356</v>
      </c>
      <c r="C234" s="6">
        <f ca="1">_xlfn.NORM.INV(RAND(),AVERAGE(Assumptions!$D$5,Assumptions!$F$5),(Assumptions!$F$5-Assumptions!$D$5)/3.29)*44</f>
        <v>1601264.1158521303</v>
      </c>
      <c r="D234" s="9">
        <f ca="1">_xlfn.NORM.INV(RAND(),AVERAGE(Assumptions!$D$6,Assumptions!$F$6),(Assumptions!$F$6-Assumptions!$D$6)/3.29)*RANDBETWEEN(2,5)</f>
        <v>3175369.3251238354</v>
      </c>
      <c r="E234" s="12">
        <f ca="1">_xlfn.NORM.INV(RAND(),AVERAGE(Assumptions!$D$17,Assumptions!$F$17),(Assumptions!$F$17-Assumptions!$D$17)/3.29)*8</f>
        <v>922166.55812995136</v>
      </c>
      <c r="F234" s="15">
        <f ca="1">_xlfn.NORM.INV(RAND(),AVERAGE(Assumptions!$D$7,Assumptions!$F$7),(Assumptions!$F$7-Assumptions!$D$7)/3.29)*RANDBETWEEN(1,3)</f>
        <v>6596652.7251879517</v>
      </c>
      <c r="G234" s="3">
        <f ca="1">_xlfn.NORM.INV(RAND(),AVERAGE(Assumptions!$D$8,Assumptions!$F$8),(Assumptions!$F$8-Assumptions!$D$8)/3.29)*44</f>
        <v>1245733.0894164192</v>
      </c>
      <c r="H234" s="6">
        <f ca="1">_xlfn.NORM.INV(RAND(),AVERAGE(Assumptions!$D$9,Assumptions!$F$9),(Assumptions!$F$9-Assumptions!$D$9)/3.29)*21</f>
        <v>3147533.473774117</v>
      </c>
      <c r="I234" s="9">
        <f ca="1">_xlfn.NORM.INV(RAND(),AVERAGE(Assumptions!$D$10,Assumptions!$F$10),(Assumptions!$F$10-Assumptions!$D$10)/3.29)*21</f>
        <v>888350.27639159281</v>
      </c>
      <c r="J234" s="12">
        <f ca="1">NORMINV(RAND(),AVERAGE(Assumptions!$D$11,Assumptions!$F$11),(Assumptions!$F$11-Assumptions!$D$11)/3.29)*44</f>
        <v>2213999.7136029573</v>
      </c>
      <c r="K234" s="15">
        <f ca="1">_xlfn.NORM.INV(RAND(),AVERAGE(Assumptions!$D$12,Assumptions!$F$12),(Assumptions!$F$12-Assumptions!$D$12)/3.29)*44</f>
        <v>8786259.7983539365</v>
      </c>
      <c r="L234" s="3">
        <f ca="1">_xlfn.NORM.INV(RAND(),AVERAGE(Assumptions!$D$13,Assumptions!$F$13),(Assumptions!$F$13-Assumptions!$D$13)/3.29)*44</f>
        <v>15990920.438963117</v>
      </c>
      <c r="M234" s="6">
        <f ca="1">_xlfn.NORM.INV(RAND(),AVERAGE(Assumptions!$D$14,Assumptions!$F$14),(Assumptions!$F$14-Assumptions!$D$14)/3.29)*44</f>
        <v>5756738.1482903324</v>
      </c>
      <c r="N234" s="9">
        <f ca="1">_xlfn.NORM.INV(RAND(),AVERAGE(Assumptions!$D$16,Assumptions!$F$16),(Assumptions!$F$16-Assumptions!$D$16)/3.29)*44</f>
        <v>14560801.224186845</v>
      </c>
      <c r="O234" s="12">
        <f ca="1">_xlfn.NORM.INV(RAND(),AVERAGE(Assumptions!$D$15,Assumptions!$F$15),(Assumptions!$F$15-Assumptions!$D$15)/3.29)*44</f>
        <v>97773721.850536361</v>
      </c>
      <c r="P234" s="15">
        <f>Assumptions!$D$18</f>
        <v>14641750.345627395</v>
      </c>
      <c r="Q234" s="3">
        <f t="shared" ca="1" si="6"/>
        <v>31532652.02806174</v>
      </c>
      <c r="R234" s="6">
        <f t="shared" ca="1" si="7"/>
        <v>46174402.373689137</v>
      </c>
    </row>
    <row r="235" spans="1:18">
      <c r="A235" s="20">
        <v>234</v>
      </c>
      <c r="B235" s="3">
        <f ca="1">_xlfn.NORM.INV(RAND(),AVERAGE(Assumptions!$D$4,Assumptions!$F$4),(Assumptions!$F$4-Assumptions!$D$4)/3.29)*44</f>
        <v>1233660.4762571503</v>
      </c>
      <c r="C235" s="6">
        <f ca="1">_xlfn.NORM.INV(RAND(),AVERAGE(Assumptions!$D$5,Assumptions!$F$5),(Assumptions!$F$5-Assumptions!$D$5)/3.29)*44</f>
        <v>2106214.8052923847</v>
      </c>
      <c r="D235" s="9">
        <f ca="1">_xlfn.NORM.INV(RAND(),AVERAGE(Assumptions!$D$6,Assumptions!$F$6),(Assumptions!$F$6-Assumptions!$D$6)/3.29)*RANDBETWEEN(2,5)</f>
        <v>3107612.9195553651</v>
      </c>
      <c r="E235" s="12">
        <f ca="1">_xlfn.NORM.INV(RAND(),AVERAGE(Assumptions!$D$17,Assumptions!$F$17),(Assumptions!$F$17-Assumptions!$D$17)/3.29)*8</f>
        <v>799510.62979103206</v>
      </c>
      <c r="F235" s="15">
        <f ca="1">_xlfn.NORM.INV(RAND(),AVERAGE(Assumptions!$D$7,Assumptions!$F$7),(Assumptions!$F$7-Assumptions!$D$7)/3.29)*RANDBETWEEN(1,3)</f>
        <v>5741731.9375718078</v>
      </c>
      <c r="G235" s="3">
        <f ca="1">_xlfn.NORM.INV(RAND(),AVERAGE(Assumptions!$D$8,Assumptions!$F$8),(Assumptions!$F$8-Assumptions!$D$8)/3.29)*44</f>
        <v>1011168.2852466125</v>
      </c>
      <c r="H235" s="6">
        <f ca="1">_xlfn.NORM.INV(RAND(),AVERAGE(Assumptions!$D$9,Assumptions!$F$9),(Assumptions!$F$9-Assumptions!$D$9)/3.29)*21</f>
        <v>6130095.7267060457</v>
      </c>
      <c r="I235" s="9">
        <f ca="1">_xlfn.NORM.INV(RAND(),AVERAGE(Assumptions!$D$10,Assumptions!$F$10),(Assumptions!$F$10-Assumptions!$D$10)/3.29)*21</f>
        <v>857876.75945906749</v>
      </c>
      <c r="J235" s="12">
        <f ca="1">NORMINV(RAND(),AVERAGE(Assumptions!$D$11,Assumptions!$F$11),(Assumptions!$F$11-Assumptions!$D$11)/3.29)*44</f>
        <v>4953402.8831220139</v>
      </c>
      <c r="K235" s="15">
        <f ca="1">_xlfn.NORM.INV(RAND(),AVERAGE(Assumptions!$D$12,Assumptions!$F$12),(Assumptions!$F$12-Assumptions!$D$12)/3.29)*44</f>
        <v>9033408.9791576955</v>
      </c>
      <c r="L235" s="3">
        <f ca="1">_xlfn.NORM.INV(RAND(),AVERAGE(Assumptions!$D$13,Assumptions!$F$13),(Assumptions!$F$13-Assumptions!$D$13)/3.29)*44</f>
        <v>18750463.96462547</v>
      </c>
      <c r="M235" s="6">
        <f ca="1">_xlfn.NORM.INV(RAND(),AVERAGE(Assumptions!$D$14,Assumptions!$F$14),(Assumptions!$F$14-Assumptions!$D$14)/3.29)*44</f>
        <v>6274065.5540542724</v>
      </c>
      <c r="N235" s="9">
        <f ca="1">_xlfn.NORM.INV(RAND(),AVERAGE(Assumptions!$D$16,Assumptions!$F$16),(Assumptions!$F$16-Assumptions!$D$16)/3.29)*44</f>
        <v>3986350.2733749836</v>
      </c>
      <c r="O235" s="12">
        <f ca="1">_xlfn.NORM.INV(RAND(),AVERAGE(Assumptions!$D$15,Assumptions!$F$15),(Assumptions!$F$15-Assumptions!$D$15)/3.29)*44</f>
        <v>100208648.98347597</v>
      </c>
      <c r="P235" s="15">
        <f>Assumptions!$D$18</f>
        <v>14641750.345627395</v>
      </c>
      <c r="Q235" s="3">
        <f t="shared" ca="1" si="6"/>
        <v>36223085.789262071</v>
      </c>
      <c r="R235" s="6">
        <f t="shared" ca="1" si="7"/>
        <v>50864836.134889469</v>
      </c>
    </row>
    <row r="236" spans="1:18">
      <c r="A236" s="20">
        <v>235</v>
      </c>
      <c r="B236" s="3">
        <f ca="1">_xlfn.NORM.INV(RAND(),AVERAGE(Assumptions!$D$4,Assumptions!$F$4),(Assumptions!$F$4-Assumptions!$D$4)/3.29)*44</f>
        <v>1174103.2407960733</v>
      </c>
      <c r="C236" s="6">
        <f ca="1">_xlfn.NORM.INV(RAND(),AVERAGE(Assumptions!$D$5,Assumptions!$F$5),(Assumptions!$F$5-Assumptions!$D$5)/3.29)*44</f>
        <v>1740620.1962259097</v>
      </c>
      <c r="D236" s="9">
        <f ca="1">_xlfn.NORM.INV(RAND(),AVERAGE(Assumptions!$D$6,Assumptions!$F$6),(Assumptions!$F$6-Assumptions!$D$6)/3.29)*RANDBETWEEN(2,5)</f>
        <v>7166470.5147341285</v>
      </c>
      <c r="E236" s="12">
        <f ca="1">_xlfn.NORM.INV(RAND(),AVERAGE(Assumptions!$D$17,Assumptions!$F$17),(Assumptions!$F$17-Assumptions!$D$17)/3.29)*8</f>
        <v>861119.15555720532</v>
      </c>
      <c r="F236" s="15">
        <f ca="1">_xlfn.NORM.INV(RAND(),AVERAGE(Assumptions!$D$7,Assumptions!$F$7),(Assumptions!$F$7-Assumptions!$D$7)/3.29)*RANDBETWEEN(1,3)</f>
        <v>6832441.1076392597</v>
      </c>
      <c r="G236" s="3">
        <f ca="1">_xlfn.NORM.INV(RAND(),AVERAGE(Assumptions!$D$8,Assumptions!$F$8),(Assumptions!$F$8-Assumptions!$D$8)/3.29)*44</f>
        <v>1322252.962511892</v>
      </c>
      <c r="H236" s="6">
        <f ca="1">_xlfn.NORM.INV(RAND(),AVERAGE(Assumptions!$D$9,Assumptions!$F$9),(Assumptions!$F$9-Assumptions!$D$9)/3.29)*21</f>
        <v>4852178.17701656</v>
      </c>
      <c r="I236" s="9">
        <f ca="1">_xlfn.NORM.INV(RAND(),AVERAGE(Assumptions!$D$10,Assumptions!$F$10),(Assumptions!$F$10-Assumptions!$D$10)/3.29)*21</f>
        <v>727159.2856613443</v>
      </c>
      <c r="J236" s="12">
        <f ca="1">NORMINV(RAND(),AVERAGE(Assumptions!$D$11,Assumptions!$F$11),(Assumptions!$F$11-Assumptions!$D$11)/3.29)*44</f>
        <v>3636143.9288341124</v>
      </c>
      <c r="K236" s="15">
        <f ca="1">_xlfn.NORM.INV(RAND(),AVERAGE(Assumptions!$D$12,Assumptions!$F$12),(Assumptions!$F$12-Assumptions!$D$12)/3.29)*44</f>
        <v>7114969.6946472153</v>
      </c>
      <c r="L236" s="3">
        <f ca="1">_xlfn.NORM.INV(RAND(),AVERAGE(Assumptions!$D$13,Assumptions!$F$13),(Assumptions!$F$13-Assumptions!$D$13)/3.29)*44</f>
        <v>13151152.955558915</v>
      </c>
      <c r="M236" s="6">
        <f ca="1">_xlfn.NORM.INV(RAND(),AVERAGE(Assumptions!$D$14,Assumptions!$F$14),(Assumptions!$F$14-Assumptions!$D$14)/3.29)*44</f>
        <v>6424500.6352544781</v>
      </c>
      <c r="N236" s="9">
        <f ca="1">_xlfn.NORM.INV(RAND(),AVERAGE(Assumptions!$D$16,Assumptions!$F$16),(Assumptions!$F$16-Assumptions!$D$16)/3.29)*44</f>
        <v>4238031.3838486252</v>
      </c>
      <c r="O236" s="12">
        <f ca="1">_xlfn.NORM.INV(RAND(),AVERAGE(Assumptions!$D$15,Assumptions!$F$15),(Assumptions!$F$15-Assumptions!$D$15)/3.29)*44</f>
        <v>142373131.94948357</v>
      </c>
      <c r="P236" s="15">
        <f>Assumptions!$D$18</f>
        <v>14641750.345627395</v>
      </c>
      <c r="Q236" s="3">
        <f t="shared" ca="1" si="6"/>
        <v>83131988.711197853</v>
      </c>
      <c r="R236" s="6">
        <f t="shared" ca="1" si="7"/>
        <v>97773739.05682525</v>
      </c>
    </row>
    <row r="237" spans="1:18">
      <c r="A237" s="20">
        <v>236</v>
      </c>
      <c r="B237" s="3">
        <f ca="1">_xlfn.NORM.INV(RAND(),AVERAGE(Assumptions!$D$4,Assumptions!$F$4),(Assumptions!$F$4-Assumptions!$D$4)/3.29)*44</f>
        <v>1180482.2351949364</v>
      </c>
      <c r="C237" s="6">
        <f ca="1">_xlfn.NORM.INV(RAND(),AVERAGE(Assumptions!$D$5,Assumptions!$F$5),(Assumptions!$F$5-Assumptions!$D$5)/3.29)*44</f>
        <v>1994945.7376645964</v>
      </c>
      <c r="D237" s="9">
        <f ca="1">_xlfn.NORM.INV(RAND(),AVERAGE(Assumptions!$D$6,Assumptions!$F$6),(Assumptions!$F$6-Assumptions!$D$6)/3.29)*RANDBETWEEN(2,5)</f>
        <v>1068509.9901725736</v>
      </c>
      <c r="E237" s="12">
        <f ca="1">_xlfn.NORM.INV(RAND(),AVERAGE(Assumptions!$D$17,Assumptions!$F$17),(Assumptions!$F$17-Assumptions!$D$17)/3.29)*8</f>
        <v>843765.02407365572</v>
      </c>
      <c r="F237" s="15">
        <f ca="1">_xlfn.NORM.INV(RAND(),AVERAGE(Assumptions!$D$7,Assumptions!$F$7),(Assumptions!$F$7-Assumptions!$D$7)/3.29)*RANDBETWEEN(1,3)</f>
        <v>13243156.291128781</v>
      </c>
      <c r="G237" s="3">
        <f ca="1">_xlfn.NORM.INV(RAND(),AVERAGE(Assumptions!$D$8,Assumptions!$F$8),(Assumptions!$F$8-Assumptions!$D$8)/3.29)*44</f>
        <v>832820.26237208571</v>
      </c>
      <c r="H237" s="6">
        <f ca="1">_xlfn.NORM.INV(RAND(),AVERAGE(Assumptions!$D$9,Assumptions!$F$9),(Assumptions!$F$9-Assumptions!$D$9)/3.29)*21</f>
        <v>3538900.6610670378</v>
      </c>
      <c r="I237" s="9">
        <f ca="1">_xlfn.NORM.INV(RAND(),AVERAGE(Assumptions!$D$10,Assumptions!$F$10),(Assumptions!$F$10-Assumptions!$D$10)/3.29)*21</f>
        <v>1105766.1508923667</v>
      </c>
      <c r="J237" s="12">
        <f ca="1">NORMINV(RAND(),AVERAGE(Assumptions!$D$11,Assumptions!$F$11),(Assumptions!$F$11-Assumptions!$D$11)/3.29)*44</f>
        <v>3017568.1351285949</v>
      </c>
      <c r="K237" s="15">
        <f ca="1">_xlfn.NORM.INV(RAND(),AVERAGE(Assumptions!$D$12,Assumptions!$F$12),(Assumptions!$F$12-Assumptions!$D$12)/3.29)*44</f>
        <v>11628456.625061175</v>
      </c>
      <c r="L237" s="3">
        <f ca="1">_xlfn.NORM.INV(RAND(),AVERAGE(Assumptions!$D$13,Assumptions!$F$13),(Assumptions!$F$13-Assumptions!$D$13)/3.29)*44</f>
        <v>13099991.320949892</v>
      </c>
      <c r="M237" s="6">
        <f ca="1">_xlfn.NORM.INV(RAND(),AVERAGE(Assumptions!$D$14,Assumptions!$F$14),(Assumptions!$F$14-Assumptions!$D$14)/3.29)*44</f>
        <v>6234029.0669173803</v>
      </c>
      <c r="N237" s="9">
        <f ca="1">_xlfn.NORM.INV(RAND(),AVERAGE(Assumptions!$D$16,Assumptions!$F$16),(Assumptions!$F$16-Assumptions!$D$16)/3.29)*44</f>
        <v>6773518.8637394402</v>
      </c>
      <c r="O237" s="12">
        <f ca="1">_xlfn.NORM.INV(RAND(),AVERAGE(Assumptions!$D$15,Assumptions!$F$15),(Assumptions!$F$15-Assumptions!$D$15)/3.29)*44</f>
        <v>91463733.937479585</v>
      </c>
      <c r="P237" s="15">
        <f>Assumptions!$D$18</f>
        <v>14641750.345627395</v>
      </c>
      <c r="Q237" s="3">
        <f t="shared" ca="1" si="6"/>
        <v>26901823.573117077</v>
      </c>
      <c r="R237" s="6">
        <f t="shared" ca="1" si="7"/>
        <v>41543573.918744475</v>
      </c>
    </row>
    <row r="238" spans="1:18">
      <c r="A238" s="20">
        <v>237</v>
      </c>
      <c r="B238" s="3">
        <f ca="1">_xlfn.NORM.INV(RAND(),AVERAGE(Assumptions!$D$4,Assumptions!$F$4),(Assumptions!$F$4-Assumptions!$D$4)/3.29)*44</f>
        <v>1192604.2339754747</v>
      </c>
      <c r="C238" s="6">
        <f ca="1">_xlfn.NORM.INV(RAND(),AVERAGE(Assumptions!$D$5,Assumptions!$F$5),(Assumptions!$F$5-Assumptions!$D$5)/3.29)*44</f>
        <v>2014463.8508935906</v>
      </c>
      <c r="D238" s="9">
        <f ca="1">_xlfn.NORM.INV(RAND(),AVERAGE(Assumptions!$D$6,Assumptions!$F$6),(Assumptions!$F$6-Assumptions!$D$6)/3.29)*RANDBETWEEN(2,5)</f>
        <v>6150968.2756776176</v>
      </c>
      <c r="E238" s="12">
        <f ca="1">_xlfn.NORM.INV(RAND(),AVERAGE(Assumptions!$D$17,Assumptions!$F$17),(Assumptions!$F$17-Assumptions!$D$17)/3.29)*8</f>
        <v>1283493.4227963621</v>
      </c>
      <c r="F238" s="15">
        <f ca="1">_xlfn.NORM.INV(RAND(),AVERAGE(Assumptions!$D$7,Assumptions!$F$7),(Assumptions!$F$7-Assumptions!$D$7)/3.29)*RANDBETWEEN(1,3)</f>
        <v>6071064.6067254264</v>
      </c>
      <c r="G238" s="3">
        <f ca="1">_xlfn.NORM.INV(RAND(),AVERAGE(Assumptions!$D$8,Assumptions!$F$8),(Assumptions!$F$8-Assumptions!$D$8)/3.29)*44</f>
        <v>1549084.7831757623</v>
      </c>
      <c r="H238" s="6">
        <f ca="1">_xlfn.NORM.INV(RAND(),AVERAGE(Assumptions!$D$9,Assumptions!$F$9),(Assumptions!$F$9-Assumptions!$D$9)/3.29)*21</f>
        <v>3132557.6075053243</v>
      </c>
      <c r="I238" s="9">
        <f ca="1">_xlfn.NORM.INV(RAND(),AVERAGE(Assumptions!$D$10,Assumptions!$F$10),(Assumptions!$F$10-Assumptions!$D$10)/3.29)*21</f>
        <v>722409.35357947019</v>
      </c>
      <c r="J238" s="12">
        <f ca="1">NORMINV(RAND(),AVERAGE(Assumptions!$D$11,Assumptions!$F$11),(Assumptions!$F$11-Assumptions!$D$11)/3.29)*44</f>
        <v>3276695.6313892901</v>
      </c>
      <c r="K238" s="15">
        <f ca="1">_xlfn.NORM.INV(RAND(),AVERAGE(Assumptions!$D$12,Assumptions!$F$12),(Assumptions!$F$12-Assumptions!$D$12)/3.29)*44</f>
        <v>8721222.2436579503</v>
      </c>
      <c r="L238" s="3">
        <f ca="1">_xlfn.NORM.INV(RAND(),AVERAGE(Assumptions!$D$13,Assumptions!$F$13),(Assumptions!$F$13-Assumptions!$D$13)/3.29)*44</f>
        <v>18903715.620554388</v>
      </c>
      <c r="M238" s="6">
        <f ca="1">_xlfn.NORM.INV(RAND(),AVERAGE(Assumptions!$D$14,Assumptions!$F$14),(Assumptions!$F$14-Assumptions!$D$14)/3.29)*44</f>
        <v>5856331.430607303</v>
      </c>
      <c r="N238" s="9">
        <f ca="1">_xlfn.NORM.INV(RAND(),AVERAGE(Assumptions!$D$16,Assumptions!$F$16),(Assumptions!$F$16-Assumptions!$D$16)/3.29)*44</f>
        <v>10950744.135031871</v>
      </c>
      <c r="O238" s="12">
        <f ca="1">_xlfn.NORM.INV(RAND(),AVERAGE(Assumptions!$D$15,Assumptions!$F$15),(Assumptions!$F$15-Assumptions!$D$15)/3.29)*44</f>
        <v>79070969.753122315</v>
      </c>
      <c r="P238" s="15">
        <f>Assumptions!$D$18</f>
        <v>14641750.345627395</v>
      </c>
      <c r="Q238" s="3">
        <f t="shared" ca="1" si="6"/>
        <v>9245614.5575524718</v>
      </c>
      <c r="R238" s="6">
        <f t="shared" ca="1" si="7"/>
        <v>23887364.903179869</v>
      </c>
    </row>
    <row r="239" spans="1:18">
      <c r="A239" s="20">
        <v>238</v>
      </c>
      <c r="B239" s="3">
        <f ca="1">_xlfn.NORM.INV(RAND(),AVERAGE(Assumptions!$D$4,Assumptions!$F$4),(Assumptions!$F$4-Assumptions!$D$4)/3.29)*44</f>
        <v>1089189.3209898118</v>
      </c>
      <c r="C239" s="6">
        <f ca="1">_xlfn.NORM.INV(RAND(),AVERAGE(Assumptions!$D$5,Assumptions!$F$5),(Assumptions!$F$5-Assumptions!$D$5)/3.29)*44</f>
        <v>1801764.5040412345</v>
      </c>
      <c r="D239" s="9">
        <f ca="1">_xlfn.NORM.INV(RAND(),AVERAGE(Assumptions!$D$6,Assumptions!$F$6),(Assumptions!$F$6-Assumptions!$D$6)/3.29)*RANDBETWEEN(2,5)</f>
        <v>2435041.8591688755</v>
      </c>
      <c r="E239" s="12">
        <f ca="1">_xlfn.NORM.INV(RAND(),AVERAGE(Assumptions!$D$17,Assumptions!$F$17),(Assumptions!$F$17-Assumptions!$D$17)/3.29)*8</f>
        <v>766973.55190595007</v>
      </c>
      <c r="F239" s="15">
        <f ca="1">_xlfn.NORM.INV(RAND(),AVERAGE(Assumptions!$D$7,Assumptions!$F$7),(Assumptions!$F$7-Assumptions!$D$7)/3.29)*RANDBETWEEN(1,3)</f>
        <v>10082514.09372833</v>
      </c>
      <c r="G239" s="3">
        <f ca="1">_xlfn.NORM.INV(RAND(),AVERAGE(Assumptions!$D$8,Assumptions!$F$8),(Assumptions!$F$8-Assumptions!$D$8)/3.29)*44</f>
        <v>786150.25478204619</v>
      </c>
      <c r="H239" s="6">
        <f ca="1">_xlfn.NORM.INV(RAND(),AVERAGE(Assumptions!$D$9,Assumptions!$F$9),(Assumptions!$F$9-Assumptions!$D$9)/3.29)*21</f>
        <v>3504130.0094817942</v>
      </c>
      <c r="I239" s="9">
        <f ca="1">_xlfn.NORM.INV(RAND(),AVERAGE(Assumptions!$D$10,Assumptions!$F$10),(Assumptions!$F$10-Assumptions!$D$10)/3.29)*21</f>
        <v>780828.53423463937</v>
      </c>
      <c r="J239" s="12">
        <f ca="1">NORMINV(RAND(),AVERAGE(Assumptions!$D$11,Assumptions!$F$11),(Assumptions!$F$11-Assumptions!$D$11)/3.29)*44</f>
        <v>5149026.9051642874</v>
      </c>
      <c r="K239" s="15">
        <f ca="1">_xlfn.NORM.INV(RAND(),AVERAGE(Assumptions!$D$12,Assumptions!$F$12),(Assumptions!$F$12-Assumptions!$D$12)/3.29)*44</f>
        <v>11062529.940948822</v>
      </c>
      <c r="L239" s="3">
        <f ca="1">_xlfn.NORM.INV(RAND(),AVERAGE(Assumptions!$D$13,Assumptions!$F$13),(Assumptions!$F$13-Assumptions!$D$13)/3.29)*44</f>
        <v>11782684.878685623</v>
      </c>
      <c r="M239" s="6">
        <f ca="1">_xlfn.NORM.INV(RAND(),AVERAGE(Assumptions!$D$14,Assumptions!$F$14),(Assumptions!$F$14-Assumptions!$D$14)/3.29)*44</f>
        <v>4676612.9229574865</v>
      </c>
      <c r="N239" s="9">
        <f ca="1">_xlfn.NORM.INV(RAND(),AVERAGE(Assumptions!$D$16,Assumptions!$F$16),(Assumptions!$F$16-Assumptions!$D$16)/3.29)*44</f>
        <v>10056233.77881806</v>
      </c>
      <c r="O239" s="12">
        <f ca="1">_xlfn.NORM.INV(RAND(),AVERAGE(Assumptions!$D$15,Assumptions!$F$15),(Assumptions!$F$15-Assumptions!$D$15)/3.29)*44</f>
        <v>98619725.389706671</v>
      </c>
      <c r="P239" s="15">
        <f>Assumptions!$D$18</f>
        <v>14641750.345627395</v>
      </c>
      <c r="Q239" s="3">
        <f t="shared" ca="1" si="6"/>
        <v>34646044.834799699</v>
      </c>
      <c r="R239" s="6">
        <f t="shared" ca="1" si="7"/>
        <v>49287795.180427097</v>
      </c>
    </row>
    <row r="240" spans="1:18">
      <c r="A240" s="20">
        <v>239</v>
      </c>
      <c r="B240" s="3">
        <f ca="1">_xlfn.NORM.INV(RAND(),AVERAGE(Assumptions!$D$4,Assumptions!$F$4),(Assumptions!$F$4-Assumptions!$D$4)/3.29)*44</f>
        <v>1238071.8758277763</v>
      </c>
      <c r="C240" s="6">
        <f ca="1">_xlfn.NORM.INV(RAND(),AVERAGE(Assumptions!$D$5,Assumptions!$F$5),(Assumptions!$F$5-Assumptions!$D$5)/3.29)*44</f>
        <v>1985322.8595824009</v>
      </c>
      <c r="D240" s="9">
        <f ca="1">_xlfn.NORM.INV(RAND(),AVERAGE(Assumptions!$D$6,Assumptions!$F$6),(Assumptions!$F$6-Assumptions!$D$6)/3.29)*RANDBETWEEN(2,5)</f>
        <v>4962961.0353860538</v>
      </c>
      <c r="E240" s="12">
        <f ca="1">_xlfn.NORM.INV(RAND(),AVERAGE(Assumptions!$D$17,Assumptions!$F$17),(Assumptions!$F$17-Assumptions!$D$17)/3.29)*8</f>
        <v>1128627.3287597788</v>
      </c>
      <c r="F240" s="15">
        <f ca="1">_xlfn.NORM.INV(RAND(),AVERAGE(Assumptions!$D$7,Assumptions!$F$7),(Assumptions!$F$7-Assumptions!$D$7)/3.29)*RANDBETWEEN(1,3)</f>
        <v>3351197.6376476511</v>
      </c>
      <c r="G240" s="3">
        <f ca="1">_xlfn.NORM.INV(RAND(),AVERAGE(Assumptions!$D$8,Assumptions!$F$8),(Assumptions!$F$8-Assumptions!$D$8)/3.29)*44</f>
        <v>1473003.3985934949</v>
      </c>
      <c r="H240" s="6">
        <f ca="1">_xlfn.NORM.INV(RAND(),AVERAGE(Assumptions!$D$9,Assumptions!$F$9),(Assumptions!$F$9-Assumptions!$D$9)/3.29)*21</f>
        <v>4032329.1004592637</v>
      </c>
      <c r="I240" s="9">
        <f ca="1">_xlfn.NORM.INV(RAND(),AVERAGE(Assumptions!$D$10,Assumptions!$F$10),(Assumptions!$F$10-Assumptions!$D$10)/3.29)*21</f>
        <v>716265.11364074866</v>
      </c>
      <c r="J240" s="12">
        <f ca="1">NORMINV(RAND(),AVERAGE(Assumptions!$D$11,Assumptions!$F$11),(Assumptions!$F$11-Assumptions!$D$11)/3.29)*44</f>
        <v>4433997.8771360833</v>
      </c>
      <c r="K240" s="15">
        <f ca="1">_xlfn.NORM.INV(RAND(),AVERAGE(Assumptions!$D$12,Assumptions!$F$12),(Assumptions!$F$12-Assumptions!$D$12)/3.29)*44</f>
        <v>8761396.7623077203</v>
      </c>
      <c r="L240" s="3">
        <f ca="1">_xlfn.NORM.INV(RAND(),AVERAGE(Assumptions!$D$13,Assumptions!$F$13),(Assumptions!$F$13-Assumptions!$D$13)/3.29)*44</f>
        <v>7956366.8702536216</v>
      </c>
      <c r="M240" s="6">
        <f ca="1">_xlfn.NORM.INV(RAND(),AVERAGE(Assumptions!$D$14,Assumptions!$F$14),(Assumptions!$F$14-Assumptions!$D$14)/3.29)*44</f>
        <v>7105284.5822116258</v>
      </c>
      <c r="N240" s="9">
        <f ca="1">_xlfn.NORM.INV(RAND(),AVERAGE(Assumptions!$D$16,Assumptions!$F$16),(Assumptions!$F$16-Assumptions!$D$16)/3.29)*44</f>
        <v>14977882.125204243</v>
      </c>
      <c r="O240" s="12">
        <f ca="1">_xlfn.NORM.INV(RAND(),AVERAGE(Assumptions!$D$15,Assumptions!$F$15),(Assumptions!$F$15-Assumptions!$D$15)/3.29)*44</f>
        <v>131589380.31102188</v>
      </c>
      <c r="P240" s="15">
        <f>Assumptions!$D$18</f>
        <v>14641750.345627395</v>
      </c>
      <c r="Q240" s="3">
        <f t="shared" ca="1" si="6"/>
        <v>69466673.744011402</v>
      </c>
      <c r="R240" s="6">
        <f t="shared" ca="1" si="7"/>
        <v>84108424.089638799</v>
      </c>
    </row>
    <row r="241" spans="1:18">
      <c r="A241" s="20">
        <v>240</v>
      </c>
      <c r="B241" s="3">
        <f ca="1">_xlfn.NORM.INV(RAND(),AVERAGE(Assumptions!$D$4,Assumptions!$F$4),(Assumptions!$F$4-Assumptions!$D$4)/3.29)*44</f>
        <v>1334029.1834435903</v>
      </c>
      <c r="C241" s="6">
        <f ca="1">_xlfn.NORM.INV(RAND(),AVERAGE(Assumptions!$D$5,Assumptions!$F$5),(Assumptions!$F$5-Assumptions!$D$5)/3.29)*44</f>
        <v>1932690.2710233605</v>
      </c>
      <c r="D241" s="9">
        <f ca="1">_xlfn.NORM.INV(RAND(),AVERAGE(Assumptions!$D$6,Assumptions!$F$6),(Assumptions!$F$6-Assumptions!$D$6)/3.29)*RANDBETWEEN(2,5)</f>
        <v>3980101.4415871375</v>
      </c>
      <c r="E241" s="12">
        <f ca="1">_xlfn.NORM.INV(RAND(),AVERAGE(Assumptions!$D$17,Assumptions!$F$17),(Assumptions!$F$17-Assumptions!$D$17)/3.29)*8</f>
        <v>1037984.063997084</v>
      </c>
      <c r="F241" s="15">
        <f ca="1">_xlfn.NORM.INV(RAND(),AVERAGE(Assumptions!$D$7,Assumptions!$F$7),(Assumptions!$F$7-Assumptions!$D$7)/3.29)*RANDBETWEEN(1,3)</f>
        <v>5011381.0800578427</v>
      </c>
      <c r="G241" s="3">
        <f ca="1">_xlfn.NORM.INV(RAND(),AVERAGE(Assumptions!$D$8,Assumptions!$F$8),(Assumptions!$F$8-Assumptions!$D$8)/3.29)*44</f>
        <v>891484.87123262114</v>
      </c>
      <c r="H241" s="6">
        <f ca="1">_xlfn.NORM.INV(RAND(),AVERAGE(Assumptions!$D$9,Assumptions!$F$9),(Assumptions!$F$9-Assumptions!$D$9)/3.29)*21</f>
        <v>4939439.4578634221</v>
      </c>
      <c r="I241" s="9">
        <f ca="1">_xlfn.NORM.INV(RAND(),AVERAGE(Assumptions!$D$10,Assumptions!$F$10),(Assumptions!$F$10-Assumptions!$D$10)/3.29)*21</f>
        <v>1153123.9043918308</v>
      </c>
      <c r="J241" s="12">
        <f ca="1">NORMINV(RAND(),AVERAGE(Assumptions!$D$11,Assumptions!$F$11),(Assumptions!$F$11-Assumptions!$D$11)/3.29)*44</f>
        <v>3669655.6426704288</v>
      </c>
      <c r="K241" s="15">
        <f ca="1">_xlfn.NORM.INV(RAND(),AVERAGE(Assumptions!$D$12,Assumptions!$F$12),(Assumptions!$F$12-Assumptions!$D$12)/3.29)*44</f>
        <v>11153525.646941572</v>
      </c>
      <c r="L241" s="3">
        <f ca="1">_xlfn.NORM.INV(RAND(),AVERAGE(Assumptions!$D$13,Assumptions!$F$13),(Assumptions!$F$13-Assumptions!$D$13)/3.29)*44</f>
        <v>16290409.813742355</v>
      </c>
      <c r="M241" s="6">
        <f ca="1">_xlfn.NORM.INV(RAND(),AVERAGE(Assumptions!$D$14,Assumptions!$F$14),(Assumptions!$F$14-Assumptions!$D$14)/3.29)*44</f>
        <v>4517046.2140824338</v>
      </c>
      <c r="N241" s="9">
        <f ca="1">_xlfn.NORM.INV(RAND(),AVERAGE(Assumptions!$D$16,Assumptions!$F$16),(Assumptions!$F$16-Assumptions!$D$16)/3.29)*44</f>
        <v>12248494.712834451</v>
      </c>
      <c r="O241" s="12">
        <f ca="1">_xlfn.NORM.INV(RAND(),AVERAGE(Assumptions!$D$15,Assumptions!$F$15),(Assumptions!$F$15-Assumptions!$D$15)/3.29)*44</f>
        <v>186422533.76966339</v>
      </c>
      <c r="P241" s="15">
        <f>Assumptions!$D$18</f>
        <v>14641750.345627395</v>
      </c>
      <c r="Q241" s="3">
        <f t="shared" ca="1" si="6"/>
        <v>118263167.46579525</v>
      </c>
      <c r="R241" s="6">
        <f t="shared" ca="1" si="7"/>
        <v>132904917.81142265</v>
      </c>
    </row>
    <row r="242" spans="1:18">
      <c r="A242" s="20">
        <v>241</v>
      </c>
      <c r="B242" s="3">
        <f ca="1">_xlfn.NORM.INV(RAND(),AVERAGE(Assumptions!$D$4,Assumptions!$F$4),(Assumptions!$F$4-Assumptions!$D$4)/3.29)*44</f>
        <v>1207977.2136349787</v>
      </c>
      <c r="C242" s="6">
        <f ca="1">_xlfn.NORM.INV(RAND(),AVERAGE(Assumptions!$D$5,Assumptions!$F$5),(Assumptions!$F$5-Assumptions!$D$5)/3.29)*44</f>
        <v>1874130.5813078801</v>
      </c>
      <c r="D242" s="9">
        <f ca="1">_xlfn.NORM.INV(RAND(),AVERAGE(Assumptions!$D$6,Assumptions!$F$6),(Assumptions!$F$6-Assumptions!$D$6)/3.29)*RANDBETWEEN(2,5)</f>
        <v>3146269.6226232629</v>
      </c>
      <c r="E242" s="12">
        <f ca="1">_xlfn.NORM.INV(RAND(),AVERAGE(Assumptions!$D$17,Assumptions!$F$17),(Assumptions!$F$17-Assumptions!$D$17)/3.29)*8</f>
        <v>841597.17396360193</v>
      </c>
      <c r="F242" s="15">
        <f ca="1">_xlfn.NORM.INV(RAND(),AVERAGE(Assumptions!$D$7,Assumptions!$F$7),(Assumptions!$F$7-Assumptions!$D$7)/3.29)*RANDBETWEEN(1,3)</f>
        <v>3100794.430385083</v>
      </c>
      <c r="G242" s="3">
        <f ca="1">_xlfn.NORM.INV(RAND(),AVERAGE(Assumptions!$D$8,Assumptions!$F$8),(Assumptions!$F$8-Assumptions!$D$8)/3.29)*44</f>
        <v>1186706.3384675032</v>
      </c>
      <c r="H242" s="6">
        <f ca="1">_xlfn.NORM.INV(RAND(),AVERAGE(Assumptions!$D$9,Assumptions!$F$9),(Assumptions!$F$9-Assumptions!$D$9)/3.29)*21</f>
        <v>6605222.5808891729</v>
      </c>
      <c r="I242" s="9">
        <f ca="1">_xlfn.NORM.INV(RAND(),AVERAGE(Assumptions!$D$10,Assumptions!$F$10),(Assumptions!$F$10-Assumptions!$D$10)/3.29)*21</f>
        <v>895127.42811108555</v>
      </c>
      <c r="J242" s="12">
        <f ca="1">NORMINV(RAND(),AVERAGE(Assumptions!$D$11,Assumptions!$F$11),(Assumptions!$F$11-Assumptions!$D$11)/3.29)*44</f>
        <v>3461828.0510991379</v>
      </c>
      <c r="K242" s="15">
        <f ca="1">_xlfn.NORM.INV(RAND(),AVERAGE(Assumptions!$D$12,Assumptions!$F$12),(Assumptions!$F$12-Assumptions!$D$12)/3.29)*44</f>
        <v>6698178.0430446314</v>
      </c>
      <c r="L242" s="3">
        <f ca="1">_xlfn.NORM.INV(RAND(),AVERAGE(Assumptions!$D$13,Assumptions!$F$13),(Assumptions!$F$13-Assumptions!$D$13)/3.29)*44</f>
        <v>4523400.4289555904</v>
      </c>
      <c r="M242" s="6">
        <f ca="1">_xlfn.NORM.INV(RAND(),AVERAGE(Assumptions!$D$14,Assumptions!$F$14),(Assumptions!$F$14-Assumptions!$D$14)/3.29)*44</f>
        <v>5941587.1864727074</v>
      </c>
      <c r="N242" s="9">
        <f ca="1">_xlfn.NORM.INV(RAND(),AVERAGE(Assumptions!$D$16,Assumptions!$F$16),(Assumptions!$F$16-Assumptions!$D$16)/3.29)*44</f>
        <v>19817200.837049361</v>
      </c>
      <c r="O242" s="12">
        <f ca="1">_xlfn.NORM.INV(RAND(),AVERAGE(Assumptions!$D$15,Assumptions!$F$15),(Assumptions!$F$15-Assumptions!$D$15)/3.29)*44</f>
        <v>94135962.662434191</v>
      </c>
      <c r="P242" s="15">
        <f>Assumptions!$D$18</f>
        <v>14641750.345627395</v>
      </c>
      <c r="Q242" s="3">
        <f t="shared" ca="1" si="6"/>
        <v>34835942.746430211</v>
      </c>
      <c r="R242" s="6">
        <f t="shared" ca="1" si="7"/>
        <v>49477693.092057608</v>
      </c>
    </row>
    <row r="243" spans="1:18">
      <c r="A243" s="20">
        <v>242</v>
      </c>
      <c r="B243" s="3">
        <f ca="1">_xlfn.NORM.INV(RAND(),AVERAGE(Assumptions!$D$4,Assumptions!$F$4),(Assumptions!$F$4-Assumptions!$D$4)/3.29)*44</f>
        <v>1273837.3799287407</v>
      </c>
      <c r="C243" s="6">
        <f ca="1">_xlfn.NORM.INV(RAND(),AVERAGE(Assumptions!$D$5,Assumptions!$F$5),(Assumptions!$F$5-Assumptions!$D$5)/3.29)*44</f>
        <v>1872677.0961121896</v>
      </c>
      <c r="D243" s="9">
        <f ca="1">_xlfn.NORM.INV(RAND(),AVERAGE(Assumptions!$D$6,Assumptions!$F$6),(Assumptions!$F$6-Assumptions!$D$6)/3.29)*RANDBETWEEN(2,5)</f>
        <v>2943209.1364727262</v>
      </c>
      <c r="E243" s="12">
        <f ca="1">_xlfn.NORM.INV(RAND(),AVERAGE(Assumptions!$D$17,Assumptions!$F$17),(Assumptions!$F$17-Assumptions!$D$17)/3.29)*8</f>
        <v>963237.99821882288</v>
      </c>
      <c r="F243" s="15">
        <f ca="1">_xlfn.NORM.INV(RAND(),AVERAGE(Assumptions!$D$7,Assumptions!$F$7),(Assumptions!$F$7-Assumptions!$D$7)/3.29)*RANDBETWEEN(1,3)</f>
        <v>3605153.733786318</v>
      </c>
      <c r="G243" s="3">
        <f ca="1">_xlfn.NORM.INV(RAND(),AVERAGE(Assumptions!$D$8,Assumptions!$F$8),(Assumptions!$F$8-Assumptions!$D$8)/3.29)*44</f>
        <v>899471.19315279438</v>
      </c>
      <c r="H243" s="6">
        <f ca="1">_xlfn.NORM.INV(RAND(),AVERAGE(Assumptions!$D$9,Assumptions!$F$9),(Assumptions!$F$9-Assumptions!$D$9)/3.29)*21</f>
        <v>5284090.6545559727</v>
      </c>
      <c r="I243" s="9">
        <f ca="1">_xlfn.NORM.INV(RAND(),AVERAGE(Assumptions!$D$10,Assumptions!$F$10),(Assumptions!$F$10-Assumptions!$D$10)/3.29)*21</f>
        <v>966140.01277843432</v>
      </c>
      <c r="J243" s="12">
        <f ca="1">NORMINV(RAND(),AVERAGE(Assumptions!$D$11,Assumptions!$F$11),(Assumptions!$F$11-Assumptions!$D$11)/3.29)*44</f>
        <v>3817028.1511353264</v>
      </c>
      <c r="K243" s="15">
        <f ca="1">_xlfn.NORM.INV(RAND(),AVERAGE(Assumptions!$D$12,Assumptions!$F$12),(Assumptions!$F$12-Assumptions!$D$12)/3.29)*44</f>
        <v>10202536.872269288</v>
      </c>
      <c r="L243" s="3">
        <f ca="1">_xlfn.NORM.INV(RAND(),AVERAGE(Assumptions!$D$13,Assumptions!$F$13),(Assumptions!$F$13-Assumptions!$D$13)/3.29)*44</f>
        <v>7294544.1666279715</v>
      </c>
      <c r="M243" s="6">
        <f ca="1">_xlfn.NORM.INV(RAND(),AVERAGE(Assumptions!$D$14,Assumptions!$F$14),(Assumptions!$F$14-Assumptions!$D$14)/3.29)*44</f>
        <v>5728856.6501252577</v>
      </c>
      <c r="N243" s="9">
        <f ca="1">_xlfn.NORM.INV(RAND(),AVERAGE(Assumptions!$D$16,Assumptions!$F$16),(Assumptions!$F$16-Assumptions!$D$16)/3.29)*44</f>
        <v>13020185.347699843</v>
      </c>
      <c r="O243" s="12">
        <f ca="1">_xlfn.NORM.INV(RAND(),AVERAGE(Assumptions!$D$15,Assumptions!$F$15),(Assumptions!$F$15-Assumptions!$D$15)/3.29)*44</f>
        <v>203527190.61720347</v>
      </c>
      <c r="P243" s="15">
        <f>Assumptions!$D$18</f>
        <v>14641750.345627395</v>
      </c>
      <c r="Q243" s="3">
        <f t="shared" ca="1" si="6"/>
        <v>145656222.22433978</v>
      </c>
      <c r="R243" s="6">
        <f t="shared" ca="1" si="7"/>
        <v>160297972.56996718</v>
      </c>
    </row>
    <row r="244" spans="1:18">
      <c r="A244" s="20">
        <v>243</v>
      </c>
      <c r="B244" s="3">
        <f ca="1">_xlfn.NORM.INV(RAND(),AVERAGE(Assumptions!$D$4,Assumptions!$F$4),(Assumptions!$F$4-Assumptions!$D$4)/3.29)*44</f>
        <v>1205116.7840342661</v>
      </c>
      <c r="C244" s="6">
        <f ca="1">_xlfn.NORM.INV(RAND(),AVERAGE(Assumptions!$D$5,Assumptions!$F$5),(Assumptions!$F$5-Assumptions!$D$5)/3.29)*44</f>
        <v>1710431.7315179715</v>
      </c>
      <c r="D244" s="9">
        <f ca="1">_xlfn.NORM.INV(RAND(),AVERAGE(Assumptions!$D$6,Assumptions!$F$6),(Assumptions!$F$6-Assumptions!$D$6)/3.29)*RANDBETWEEN(2,5)</f>
        <v>5834424.5213258546</v>
      </c>
      <c r="E244" s="12">
        <f ca="1">_xlfn.NORM.INV(RAND(),AVERAGE(Assumptions!$D$17,Assumptions!$F$17),(Assumptions!$F$17-Assumptions!$D$17)/3.29)*8</f>
        <v>868506.05899231241</v>
      </c>
      <c r="F244" s="15">
        <f ca="1">_xlfn.NORM.INV(RAND(),AVERAGE(Assumptions!$D$7,Assumptions!$F$7),(Assumptions!$F$7-Assumptions!$D$7)/3.29)*RANDBETWEEN(1,3)</f>
        <v>5108169.3499595467</v>
      </c>
      <c r="G244" s="3">
        <f ca="1">_xlfn.NORM.INV(RAND(),AVERAGE(Assumptions!$D$8,Assumptions!$F$8),(Assumptions!$F$8-Assumptions!$D$8)/3.29)*44</f>
        <v>1479224.5232435232</v>
      </c>
      <c r="H244" s="6">
        <f ca="1">_xlfn.NORM.INV(RAND(),AVERAGE(Assumptions!$D$9,Assumptions!$F$9),(Assumptions!$F$9-Assumptions!$D$9)/3.29)*21</f>
        <v>5824641.8487887196</v>
      </c>
      <c r="I244" s="9">
        <f ca="1">_xlfn.NORM.INV(RAND(),AVERAGE(Assumptions!$D$10,Assumptions!$F$10),(Assumptions!$F$10-Assumptions!$D$10)/3.29)*21</f>
        <v>684805.62559499172</v>
      </c>
      <c r="J244" s="12">
        <f ca="1">NORMINV(RAND(),AVERAGE(Assumptions!$D$11,Assumptions!$F$11),(Assumptions!$F$11-Assumptions!$D$11)/3.29)*44</f>
        <v>3708181.6859669914</v>
      </c>
      <c r="K244" s="15">
        <f ca="1">_xlfn.NORM.INV(RAND(),AVERAGE(Assumptions!$D$12,Assumptions!$F$12),(Assumptions!$F$12-Assumptions!$D$12)/3.29)*44</f>
        <v>7142868.2063238826</v>
      </c>
      <c r="L244" s="3">
        <f ca="1">_xlfn.NORM.INV(RAND(),AVERAGE(Assumptions!$D$13,Assumptions!$F$13),(Assumptions!$F$13-Assumptions!$D$13)/3.29)*44</f>
        <v>7875000.6236321889</v>
      </c>
      <c r="M244" s="6">
        <f ca="1">_xlfn.NORM.INV(RAND(),AVERAGE(Assumptions!$D$14,Assumptions!$F$14),(Assumptions!$F$14-Assumptions!$D$14)/3.29)*44</f>
        <v>4332185.7568969391</v>
      </c>
      <c r="N244" s="9">
        <f ca="1">_xlfn.NORM.INV(RAND(),AVERAGE(Assumptions!$D$16,Assumptions!$F$16),(Assumptions!$F$16-Assumptions!$D$16)/3.29)*44</f>
        <v>9395743.9999785535</v>
      </c>
      <c r="O244" s="12">
        <f ca="1">_xlfn.NORM.INV(RAND(),AVERAGE(Assumptions!$D$15,Assumptions!$F$15),(Assumptions!$F$15-Assumptions!$D$15)/3.29)*44</f>
        <v>3429893.3312342614</v>
      </c>
      <c r="P244" s="15">
        <f>Assumptions!$D$18</f>
        <v>14641750.345627395</v>
      </c>
      <c r="Q244" s="3">
        <f t="shared" ca="1" si="6"/>
        <v>-51739407.385021493</v>
      </c>
      <c r="R244" s="6">
        <f t="shared" ca="1" si="7"/>
        <v>-37097657.039394096</v>
      </c>
    </row>
    <row r="245" spans="1:18">
      <c r="A245" s="20">
        <v>244</v>
      </c>
      <c r="B245" s="3">
        <f ca="1">_xlfn.NORM.INV(RAND(),AVERAGE(Assumptions!$D$4,Assumptions!$F$4),(Assumptions!$F$4-Assumptions!$D$4)/3.29)*44</f>
        <v>1175579.8022763173</v>
      </c>
      <c r="C245" s="6">
        <f ca="1">_xlfn.NORM.INV(RAND(),AVERAGE(Assumptions!$D$5,Assumptions!$F$5),(Assumptions!$F$5-Assumptions!$D$5)/3.29)*44</f>
        <v>1748721.6123936379</v>
      </c>
      <c r="D245" s="9">
        <f ca="1">_xlfn.NORM.INV(RAND(),AVERAGE(Assumptions!$D$6,Assumptions!$F$6),(Assumptions!$F$6-Assumptions!$D$6)/3.29)*RANDBETWEEN(2,5)</f>
        <v>4230753.8807015587</v>
      </c>
      <c r="E245" s="12">
        <f ca="1">_xlfn.NORM.INV(RAND(),AVERAGE(Assumptions!$D$17,Assumptions!$F$17),(Assumptions!$F$17-Assumptions!$D$17)/3.29)*8</f>
        <v>1003374.4772954241</v>
      </c>
      <c r="F245" s="15">
        <f ca="1">_xlfn.NORM.INV(RAND(),AVERAGE(Assumptions!$D$7,Assumptions!$F$7),(Assumptions!$F$7-Assumptions!$D$7)/3.29)*RANDBETWEEN(1,3)</f>
        <v>8224362.5514001986</v>
      </c>
      <c r="G245" s="3">
        <f ca="1">_xlfn.NORM.INV(RAND(),AVERAGE(Assumptions!$D$8,Assumptions!$F$8),(Assumptions!$F$8-Assumptions!$D$8)/3.29)*44</f>
        <v>1559070.3920215564</v>
      </c>
      <c r="H245" s="6">
        <f ca="1">_xlfn.NORM.INV(RAND(),AVERAGE(Assumptions!$D$9,Assumptions!$F$9),(Assumptions!$F$9-Assumptions!$D$9)/3.29)*21</f>
        <v>5294898.2959948033</v>
      </c>
      <c r="I245" s="9">
        <f ca="1">_xlfn.NORM.INV(RAND(),AVERAGE(Assumptions!$D$10,Assumptions!$F$10),(Assumptions!$F$10-Assumptions!$D$10)/3.29)*21</f>
        <v>770236.71673234098</v>
      </c>
      <c r="J245" s="12">
        <f ca="1">NORMINV(RAND(),AVERAGE(Assumptions!$D$11,Assumptions!$F$11),(Assumptions!$F$11-Assumptions!$D$11)/3.29)*44</f>
        <v>4239203.5612318646</v>
      </c>
      <c r="K245" s="15">
        <f ca="1">_xlfn.NORM.INV(RAND(),AVERAGE(Assumptions!$D$12,Assumptions!$F$12),(Assumptions!$F$12-Assumptions!$D$12)/3.29)*44</f>
        <v>7981869.477559573</v>
      </c>
      <c r="L245" s="3">
        <f ca="1">_xlfn.NORM.INV(RAND(),AVERAGE(Assumptions!$D$13,Assumptions!$F$13),(Assumptions!$F$13-Assumptions!$D$13)/3.29)*44</f>
        <v>18996657.704417173</v>
      </c>
      <c r="M245" s="6">
        <f ca="1">_xlfn.NORM.INV(RAND(),AVERAGE(Assumptions!$D$14,Assumptions!$F$14),(Assumptions!$F$14-Assumptions!$D$14)/3.29)*44</f>
        <v>4383189.9376934757</v>
      </c>
      <c r="N245" s="9">
        <f ca="1">_xlfn.NORM.INV(RAND(),AVERAGE(Assumptions!$D$16,Assumptions!$F$16),(Assumptions!$F$16-Assumptions!$D$16)/3.29)*44</f>
        <v>14024720.418409673</v>
      </c>
      <c r="O245" s="12">
        <f ca="1">_xlfn.NORM.INV(RAND(),AVERAGE(Assumptions!$D$15,Assumptions!$F$15),(Assumptions!$F$15-Assumptions!$D$15)/3.29)*44</f>
        <v>78153660.800090879</v>
      </c>
      <c r="P245" s="15">
        <f>Assumptions!$D$18</f>
        <v>14641750.345627395</v>
      </c>
      <c r="Q245" s="3">
        <f t="shared" ca="1" si="6"/>
        <v>4521021.9719632715</v>
      </c>
      <c r="R245" s="6">
        <f t="shared" ca="1" si="7"/>
        <v>19162772.317590669</v>
      </c>
    </row>
    <row r="246" spans="1:18">
      <c r="A246" s="20">
        <v>245</v>
      </c>
      <c r="B246" s="3">
        <f ca="1">_xlfn.NORM.INV(RAND(),AVERAGE(Assumptions!$D$4,Assumptions!$F$4),(Assumptions!$F$4-Assumptions!$D$4)/3.29)*44</f>
        <v>1251615.6051124404</v>
      </c>
      <c r="C246" s="6">
        <f ca="1">_xlfn.NORM.INV(RAND(),AVERAGE(Assumptions!$D$5,Assumptions!$F$5),(Assumptions!$F$5-Assumptions!$D$5)/3.29)*44</f>
        <v>2112218.4217907987</v>
      </c>
      <c r="D246" s="9">
        <f ca="1">_xlfn.NORM.INV(RAND(),AVERAGE(Assumptions!$D$6,Assumptions!$F$6),(Assumptions!$F$6-Assumptions!$D$6)/3.29)*RANDBETWEEN(2,5)</f>
        <v>3607347.2146505057</v>
      </c>
      <c r="E246" s="12">
        <f ca="1">_xlfn.NORM.INV(RAND(),AVERAGE(Assumptions!$D$17,Assumptions!$F$17),(Assumptions!$F$17-Assumptions!$D$17)/3.29)*8</f>
        <v>1273367.85038364</v>
      </c>
      <c r="F246" s="15">
        <f ca="1">_xlfn.NORM.INV(RAND(),AVERAGE(Assumptions!$D$7,Assumptions!$F$7),(Assumptions!$F$7-Assumptions!$D$7)/3.29)*RANDBETWEEN(1,3)</f>
        <v>7673962.3559511723</v>
      </c>
      <c r="G246" s="3">
        <f ca="1">_xlfn.NORM.INV(RAND(),AVERAGE(Assumptions!$D$8,Assumptions!$F$8),(Assumptions!$F$8-Assumptions!$D$8)/3.29)*44</f>
        <v>1143344.1910307123</v>
      </c>
      <c r="H246" s="6">
        <f ca="1">_xlfn.NORM.INV(RAND(),AVERAGE(Assumptions!$D$9,Assumptions!$F$9),(Assumptions!$F$9-Assumptions!$D$9)/3.29)*21</f>
        <v>5187240.3132735481</v>
      </c>
      <c r="I246" s="9">
        <f ca="1">_xlfn.NORM.INV(RAND(),AVERAGE(Assumptions!$D$10,Assumptions!$F$10),(Assumptions!$F$10-Assumptions!$D$10)/3.29)*21</f>
        <v>1054756.7524978509</v>
      </c>
      <c r="J246" s="12">
        <f ca="1">NORMINV(RAND(),AVERAGE(Assumptions!$D$11,Assumptions!$F$11),(Assumptions!$F$11-Assumptions!$D$11)/3.29)*44</f>
        <v>4541071.668177736</v>
      </c>
      <c r="K246" s="15">
        <f ca="1">_xlfn.NORM.INV(RAND(),AVERAGE(Assumptions!$D$12,Assumptions!$F$12),(Assumptions!$F$12-Assumptions!$D$12)/3.29)*44</f>
        <v>8689175.4120595679</v>
      </c>
      <c r="L246" s="3">
        <f ca="1">_xlfn.NORM.INV(RAND(),AVERAGE(Assumptions!$D$13,Assumptions!$F$13),(Assumptions!$F$13-Assumptions!$D$13)/3.29)*44</f>
        <v>20315161.473808147</v>
      </c>
      <c r="M246" s="6">
        <f ca="1">_xlfn.NORM.INV(RAND(),AVERAGE(Assumptions!$D$14,Assumptions!$F$14),(Assumptions!$F$14-Assumptions!$D$14)/3.29)*44</f>
        <v>4331927.6842953647</v>
      </c>
      <c r="N246" s="9">
        <f ca="1">_xlfn.NORM.INV(RAND(),AVERAGE(Assumptions!$D$16,Assumptions!$F$16),(Assumptions!$F$16-Assumptions!$D$16)/3.29)*44</f>
        <v>15322664.979187243</v>
      </c>
      <c r="O246" s="12">
        <f ca="1">_xlfn.NORM.INV(RAND(),AVERAGE(Assumptions!$D$15,Assumptions!$F$15),(Assumptions!$F$15-Assumptions!$D$15)/3.29)*44</f>
        <v>156266750.29430166</v>
      </c>
      <c r="P246" s="15">
        <f>Assumptions!$D$18</f>
        <v>14641750.345627395</v>
      </c>
      <c r="Q246" s="3">
        <f t="shared" ca="1" si="6"/>
        <v>79762896.372082934</v>
      </c>
      <c r="R246" s="6">
        <f t="shared" ca="1" si="7"/>
        <v>94404646.717710331</v>
      </c>
    </row>
    <row r="247" spans="1:18">
      <c r="A247" s="20">
        <v>246</v>
      </c>
      <c r="B247" s="3">
        <f ca="1">_xlfn.NORM.INV(RAND(),AVERAGE(Assumptions!$D$4,Assumptions!$F$4),(Assumptions!$F$4-Assumptions!$D$4)/3.29)*44</f>
        <v>1239687.9126406328</v>
      </c>
      <c r="C247" s="6">
        <f ca="1">_xlfn.NORM.INV(RAND(),AVERAGE(Assumptions!$D$5,Assumptions!$F$5),(Assumptions!$F$5-Assumptions!$D$5)/3.29)*44</f>
        <v>2186864.2186007323</v>
      </c>
      <c r="D247" s="9">
        <f ca="1">_xlfn.NORM.INV(RAND(),AVERAGE(Assumptions!$D$6,Assumptions!$F$6),(Assumptions!$F$6-Assumptions!$D$6)/3.29)*RANDBETWEEN(2,5)</f>
        <v>5490276.2033787081</v>
      </c>
      <c r="E247" s="12">
        <f ca="1">_xlfn.NORM.INV(RAND(),AVERAGE(Assumptions!$D$17,Assumptions!$F$17),(Assumptions!$F$17-Assumptions!$D$17)/3.29)*8</f>
        <v>909750.70655668806</v>
      </c>
      <c r="F247" s="15">
        <f ca="1">_xlfn.NORM.INV(RAND(),AVERAGE(Assumptions!$D$7,Assumptions!$F$7),(Assumptions!$F$7-Assumptions!$D$7)/3.29)*RANDBETWEEN(1,3)</f>
        <v>3336306.4858503384</v>
      </c>
      <c r="G247" s="3">
        <f ca="1">_xlfn.NORM.INV(RAND(),AVERAGE(Assumptions!$D$8,Assumptions!$F$8),(Assumptions!$F$8-Assumptions!$D$8)/3.29)*44</f>
        <v>941311.51201905916</v>
      </c>
      <c r="H247" s="6">
        <f ca="1">_xlfn.NORM.INV(RAND(),AVERAGE(Assumptions!$D$9,Assumptions!$F$9),(Assumptions!$F$9-Assumptions!$D$9)/3.29)*21</f>
        <v>4210166.9470112408</v>
      </c>
      <c r="I247" s="9">
        <f ca="1">_xlfn.NORM.INV(RAND(),AVERAGE(Assumptions!$D$10,Assumptions!$F$10),(Assumptions!$F$10-Assumptions!$D$10)/3.29)*21</f>
        <v>658360.06441513635</v>
      </c>
      <c r="J247" s="12">
        <f ca="1">NORMINV(RAND(),AVERAGE(Assumptions!$D$11,Assumptions!$F$11),(Assumptions!$F$11-Assumptions!$D$11)/3.29)*44</f>
        <v>5703568.582656431</v>
      </c>
      <c r="K247" s="15">
        <f ca="1">_xlfn.NORM.INV(RAND(),AVERAGE(Assumptions!$D$12,Assumptions!$F$12),(Assumptions!$F$12-Assumptions!$D$12)/3.29)*44</f>
        <v>9574701.8792515825</v>
      </c>
      <c r="L247" s="3">
        <f ca="1">_xlfn.NORM.INV(RAND(),AVERAGE(Assumptions!$D$13,Assumptions!$F$13),(Assumptions!$F$13-Assumptions!$D$13)/3.29)*44</f>
        <v>9268800.1222287454</v>
      </c>
      <c r="M247" s="6">
        <f ca="1">_xlfn.NORM.INV(RAND(),AVERAGE(Assumptions!$D$14,Assumptions!$F$14),(Assumptions!$F$14-Assumptions!$D$14)/3.29)*44</f>
        <v>4733639.3239418529</v>
      </c>
      <c r="N247" s="9">
        <f ca="1">_xlfn.NORM.INV(RAND(),AVERAGE(Assumptions!$D$16,Assumptions!$F$16),(Assumptions!$F$16-Assumptions!$D$16)/3.29)*44</f>
        <v>16081840.009386726</v>
      </c>
      <c r="O247" s="12">
        <f ca="1">_xlfn.NORM.INV(RAND(),AVERAGE(Assumptions!$D$15,Assumptions!$F$15),(Assumptions!$F$15-Assumptions!$D$15)/3.29)*44</f>
        <v>115410559.7072939</v>
      </c>
      <c r="P247" s="15">
        <f>Assumptions!$D$18</f>
        <v>14641750.345627395</v>
      </c>
      <c r="Q247" s="3">
        <f t="shared" ca="1" si="6"/>
        <v>51075285.739356026</v>
      </c>
      <c r="R247" s="6">
        <f t="shared" ca="1" si="7"/>
        <v>65717036.084983423</v>
      </c>
    </row>
    <row r="248" spans="1:18">
      <c r="A248" s="20">
        <v>247</v>
      </c>
      <c r="B248" s="3">
        <f ca="1">_xlfn.NORM.INV(RAND(),AVERAGE(Assumptions!$D$4,Assumptions!$F$4),(Assumptions!$F$4-Assumptions!$D$4)/3.29)*44</f>
        <v>1275807.2365015496</v>
      </c>
      <c r="C248" s="6">
        <f ca="1">_xlfn.NORM.INV(RAND(),AVERAGE(Assumptions!$D$5,Assumptions!$F$5),(Assumptions!$F$5-Assumptions!$D$5)/3.29)*44</f>
        <v>2159068.7681657844</v>
      </c>
      <c r="D248" s="9">
        <f ca="1">_xlfn.NORM.INV(RAND(),AVERAGE(Assumptions!$D$6,Assumptions!$F$6),(Assumptions!$F$6-Assumptions!$D$6)/3.29)*RANDBETWEEN(2,5)</f>
        <v>3643993.8506395104</v>
      </c>
      <c r="E248" s="12">
        <f ca="1">_xlfn.NORM.INV(RAND(),AVERAGE(Assumptions!$D$17,Assumptions!$F$17),(Assumptions!$F$17-Assumptions!$D$17)/3.29)*8</f>
        <v>999248.13940013538</v>
      </c>
      <c r="F248" s="15">
        <f ca="1">_xlfn.NORM.INV(RAND(),AVERAGE(Assumptions!$D$7,Assumptions!$F$7),(Assumptions!$F$7-Assumptions!$D$7)/3.29)*RANDBETWEEN(1,3)</f>
        <v>5413780.3195945816</v>
      </c>
      <c r="G248" s="3">
        <f ca="1">_xlfn.NORM.INV(RAND(),AVERAGE(Assumptions!$D$8,Assumptions!$F$8),(Assumptions!$F$8-Assumptions!$D$8)/3.29)*44</f>
        <v>1368718.9170599924</v>
      </c>
      <c r="H248" s="6">
        <f ca="1">_xlfn.NORM.INV(RAND(),AVERAGE(Assumptions!$D$9,Assumptions!$F$9),(Assumptions!$F$9-Assumptions!$D$9)/3.29)*21</f>
        <v>4222491.5971430922</v>
      </c>
      <c r="I248" s="9">
        <f ca="1">_xlfn.NORM.INV(RAND(),AVERAGE(Assumptions!$D$10,Assumptions!$F$10),(Assumptions!$F$10-Assumptions!$D$10)/3.29)*21</f>
        <v>1159377.8954575749</v>
      </c>
      <c r="J248" s="12">
        <f ca="1">NORMINV(RAND(),AVERAGE(Assumptions!$D$11,Assumptions!$F$11),(Assumptions!$F$11-Assumptions!$D$11)/3.29)*44</f>
        <v>1821029.1850567106</v>
      </c>
      <c r="K248" s="15">
        <f ca="1">_xlfn.NORM.INV(RAND(),AVERAGE(Assumptions!$D$12,Assumptions!$F$12),(Assumptions!$F$12-Assumptions!$D$12)/3.29)*44</f>
        <v>8046400.4610642102</v>
      </c>
      <c r="L248" s="3">
        <f ca="1">_xlfn.NORM.INV(RAND(),AVERAGE(Assumptions!$D$13,Assumptions!$F$13),(Assumptions!$F$13-Assumptions!$D$13)/3.29)*44</f>
        <v>13495932.908022128</v>
      </c>
      <c r="M248" s="6">
        <f ca="1">_xlfn.NORM.INV(RAND(),AVERAGE(Assumptions!$D$14,Assumptions!$F$14),(Assumptions!$F$14-Assumptions!$D$14)/3.29)*44</f>
        <v>8954733.2817255445</v>
      </c>
      <c r="N248" s="9">
        <f ca="1">_xlfn.NORM.INV(RAND(),AVERAGE(Assumptions!$D$16,Assumptions!$F$16),(Assumptions!$F$16-Assumptions!$D$16)/3.29)*44</f>
        <v>16656879.000523442</v>
      </c>
      <c r="O248" s="12">
        <f ca="1">_xlfn.NORM.INV(RAND(),AVERAGE(Assumptions!$D$15,Assumptions!$F$15),(Assumptions!$F$15-Assumptions!$D$15)/3.29)*44</f>
        <v>903254.94750915654</v>
      </c>
      <c r="P248" s="15">
        <f>Assumptions!$D$18</f>
        <v>14641750.345627395</v>
      </c>
      <c r="Q248" s="3">
        <f t="shared" ca="1" si="6"/>
        <v>-68314206.612845108</v>
      </c>
      <c r="R248" s="6">
        <f t="shared" ca="1" si="7"/>
        <v>-53672456.267217711</v>
      </c>
    </row>
    <row r="249" spans="1:18">
      <c r="A249" s="20">
        <v>248</v>
      </c>
      <c r="B249" s="3">
        <f ca="1">_xlfn.NORM.INV(RAND(),AVERAGE(Assumptions!$D$4,Assumptions!$F$4),(Assumptions!$F$4-Assumptions!$D$4)/3.29)*44</f>
        <v>1123969.923453188</v>
      </c>
      <c r="C249" s="6">
        <f ca="1">_xlfn.NORM.INV(RAND(),AVERAGE(Assumptions!$D$5,Assumptions!$F$5),(Assumptions!$F$5-Assumptions!$D$5)/3.29)*44</f>
        <v>1782780.0919117411</v>
      </c>
      <c r="D249" s="9">
        <f ca="1">_xlfn.NORM.INV(RAND(),AVERAGE(Assumptions!$D$6,Assumptions!$F$6),(Assumptions!$F$6-Assumptions!$D$6)/3.29)*RANDBETWEEN(2,5)</f>
        <v>6206296.9609650495</v>
      </c>
      <c r="E249" s="12">
        <f ca="1">_xlfn.NORM.INV(RAND(),AVERAGE(Assumptions!$D$17,Assumptions!$F$17),(Assumptions!$F$17-Assumptions!$D$17)/3.29)*8</f>
        <v>1176654.6833304882</v>
      </c>
      <c r="F249" s="15">
        <f ca="1">_xlfn.NORM.INV(RAND(),AVERAGE(Assumptions!$D$7,Assumptions!$F$7),(Assumptions!$F$7-Assumptions!$D$7)/3.29)*RANDBETWEEN(1,3)</f>
        <v>5393895.036090387</v>
      </c>
      <c r="G249" s="3">
        <f ca="1">_xlfn.NORM.INV(RAND(),AVERAGE(Assumptions!$D$8,Assumptions!$F$8),(Assumptions!$F$8-Assumptions!$D$8)/3.29)*44</f>
        <v>1370893.9166357743</v>
      </c>
      <c r="H249" s="6">
        <f ca="1">_xlfn.NORM.INV(RAND(),AVERAGE(Assumptions!$D$9,Assumptions!$F$9),(Assumptions!$F$9-Assumptions!$D$9)/3.29)*21</f>
        <v>6100042.1860686764</v>
      </c>
      <c r="I249" s="9">
        <f ca="1">_xlfn.NORM.INV(RAND(),AVERAGE(Assumptions!$D$10,Assumptions!$F$10),(Assumptions!$F$10-Assumptions!$D$10)/3.29)*21</f>
        <v>945455.79256396415</v>
      </c>
      <c r="J249" s="12">
        <f ca="1">NORMINV(RAND(),AVERAGE(Assumptions!$D$11,Assumptions!$F$11),(Assumptions!$F$11-Assumptions!$D$11)/3.29)*44</f>
        <v>2805563.876290177</v>
      </c>
      <c r="K249" s="15">
        <f ca="1">_xlfn.NORM.INV(RAND(),AVERAGE(Assumptions!$D$12,Assumptions!$F$12),(Assumptions!$F$12-Assumptions!$D$12)/3.29)*44</f>
        <v>9923983.8446733207</v>
      </c>
      <c r="L249" s="3">
        <f ca="1">_xlfn.NORM.INV(RAND(),AVERAGE(Assumptions!$D$13,Assumptions!$F$13),(Assumptions!$F$13-Assumptions!$D$13)/3.29)*44</f>
        <v>7258860.1391566023</v>
      </c>
      <c r="M249" s="6">
        <f ca="1">_xlfn.NORM.INV(RAND(),AVERAGE(Assumptions!$D$14,Assumptions!$F$14),(Assumptions!$F$14-Assumptions!$D$14)/3.29)*44</f>
        <v>6404978.0214713356</v>
      </c>
      <c r="N249" s="9">
        <f ca="1">_xlfn.NORM.INV(RAND(),AVERAGE(Assumptions!$D$16,Assumptions!$F$16),(Assumptions!$F$16-Assumptions!$D$16)/3.29)*44</f>
        <v>10874207.796193229</v>
      </c>
      <c r="O249" s="12">
        <f ca="1">_xlfn.NORM.INV(RAND(),AVERAGE(Assumptions!$D$15,Assumptions!$F$15),(Assumptions!$F$15-Assumptions!$D$15)/3.29)*44</f>
        <v>109866462.9345841</v>
      </c>
      <c r="P249" s="15">
        <f>Assumptions!$D$18</f>
        <v>14641750.345627395</v>
      </c>
      <c r="Q249" s="3">
        <f t="shared" ca="1" si="6"/>
        <v>48498880.665780164</v>
      </c>
      <c r="R249" s="6">
        <f t="shared" ca="1" si="7"/>
        <v>63140631.011407562</v>
      </c>
    </row>
    <row r="250" spans="1:18">
      <c r="A250" s="20">
        <v>249</v>
      </c>
      <c r="B250" s="3">
        <f ca="1">_xlfn.NORM.INV(RAND(),AVERAGE(Assumptions!$D$4,Assumptions!$F$4),(Assumptions!$F$4-Assumptions!$D$4)/3.29)*44</f>
        <v>1149595.6469539232</v>
      </c>
      <c r="C250" s="6">
        <f ca="1">_xlfn.NORM.INV(RAND(),AVERAGE(Assumptions!$D$5,Assumptions!$F$5),(Assumptions!$F$5-Assumptions!$D$5)/3.29)*44</f>
        <v>1897223.0325981714</v>
      </c>
      <c r="D250" s="9">
        <f ca="1">_xlfn.NORM.INV(RAND(),AVERAGE(Assumptions!$D$6,Assumptions!$F$6),(Assumptions!$F$6-Assumptions!$D$6)/3.29)*RANDBETWEEN(2,5)</f>
        <v>1792079.5190841625</v>
      </c>
      <c r="E250" s="12">
        <f ca="1">_xlfn.NORM.INV(RAND(),AVERAGE(Assumptions!$D$17,Assumptions!$F$17),(Assumptions!$F$17-Assumptions!$D$17)/3.29)*8</f>
        <v>1119408.566331672</v>
      </c>
      <c r="F250" s="15">
        <f ca="1">_xlfn.NORM.INV(RAND(),AVERAGE(Assumptions!$D$7,Assumptions!$F$7),(Assumptions!$F$7-Assumptions!$D$7)/3.29)*RANDBETWEEN(1,3)</f>
        <v>2086560.7693712143</v>
      </c>
      <c r="G250" s="3">
        <f ca="1">_xlfn.NORM.INV(RAND(),AVERAGE(Assumptions!$D$8,Assumptions!$F$8),(Assumptions!$F$8-Assumptions!$D$8)/3.29)*44</f>
        <v>1588054.2264829199</v>
      </c>
      <c r="H250" s="6">
        <f ca="1">_xlfn.NORM.INV(RAND(),AVERAGE(Assumptions!$D$9,Assumptions!$F$9),(Assumptions!$F$9-Assumptions!$D$9)/3.29)*21</f>
        <v>4988397.9735566713</v>
      </c>
      <c r="I250" s="9">
        <f ca="1">_xlfn.NORM.INV(RAND(),AVERAGE(Assumptions!$D$10,Assumptions!$F$10),(Assumptions!$F$10-Assumptions!$D$10)/3.29)*21</f>
        <v>1050998.3351779277</v>
      </c>
      <c r="J250" s="12">
        <f ca="1">NORMINV(RAND(),AVERAGE(Assumptions!$D$11,Assumptions!$F$11),(Assumptions!$F$11-Assumptions!$D$11)/3.29)*44</f>
        <v>4399763.0631871736</v>
      </c>
      <c r="K250" s="15">
        <f ca="1">_xlfn.NORM.INV(RAND(),AVERAGE(Assumptions!$D$12,Assumptions!$F$12),(Assumptions!$F$12-Assumptions!$D$12)/3.29)*44</f>
        <v>7609664.8782634512</v>
      </c>
      <c r="L250" s="3">
        <f ca="1">_xlfn.NORM.INV(RAND(),AVERAGE(Assumptions!$D$13,Assumptions!$F$13),(Assumptions!$F$13-Assumptions!$D$13)/3.29)*44</f>
        <v>6943577.6097713718</v>
      </c>
      <c r="M250" s="6">
        <f ca="1">_xlfn.NORM.INV(RAND(),AVERAGE(Assumptions!$D$14,Assumptions!$F$14),(Assumptions!$F$14-Assumptions!$D$14)/3.29)*44</f>
        <v>5697855.0594375953</v>
      </c>
      <c r="N250" s="9">
        <f ca="1">_xlfn.NORM.INV(RAND(),AVERAGE(Assumptions!$D$16,Assumptions!$F$16),(Assumptions!$F$16-Assumptions!$D$16)/3.29)*44</f>
        <v>11678994.588905891</v>
      </c>
      <c r="O250" s="12">
        <f ca="1">_xlfn.NORM.INV(RAND(),AVERAGE(Assumptions!$D$15,Assumptions!$F$15),(Assumptions!$F$15-Assumptions!$D$15)/3.29)*44</f>
        <v>128340259.13158578</v>
      </c>
      <c r="P250" s="15">
        <f>Assumptions!$D$18</f>
        <v>14641750.345627395</v>
      </c>
      <c r="Q250" s="3">
        <f t="shared" ca="1" si="6"/>
        <v>76338085.862463623</v>
      </c>
      <c r="R250" s="6">
        <f t="shared" ca="1" si="7"/>
        <v>90979836.208091021</v>
      </c>
    </row>
    <row r="251" spans="1:18">
      <c r="A251" s="20">
        <v>250</v>
      </c>
      <c r="B251" s="3">
        <f ca="1">_xlfn.NORM.INV(RAND(),AVERAGE(Assumptions!$D$4,Assumptions!$F$4),(Assumptions!$F$4-Assumptions!$D$4)/3.29)*44</f>
        <v>1164028.579767877</v>
      </c>
      <c r="C251" s="6">
        <f ca="1">_xlfn.NORM.INV(RAND(),AVERAGE(Assumptions!$D$5,Assumptions!$F$5),(Assumptions!$F$5-Assumptions!$D$5)/3.29)*44</f>
        <v>1845002.3411897265</v>
      </c>
      <c r="D251" s="9">
        <f ca="1">_xlfn.NORM.INV(RAND(),AVERAGE(Assumptions!$D$6,Assumptions!$F$6),(Assumptions!$F$6-Assumptions!$D$6)/3.29)*RANDBETWEEN(2,5)</f>
        <v>4486901.6857973589</v>
      </c>
      <c r="E251" s="12">
        <f ca="1">_xlfn.NORM.INV(RAND(),AVERAGE(Assumptions!$D$17,Assumptions!$F$17),(Assumptions!$F$17-Assumptions!$D$17)/3.29)*8</f>
        <v>851178.2435966247</v>
      </c>
      <c r="F251" s="15">
        <f ca="1">_xlfn.NORM.INV(RAND(),AVERAGE(Assumptions!$D$7,Assumptions!$F$7),(Assumptions!$F$7-Assumptions!$D$7)/3.29)*RANDBETWEEN(1,3)</f>
        <v>9168480.7367625423</v>
      </c>
      <c r="G251" s="3">
        <f ca="1">_xlfn.NORM.INV(RAND(),AVERAGE(Assumptions!$D$8,Assumptions!$F$8),(Assumptions!$F$8-Assumptions!$D$8)/3.29)*44</f>
        <v>1560334.3095595699</v>
      </c>
      <c r="H251" s="6">
        <f ca="1">_xlfn.NORM.INV(RAND(),AVERAGE(Assumptions!$D$9,Assumptions!$F$9),(Assumptions!$F$9-Assumptions!$D$9)/3.29)*21</f>
        <v>2374915.6865940862</v>
      </c>
      <c r="I251" s="9">
        <f ca="1">_xlfn.NORM.INV(RAND(),AVERAGE(Assumptions!$D$10,Assumptions!$F$10),(Assumptions!$F$10-Assumptions!$D$10)/3.29)*21</f>
        <v>1090759.8984956846</v>
      </c>
      <c r="J251" s="12">
        <f ca="1">NORMINV(RAND(),AVERAGE(Assumptions!$D$11,Assumptions!$F$11),(Assumptions!$F$11-Assumptions!$D$11)/3.29)*44</f>
        <v>3155086.8138004583</v>
      </c>
      <c r="K251" s="15">
        <f ca="1">_xlfn.NORM.INV(RAND(),AVERAGE(Assumptions!$D$12,Assumptions!$F$12),(Assumptions!$F$12-Assumptions!$D$12)/3.29)*44</f>
        <v>5473664.9418638311</v>
      </c>
      <c r="L251" s="3">
        <f ca="1">_xlfn.NORM.INV(RAND(),AVERAGE(Assumptions!$D$13,Assumptions!$F$13),(Assumptions!$F$13-Assumptions!$D$13)/3.29)*44</f>
        <v>10779644.742862733</v>
      </c>
      <c r="M251" s="6">
        <f ca="1">_xlfn.NORM.INV(RAND(),AVERAGE(Assumptions!$D$14,Assumptions!$F$14),(Assumptions!$F$14-Assumptions!$D$14)/3.29)*44</f>
        <v>6442764.0316715455</v>
      </c>
      <c r="N251" s="9">
        <f ca="1">_xlfn.NORM.INV(RAND(),AVERAGE(Assumptions!$D$16,Assumptions!$F$16),(Assumptions!$F$16-Assumptions!$D$16)/3.29)*44</f>
        <v>14331488.105301257</v>
      </c>
      <c r="O251" s="12">
        <f ca="1">_xlfn.NORM.INV(RAND(),AVERAGE(Assumptions!$D$15,Assumptions!$F$15),(Assumptions!$F$15-Assumptions!$D$15)/3.29)*44</f>
        <v>200490601.80504182</v>
      </c>
      <c r="P251" s="15">
        <f>Assumptions!$D$18</f>
        <v>14641750.345627395</v>
      </c>
      <c r="Q251" s="3">
        <f t="shared" ca="1" si="6"/>
        <v>137766351.68777853</v>
      </c>
      <c r="R251" s="6">
        <f t="shared" ca="1" si="7"/>
        <v>152408102.03340593</v>
      </c>
    </row>
    <row r="252" spans="1:18">
      <c r="A252" s="20">
        <v>251</v>
      </c>
      <c r="B252" s="3">
        <f ca="1">_xlfn.NORM.INV(RAND(),AVERAGE(Assumptions!$D$4,Assumptions!$F$4),(Assumptions!$F$4-Assumptions!$D$4)/3.29)*44</f>
        <v>1219081.0359388967</v>
      </c>
      <c r="C252" s="6">
        <f ca="1">_xlfn.NORM.INV(RAND(),AVERAGE(Assumptions!$D$5,Assumptions!$F$5),(Assumptions!$F$5-Assumptions!$D$5)/3.29)*44</f>
        <v>1781007.9985323201</v>
      </c>
      <c r="D252" s="9">
        <f ca="1">_xlfn.NORM.INV(RAND(),AVERAGE(Assumptions!$D$6,Assumptions!$F$6),(Assumptions!$F$6-Assumptions!$D$6)/3.29)*RANDBETWEEN(2,5)</f>
        <v>4462821.1311613414</v>
      </c>
      <c r="E252" s="12">
        <f ca="1">_xlfn.NORM.INV(RAND(),AVERAGE(Assumptions!$D$17,Assumptions!$F$17),(Assumptions!$F$17-Assumptions!$D$17)/3.29)*8</f>
        <v>739534.80973030441</v>
      </c>
      <c r="F252" s="15">
        <f ca="1">_xlfn.NORM.INV(RAND(),AVERAGE(Assumptions!$D$7,Assumptions!$F$7),(Assumptions!$F$7-Assumptions!$D$7)/3.29)*RANDBETWEEN(1,3)</f>
        <v>6529659.6264109239</v>
      </c>
      <c r="G252" s="3">
        <f ca="1">_xlfn.NORM.INV(RAND(),AVERAGE(Assumptions!$D$8,Assumptions!$F$8),(Assumptions!$F$8-Assumptions!$D$8)/3.29)*44</f>
        <v>1049112.3555046509</v>
      </c>
      <c r="H252" s="6">
        <f ca="1">_xlfn.NORM.INV(RAND(),AVERAGE(Assumptions!$D$9,Assumptions!$F$9),(Assumptions!$F$9-Assumptions!$D$9)/3.29)*21</f>
        <v>6823409.7063875329</v>
      </c>
      <c r="I252" s="9">
        <f ca="1">_xlfn.NORM.INV(RAND(),AVERAGE(Assumptions!$D$10,Assumptions!$F$10),(Assumptions!$F$10-Assumptions!$D$10)/3.29)*21</f>
        <v>760974.69998184021</v>
      </c>
      <c r="J252" s="12">
        <f ca="1">NORMINV(RAND(),AVERAGE(Assumptions!$D$11,Assumptions!$F$11),(Assumptions!$F$11-Assumptions!$D$11)/3.29)*44</f>
        <v>2665167.0050397804</v>
      </c>
      <c r="K252" s="15">
        <f ca="1">_xlfn.NORM.INV(RAND(),AVERAGE(Assumptions!$D$12,Assumptions!$F$12),(Assumptions!$F$12-Assumptions!$D$12)/3.29)*44</f>
        <v>8143006.4682568284</v>
      </c>
      <c r="L252" s="3">
        <f ca="1">_xlfn.NORM.INV(RAND(),AVERAGE(Assumptions!$D$13,Assumptions!$F$13),(Assumptions!$F$13-Assumptions!$D$13)/3.29)*44</f>
        <v>17577561.71872931</v>
      </c>
      <c r="M252" s="6">
        <f ca="1">_xlfn.NORM.INV(RAND(),AVERAGE(Assumptions!$D$14,Assumptions!$F$14),(Assumptions!$F$14-Assumptions!$D$14)/3.29)*44</f>
        <v>6567385.9146631006</v>
      </c>
      <c r="N252" s="9">
        <f ca="1">_xlfn.NORM.INV(RAND(),AVERAGE(Assumptions!$D$16,Assumptions!$F$16),(Assumptions!$F$16-Assumptions!$D$16)/3.29)*44</f>
        <v>11381177.916471966</v>
      </c>
      <c r="O252" s="12">
        <f ca="1">_xlfn.NORM.INV(RAND(),AVERAGE(Assumptions!$D$15,Assumptions!$F$15),(Assumptions!$F$15-Assumptions!$D$15)/3.29)*44</f>
        <v>123780442.91075857</v>
      </c>
      <c r="P252" s="15">
        <f>Assumptions!$D$18</f>
        <v>14641750.345627395</v>
      </c>
      <c r="Q252" s="3">
        <f t="shared" ca="1" si="6"/>
        <v>54080542.523949772</v>
      </c>
      <c r="R252" s="6">
        <f t="shared" ca="1" si="7"/>
        <v>68722292.869577169</v>
      </c>
    </row>
    <row r="253" spans="1:18">
      <c r="A253" s="20">
        <v>252</v>
      </c>
      <c r="B253" s="3">
        <f ca="1">_xlfn.NORM.INV(RAND(),AVERAGE(Assumptions!$D$4,Assumptions!$F$4),(Assumptions!$F$4-Assumptions!$D$4)/3.29)*44</f>
        <v>1203399.8962914431</v>
      </c>
      <c r="C253" s="6">
        <f ca="1">_xlfn.NORM.INV(RAND(),AVERAGE(Assumptions!$D$5,Assumptions!$F$5),(Assumptions!$F$5-Assumptions!$D$5)/3.29)*44</f>
        <v>2050898.8706716655</v>
      </c>
      <c r="D253" s="9">
        <f ca="1">_xlfn.NORM.INV(RAND(),AVERAGE(Assumptions!$D$6,Assumptions!$F$6),(Assumptions!$F$6-Assumptions!$D$6)/3.29)*RANDBETWEEN(2,5)</f>
        <v>4700246.943996625</v>
      </c>
      <c r="E253" s="12">
        <f ca="1">_xlfn.NORM.INV(RAND(),AVERAGE(Assumptions!$D$17,Assumptions!$F$17),(Assumptions!$F$17-Assumptions!$D$17)/3.29)*8</f>
        <v>931581.87034668669</v>
      </c>
      <c r="F253" s="15">
        <f ca="1">_xlfn.NORM.INV(RAND(),AVERAGE(Assumptions!$D$7,Assumptions!$F$7),(Assumptions!$F$7-Assumptions!$D$7)/3.29)*RANDBETWEEN(1,3)</f>
        <v>-377144.83613109309</v>
      </c>
      <c r="G253" s="3">
        <f ca="1">_xlfn.NORM.INV(RAND(),AVERAGE(Assumptions!$D$8,Assumptions!$F$8),(Assumptions!$F$8-Assumptions!$D$8)/3.29)*44</f>
        <v>1200721.6426904737</v>
      </c>
      <c r="H253" s="6">
        <f ca="1">_xlfn.NORM.INV(RAND(),AVERAGE(Assumptions!$D$9,Assumptions!$F$9),(Assumptions!$F$9-Assumptions!$D$9)/3.29)*21</f>
        <v>4050459.9765440607</v>
      </c>
      <c r="I253" s="9">
        <f ca="1">_xlfn.NORM.INV(RAND(),AVERAGE(Assumptions!$D$10,Assumptions!$F$10),(Assumptions!$F$10-Assumptions!$D$10)/3.29)*21</f>
        <v>1358753.6831756353</v>
      </c>
      <c r="J253" s="12">
        <f ca="1">NORMINV(RAND(),AVERAGE(Assumptions!$D$11,Assumptions!$F$11),(Assumptions!$F$11-Assumptions!$D$11)/3.29)*44</f>
        <v>3501365.1639144765</v>
      </c>
      <c r="K253" s="15">
        <f ca="1">_xlfn.NORM.INV(RAND(),AVERAGE(Assumptions!$D$12,Assumptions!$F$12),(Assumptions!$F$12-Assumptions!$D$12)/3.29)*44</f>
        <v>9417828.1456066556</v>
      </c>
      <c r="L253" s="3">
        <f ca="1">_xlfn.NORM.INV(RAND(),AVERAGE(Assumptions!$D$13,Assumptions!$F$13),(Assumptions!$F$13-Assumptions!$D$13)/3.29)*44</f>
        <v>11348031.569991278</v>
      </c>
      <c r="M253" s="6">
        <f ca="1">_xlfn.NORM.INV(RAND(),AVERAGE(Assumptions!$D$14,Assumptions!$F$14),(Assumptions!$F$14-Assumptions!$D$14)/3.29)*44</f>
        <v>5027567.7381426357</v>
      </c>
      <c r="N253" s="9">
        <f ca="1">_xlfn.NORM.INV(RAND(),AVERAGE(Assumptions!$D$16,Assumptions!$F$16),(Assumptions!$F$16-Assumptions!$D$16)/3.29)*44</f>
        <v>19437312.485823203</v>
      </c>
      <c r="O253" s="12">
        <f ca="1">_xlfn.NORM.INV(RAND(),AVERAGE(Assumptions!$D$15,Assumptions!$F$15),(Assumptions!$F$15-Assumptions!$D$15)/3.29)*44</f>
        <v>126508445.93201721</v>
      </c>
      <c r="P253" s="15">
        <f>Assumptions!$D$18</f>
        <v>14641750.345627395</v>
      </c>
      <c r="Q253" s="3">
        <f t="shared" ca="1" si="6"/>
        <v>62657422.780953459</v>
      </c>
      <c r="R253" s="6">
        <f t="shared" ca="1" si="7"/>
        <v>77299173.126580849</v>
      </c>
    </row>
    <row r="254" spans="1:18">
      <c r="A254" s="20">
        <v>253</v>
      </c>
      <c r="B254" s="3">
        <f ca="1">_xlfn.NORM.INV(RAND(),AVERAGE(Assumptions!$D$4,Assumptions!$F$4),(Assumptions!$F$4-Assumptions!$D$4)/3.29)*44</f>
        <v>1142985.6495098507</v>
      </c>
      <c r="C254" s="6">
        <f ca="1">_xlfn.NORM.INV(RAND(),AVERAGE(Assumptions!$D$5,Assumptions!$F$5),(Assumptions!$F$5-Assumptions!$D$5)/3.29)*44</f>
        <v>2098648.9114928725</v>
      </c>
      <c r="D254" s="9">
        <f ca="1">_xlfn.NORM.INV(RAND(),AVERAGE(Assumptions!$D$6,Assumptions!$F$6),(Assumptions!$F$6-Assumptions!$D$6)/3.29)*RANDBETWEEN(2,5)</f>
        <v>11727926.160546936</v>
      </c>
      <c r="E254" s="12">
        <f ca="1">_xlfn.NORM.INV(RAND(),AVERAGE(Assumptions!$D$17,Assumptions!$F$17),(Assumptions!$F$17-Assumptions!$D$17)/3.29)*8</f>
        <v>716870.34557159757</v>
      </c>
      <c r="F254" s="15">
        <f ca="1">_xlfn.NORM.INV(RAND(),AVERAGE(Assumptions!$D$7,Assumptions!$F$7),(Assumptions!$F$7-Assumptions!$D$7)/3.29)*RANDBETWEEN(1,3)</f>
        <v>2723943.7765182201</v>
      </c>
      <c r="G254" s="3">
        <f ca="1">_xlfn.NORM.INV(RAND(),AVERAGE(Assumptions!$D$8,Assumptions!$F$8),(Assumptions!$F$8-Assumptions!$D$8)/3.29)*44</f>
        <v>1225745.1875591809</v>
      </c>
      <c r="H254" s="6">
        <f ca="1">_xlfn.NORM.INV(RAND(),AVERAGE(Assumptions!$D$9,Assumptions!$F$9),(Assumptions!$F$9-Assumptions!$D$9)/3.29)*21</f>
        <v>5742557.7695775088</v>
      </c>
      <c r="I254" s="9">
        <f ca="1">_xlfn.NORM.INV(RAND(),AVERAGE(Assumptions!$D$10,Assumptions!$F$10),(Assumptions!$F$10-Assumptions!$D$10)/3.29)*21</f>
        <v>688089.87456010492</v>
      </c>
      <c r="J254" s="12">
        <f ca="1">NORMINV(RAND(),AVERAGE(Assumptions!$D$11,Assumptions!$F$11),(Assumptions!$F$11-Assumptions!$D$11)/3.29)*44</f>
        <v>1897497.9806429858</v>
      </c>
      <c r="K254" s="15">
        <f ca="1">_xlfn.NORM.INV(RAND(),AVERAGE(Assumptions!$D$12,Assumptions!$F$12),(Assumptions!$F$12-Assumptions!$D$12)/3.29)*44</f>
        <v>8064564.9583794298</v>
      </c>
      <c r="L254" s="3">
        <f ca="1">_xlfn.NORM.INV(RAND(),AVERAGE(Assumptions!$D$13,Assumptions!$F$13),(Assumptions!$F$13-Assumptions!$D$13)/3.29)*44</f>
        <v>12361554.272410594</v>
      </c>
      <c r="M254" s="6">
        <f ca="1">_xlfn.NORM.INV(RAND(),AVERAGE(Assumptions!$D$14,Assumptions!$F$14),(Assumptions!$F$14-Assumptions!$D$14)/3.29)*44</f>
        <v>7119727.7754665148</v>
      </c>
      <c r="N254" s="9">
        <f ca="1">_xlfn.NORM.INV(RAND(),AVERAGE(Assumptions!$D$16,Assumptions!$F$16),(Assumptions!$F$16-Assumptions!$D$16)/3.29)*44</f>
        <v>7984076.8057307303</v>
      </c>
      <c r="O254" s="12">
        <f ca="1">_xlfn.NORM.INV(RAND(),AVERAGE(Assumptions!$D$15,Assumptions!$F$15),(Assumptions!$F$15-Assumptions!$D$15)/3.29)*44</f>
        <v>101734349.96949667</v>
      </c>
      <c r="P254" s="15">
        <f>Assumptions!$D$18</f>
        <v>14641750.345627395</v>
      </c>
      <c r="Q254" s="3">
        <f t="shared" ca="1" si="6"/>
        <v>38240160.501530133</v>
      </c>
      <c r="R254" s="6">
        <f t="shared" ca="1" si="7"/>
        <v>52881910.84715753</v>
      </c>
    </row>
    <row r="255" spans="1:18">
      <c r="A255" s="20">
        <v>254</v>
      </c>
      <c r="B255" s="3">
        <f ca="1">_xlfn.NORM.INV(RAND(),AVERAGE(Assumptions!$D$4,Assumptions!$F$4),(Assumptions!$F$4-Assumptions!$D$4)/3.29)*44</f>
        <v>1107049.8099506996</v>
      </c>
      <c r="C255" s="6">
        <f ca="1">_xlfn.NORM.INV(RAND(),AVERAGE(Assumptions!$D$5,Assumptions!$F$5),(Assumptions!$F$5-Assumptions!$D$5)/3.29)*44</f>
        <v>1643263.8757316647</v>
      </c>
      <c r="D255" s="9">
        <f ca="1">_xlfn.NORM.INV(RAND(),AVERAGE(Assumptions!$D$6,Assumptions!$F$6),(Assumptions!$F$6-Assumptions!$D$6)/3.29)*RANDBETWEEN(2,5)</f>
        <v>3129445.4599123383</v>
      </c>
      <c r="E255" s="12">
        <f ca="1">_xlfn.NORM.INV(RAND(),AVERAGE(Assumptions!$D$17,Assumptions!$F$17),(Assumptions!$F$17-Assumptions!$D$17)/3.29)*8</f>
        <v>1056998.9367626086</v>
      </c>
      <c r="F255" s="15">
        <f ca="1">_xlfn.NORM.INV(RAND(),AVERAGE(Assumptions!$D$7,Assumptions!$F$7),(Assumptions!$F$7-Assumptions!$D$7)/3.29)*RANDBETWEEN(1,3)</f>
        <v>8236731.8233633693</v>
      </c>
      <c r="G255" s="3">
        <f ca="1">_xlfn.NORM.INV(RAND(),AVERAGE(Assumptions!$D$8,Assumptions!$F$8),(Assumptions!$F$8-Assumptions!$D$8)/3.29)*44</f>
        <v>1267805.6575099602</v>
      </c>
      <c r="H255" s="6">
        <f ca="1">_xlfn.NORM.INV(RAND(),AVERAGE(Assumptions!$D$9,Assumptions!$F$9),(Assumptions!$F$9-Assumptions!$D$9)/3.29)*21</f>
        <v>2740721.457832464</v>
      </c>
      <c r="I255" s="9">
        <f ca="1">_xlfn.NORM.INV(RAND(),AVERAGE(Assumptions!$D$10,Assumptions!$F$10),(Assumptions!$F$10-Assumptions!$D$10)/3.29)*21</f>
        <v>999048.88814391987</v>
      </c>
      <c r="J255" s="12">
        <f ca="1">NORMINV(RAND(),AVERAGE(Assumptions!$D$11,Assumptions!$F$11),(Assumptions!$F$11-Assumptions!$D$11)/3.29)*44</f>
        <v>3370215.4423236945</v>
      </c>
      <c r="K255" s="15">
        <f ca="1">_xlfn.NORM.INV(RAND(),AVERAGE(Assumptions!$D$12,Assumptions!$F$12),(Assumptions!$F$12-Assumptions!$D$12)/3.29)*44</f>
        <v>6902730.3583399998</v>
      </c>
      <c r="L255" s="3">
        <f ca="1">_xlfn.NORM.INV(RAND(),AVERAGE(Assumptions!$D$13,Assumptions!$F$13),(Assumptions!$F$13-Assumptions!$D$13)/3.29)*44</f>
        <v>25073503.960462525</v>
      </c>
      <c r="M255" s="6">
        <f ca="1">_xlfn.NORM.INV(RAND(),AVERAGE(Assumptions!$D$14,Assumptions!$F$14),(Assumptions!$F$14-Assumptions!$D$14)/3.29)*44</f>
        <v>6821234.3918546028</v>
      </c>
      <c r="N255" s="9">
        <f ca="1">_xlfn.NORM.INV(RAND(),AVERAGE(Assumptions!$D$16,Assumptions!$F$16),(Assumptions!$F$16-Assumptions!$D$16)/3.29)*44</f>
        <v>10420612.397168076</v>
      </c>
      <c r="O255" s="12">
        <f ca="1">_xlfn.NORM.INV(RAND(),AVERAGE(Assumptions!$D$15,Assumptions!$F$15),(Assumptions!$F$15-Assumptions!$D$15)/3.29)*44</f>
        <v>21273196.758462492</v>
      </c>
      <c r="P255" s="15">
        <f>Assumptions!$D$18</f>
        <v>14641750.345627395</v>
      </c>
      <c r="Q255" s="3">
        <f t="shared" ca="1" si="6"/>
        <v>-51496165.700893432</v>
      </c>
      <c r="R255" s="6">
        <f t="shared" ca="1" si="7"/>
        <v>-36854415.355266035</v>
      </c>
    </row>
    <row r="256" spans="1:18">
      <c r="A256" s="20">
        <v>255</v>
      </c>
      <c r="B256" s="3">
        <f ca="1">_xlfn.NORM.INV(RAND(),AVERAGE(Assumptions!$D$4,Assumptions!$F$4),(Assumptions!$F$4-Assumptions!$D$4)/3.29)*44</f>
        <v>1324211.532012596</v>
      </c>
      <c r="C256" s="6">
        <f ca="1">_xlfn.NORM.INV(RAND(),AVERAGE(Assumptions!$D$5,Assumptions!$F$5),(Assumptions!$F$5-Assumptions!$D$5)/3.29)*44</f>
        <v>1761810.6828175904</v>
      </c>
      <c r="D256" s="9">
        <f ca="1">_xlfn.NORM.INV(RAND(),AVERAGE(Assumptions!$D$6,Assumptions!$F$6),(Assumptions!$F$6-Assumptions!$D$6)/3.29)*RANDBETWEEN(2,5)</f>
        <v>4591899.2243973622</v>
      </c>
      <c r="E256" s="12">
        <f ca="1">_xlfn.NORM.INV(RAND(),AVERAGE(Assumptions!$D$17,Assumptions!$F$17),(Assumptions!$F$17-Assumptions!$D$17)/3.29)*8</f>
        <v>754029.99125774798</v>
      </c>
      <c r="F256" s="15">
        <f ca="1">_xlfn.NORM.INV(RAND(),AVERAGE(Assumptions!$D$7,Assumptions!$F$7),(Assumptions!$F$7-Assumptions!$D$7)/3.29)*RANDBETWEEN(1,3)</f>
        <v>5485432.8570548594</v>
      </c>
      <c r="G256" s="3">
        <f ca="1">_xlfn.NORM.INV(RAND(),AVERAGE(Assumptions!$D$8,Assumptions!$F$8),(Assumptions!$F$8-Assumptions!$D$8)/3.29)*44</f>
        <v>1334379.1470146272</v>
      </c>
      <c r="H256" s="6">
        <f ca="1">_xlfn.NORM.INV(RAND(),AVERAGE(Assumptions!$D$9,Assumptions!$F$9),(Assumptions!$F$9-Assumptions!$D$9)/3.29)*21</f>
        <v>5902497.212798262</v>
      </c>
      <c r="I256" s="9">
        <f ca="1">_xlfn.NORM.INV(RAND(),AVERAGE(Assumptions!$D$10,Assumptions!$F$10),(Assumptions!$F$10-Assumptions!$D$10)/3.29)*21</f>
        <v>645177.87632299331</v>
      </c>
      <c r="J256" s="12">
        <f ca="1">NORMINV(RAND(),AVERAGE(Assumptions!$D$11,Assumptions!$F$11),(Assumptions!$F$11-Assumptions!$D$11)/3.29)*44</f>
        <v>5737110.555594665</v>
      </c>
      <c r="K256" s="15">
        <f ca="1">_xlfn.NORM.INV(RAND(),AVERAGE(Assumptions!$D$12,Assumptions!$F$12),(Assumptions!$F$12-Assumptions!$D$12)/3.29)*44</f>
        <v>9576769.0506899916</v>
      </c>
      <c r="L256" s="3">
        <f ca="1">_xlfn.NORM.INV(RAND(),AVERAGE(Assumptions!$D$13,Assumptions!$F$13),(Assumptions!$F$13-Assumptions!$D$13)/3.29)*44</f>
        <v>13132320.746818084</v>
      </c>
      <c r="M256" s="6">
        <f ca="1">_xlfn.NORM.INV(RAND(),AVERAGE(Assumptions!$D$14,Assumptions!$F$14),(Assumptions!$F$14-Assumptions!$D$14)/3.29)*44</f>
        <v>7385493.2591303177</v>
      </c>
      <c r="N256" s="9">
        <f ca="1">_xlfn.NORM.INV(RAND(),AVERAGE(Assumptions!$D$16,Assumptions!$F$16),(Assumptions!$F$16-Assumptions!$D$16)/3.29)*44</f>
        <v>13405944.685843475</v>
      </c>
      <c r="O256" s="12">
        <f ca="1">_xlfn.NORM.INV(RAND(),AVERAGE(Assumptions!$D$15,Assumptions!$F$15),(Assumptions!$F$15-Assumptions!$D$15)/3.29)*44</f>
        <v>100902357.26844773</v>
      </c>
      <c r="P256" s="15">
        <f>Assumptions!$D$18</f>
        <v>14641750.345627395</v>
      </c>
      <c r="Q256" s="3">
        <f t="shared" ca="1" si="6"/>
        <v>29865280.446695164</v>
      </c>
      <c r="R256" s="6">
        <f t="shared" ca="1" si="7"/>
        <v>44507030.792322561</v>
      </c>
    </row>
    <row r="257" spans="1:18">
      <c r="A257" s="20">
        <v>256</v>
      </c>
      <c r="B257" s="3">
        <f ca="1">_xlfn.NORM.INV(RAND(),AVERAGE(Assumptions!$D$4,Assumptions!$F$4),(Assumptions!$F$4-Assumptions!$D$4)/3.29)*44</f>
        <v>1198043.6186080391</v>
      </c>
      <c r="C257" s="6">
        <f ca="1">_xlfn.NORM.INV(RAND(),AVERAGE(Assumptions!$D$5,Assumptions!$F$5),(Assumptions!$F$5-Assumptions!$D$5)/3.29)*44</f>
        <v>1975387.7061212373</v>
      </c>
      <c r="D257" s="9">
        <f ca="1">_xlfn.NORM.INV(RAND(),AVERAGE(Assumptions!$D$6,Assumptions!$F$6),(Assumptions!$F$6-Assumptions!$D$6)/3.29)*RANDBETWEEN(2,5)</f>
        <v>4204692.8894979311</v>
      </c>
      <c r="E257" s="12">
        <f ca="1">_xlfn.NORM.INV(RAND(),AVERAGE(Assumptions!$D$17,Assumptions!$F$17),(Assumptions!$F$17-Assumptions!$D$17)/3.29)*8</f>
        <v>894023.89365853951</v>
      </c>
      <c r="F257" s="15">
        <f ca="1">_xlfn.NORM.INV(RAND(),AVERAGE(Assumptions!$D$7,Assumptions!$F$7),(Assumptions!$F$7-Assumptions!$D$7)/3.29)*RANDBETWEEN(1,3)</f>
        <v>9032896.3315746859</v>
      </c>
      <c r="G257" s="3">
        <f ca="1">_xlfn.NORM.INV(RAND(),AVERAGE(Assumptions!$D$8,Assumptions!$F$8),(Assumptions!$F$8-Assumptions!$D$8)/3.29)*44</f>
        <v>1464679.2189315718</v>
      </c>
      <c r="H257" s="6">
        <f ca="1">_xlfn.NORM.INV(RAND(),AVERAGE(Assumptions!$D$9,Assumptions!$F$9),(Assumptions!$F$9-Assumptions!$D$9)/3.29)*21</f>
        <v>4834860.0360332066</v>
      </c>
      <c r="I257" s="9">
        <f ca="1">_xlfn.NORM.INV(RAND(),AVERAGE(Assumptions!$D$10,Assumptions!$F$10),(Assumptions!$F$10-Assumptions!$D$10)/3.29)*21</f>
        <v>817773.86021778185</v>
      </c>
      <c r="J257" s="12">
        <f ca="1">NORMINV(RAND(),AVERAGE(Assumptions!$D$11,Assumptions!$F$11),(Assumptions!$F$11-Assumptions!$D$11)/3.29)*44</f>
        <v>4618565.9655828495</v>
      </c>
      <c r="K257" s="15">
        <f ca="1">_xlfn.NORM.INV(RAND(),AVERAGE(Assumptions!$D$12,Assumptions!$F$12),(Assumptions!$F$12-Assumptions!$D$12)/3.29)*44</f>
        <v>8428813.9740973413</v>
      </c>
      <c r="L257" s="3">
        <f ca="1">_xlfn.NORM.INV(RAND(),AVERAGE(Assumptions!$D$13,Assumptions!$F$13),(Assumptions!$F$13-Assumptions!$D$13)/3.29)*44</f>
        <v>24048786.155292168</v>
      </c>
      <c r="M257" s="6">
        <f ca="1">_xlfn.NORM.INV(RAND(),AVERAGE(Assumptions!$D$14,Assumptions!$F$14),(Assumptions!$F$14-Assumptions!$D$14)/3.29)*44</f>
        <v>4242453.6605648184</v>
      </c>
      <c r="N257" s="9">
        <f ca="1">_xlfn.NORM.INV(RAND(),AVERAGE(Assumptions!$D$16,Assumptions!$F$16),(Assumptions!$F$16-Assumptions!$D$16)/3.29)*44</f>
        <v>17956441.770255778</v>
      </c>
      <c r="O257" s="12">
        <f ca="1">_xlfn.NORM.INV(RAND(),AVERAGE(Assumptions!$D$15,Assumptions!$F$15),(Assumptions!$F$15-Assumptions!$D$15)/3.29)*44</f>
        <v>109336115.64003517</v>
      </c>
      <c r="P257" s="15">
        <f>Assumptions!$D$18</f>
        <v>14641750.345627395</v>
      </c>
      <c r="Q257" s="3">
        <f t="shared" ca="1" si="6"/>
        <v>25618696.559599221</v>
      </c>
      <c r="R257" s="6">
        <f t="shared" ca="1" si="7"/>
        <v>40260446.905226618</v>
      </c>
    </row>
    <row r="258" spans="1:18">
      <c r="A258" s="20">
        <v>257</v>
      </c>
      <c r="B258" s="3">
        <f ca="1">_xlfn.NORM.INV(RAND(),AVERAGE(Assumptions!$D$4,Assumptions!$F$4),(Assumptions!$F$4-Assumptions!$D$4)/3.29)*44</f>
        <v>1238633.886348254</v>
      </c>
      <c r="C258" s="6">
        <f ca="1">_xlfn.NORM.INV(RAND(),AVERAGE(Assumptions!$D$5,Assumptions!$F$5),(Assumptions!$F$5-Assumptions!$D$5)/3.29)*44</f>
        <v>1995831.1893291026</v>
      </c>
      <c r="D258" s="9">
        <f ca="1">_xlfn.NORM.INV(RAND(),AVERAGE(Assumptions!$D$6,Assumptions!$F$6),(Assumptions!$F$6-Assumptions!$D$6)/3.29)*RANDBETWEEN(2,5)</f>
        <v>9591347.74694621</v>
      </c>
      <c r="E258" s="12">
        <f ca="1">_xlfn.NORM.INV(RAND(),AVERAGE(Assumptions!$D$17,Assumptions!$F$17),(Assumptions!$F$17-Assumptions!$D$17)/3.29)*8</f>
        <v>987041.54066607147</v>
      </c>
      <c r="F258" s="15">
        <f ca="1">_xlfn.NORM.INV(RAND(),AVERAGE(Assumptions!$D$7,Assumptions!$F$7),(Assumptions!$F$7-Assumptions!$D$7)/3.29)*RANDBETWEEN(1,3)</f>
        <v>1246670.7373840895</v>
      </c>
      <c r="G258" s="3">
        <f ca="1">_xlfn.NORM.INV(RAND(),AVERAGE(Assumptions!$D$8,Assumptions!$F$8),(Assumptions!$F$8-Assumptions!$D$8)/3.29)*44</f>
        <v>1068473.5830433504</v>
      </c>
      <c r="H258" s="6">
        <f ca="1">_xlfn.NORM.INV(RAND(),AVERAGE(Assumptions!$D$9,Assumptions!$F$9),(Assumptions!$F$9-Assumptions!$D$9)/3.29)*21</f>
        <v>3173492.5389856333</v>
      </c>
      <c r="I258" s="9">
        <f ca="1">_xlfn.NORM.INV(RAND(),AVERAGE(Assumptions!$D$10,Assumptions!$F$10),(Assumptions!$F$10-Assumptions!$D$10)/3.29)*21</f>
        <v>1037963.5206261222</v>
      </c>
      <c r="J258" s="12">
        <f ca="1">NORMINV(RAND(),AVERAGE(Assumptions!$D$11,Assumptions!$F$11),(Assumptions!$F$11-Assumptions!$D$11)/3.29)*44</f>
        <v>2828516.6969018262</v>
      </c>
      <c r="K258" s="15">
        <f ca="1">_xlfn.NORM.INV(RAND(),AVERAGE(Assumptions!$D$12,Assumptions!$F$12),(Assumptions!$F$12-Assumptions!$D$12)/3.29)*44</f>
        <v>5711349.0200324124</v>
      </c>
      <c r="L258" s="3">
        <f ca="1">_xlfn.NORM.INV(RAND(),AVERAGE(Assumptions!$D$13,Assumptions!$F$13),(Assumptions!$F$13-Assumptions!$D$13)/3.29)*44</f>
        <v>7067858.0567171331</v>
      </c>
      <c r="M258" s="6">
        <f ca="1">_xlfn.NORM.INV(RAND(),AVERAGE(Assumptions!$D$14,Assumptions!$F$14),(Assumptions!$F$14-Assumptions!$D$14)/3.29)*44</f>
        <v>6183036.6775877122</v>
      </c>
      <c r="N258" s="9">
        <f ca="1">_xlfn.NORM.INV(RAND(),AVERAGE(Assumptions!$D$16,Assumptions!$F$16),(Assumptions!$F$16-Assumptions!$D$16)/3.29)*44</f>
        <v>6960257.9811151512</v>
      </c>
      <c r="O258" s="12">
        <f ca="1">_xlfn.NORM.INV(RAND(),AVERAGE(Assumptions!$D$15,Assumptions!$F$15),(Assumptions!$F$15-Assumptions!$D$15)/3.29)*44</f>
        <v>105364558.50126493</v>
      </c>
      <c r="P258" s="15">
        <f>Assumptions!$D$18</f>
        <v>14641750.345627395</v>
      </c>
      <c r="Q258" s="3">
        <f t="shared" ca="1" si="6"/>
        <v>56274085.325581864</v>
      </c>
      <c r="R258" s="6">
        <f t="shared" ca="1" si="7"/>
        <v>70915835.671209261</v>
      </c>
    </row>
    <row r="259" spans="1:18">
      <c r="A259" s="20">
        <v>258</v>
      </c>
      <c r="B259" s="3">
        <f ca="1">_xlfn.NORM.INV(RAND(),AVERAGE(Assumptions!$D$4,Assumptions!$F$4),(Assumptions!$F$4-Assumptions!$D$4)/3.29)*44</f>
        <v>1200642.3698666238</v>
      </c>
      <c r="C259" s="6">
        <f ca="1">_xlfn.NORM.INV(RAND(),AVERAGE(Assumptions!$D$5,Assumptions!$F$5),(Assumptions!$F$5-Assumptions!$D$5)/3.29)*44</f>
        <v>2072056.7991207195</v>
      </c>
      <c r="D259" s="9">
        <f ca="1">_xlfn.NORM.INV(RAND(),AVERAGE(Assumptions!$D$6,Assumptions!$F$6),(Assumptions!$F$6-Assumptions!$D$6)/3.29)*RANDBETWEEN(2,5)</f>
        <v>6404158.8877595048</v>
      </c>
      <c r="E259" s="12">
        <f ca="1">_xlfn.NORM.INV(RAND(),AVERAGE(Assumptions!$D$17,Assumptions!$F$17),(Assumptions!$F$17-Assumptions!$D$17)/3.29)*8</f>
        <v>903279.35151780641</v>
      </c>
      <c r="F259" s="15">
        <f ca="1">_xlfn.NORM.INV(RAND(),AVERAGE(Assumptions!$D$7,Assumptions!$F$7),(Assumptions!$F$7-Assumptions!$D$7)/3.29)*RANDBETWEEN(1,3)</f>
        <v>8625618.8621866181</v>
      </c>
      <c r="G259" s="3">
        <f ca="1">_xlfn.NORM.INV(RAND(),AVERAGE(Assumptions!$D$8,Assumptions!$F$8),(Assumptions!$F$8-Assumptions!$D$8)/3.29)*44</f>
        <v>1325801.634226681</v>
      </c>
      <c r="H259" s="6">
        <f ca="1">_xlfn.NORM.INV(RAND(),AVERAGE(Assumptions!$D$9,Assumptions!$F$9),(Assumptions!$F$9-Assumptions!$D$9)/3.29)*21</f>
        <v>5040483.8605212588</v>
      </c>
      <c r="I259" s="9">
        <f ca="1">_xlfn.NORM.INV(RAND(),AVERAGE(Assumptions!$D$10,Assumptions!$F$10),(Assumptions!$F$10-Assumptions!$D$10)/3.29)*21</f>
        <v>768648.7738842133</v>
      </c>
      <c r="J259" s="12">
        <f ca="1">NORMINV(RAND(),AVERAGE(Assumptions!$D$11,Assumptions!$F$11),(Assumptions!$F$11-Assumptions!$D$11)/3.29)*44</f>
        <v>2459155.5890989285</v>
      </c>
      <c r="K259" s="15">
        <f ca="1">_xlfn.NORM.INV(RAND(),AVERAGE(Assumptions!$D$12,Assumptions!$F$12),(Assumptions!$F$12-Assumptions!$D$12)/3.29)*44</f>
        <v>8113307.5730516519</v>
      </c>
      <c r="L259" s="3">
        <f ca="1">_xlfn.NORM.INV(RAND(),AVERAGE(Assumptions!$D$13,Assumptions!$F$13),(Assumptions!$F$13-Assumptions!$D$13)/3.29)*44</f>
        <v>17670345.000086654</v>
      </c>
      <c r="M259" s="6">
        <f ca="1">_xlfn.NORM.INV(RAND(),AVERAGE(Assumptions!$D$14,Assumptions!$F$14),(Assumptions!$F$14-Assumptions!$D$14)/3.29)*44</f>
        <v>6548036.8001527544</v>
      </c>
      <c r="N259" s="9">
        <f ca="1">_xlfn.NORM.INV(RAND(),AVERAGE(Assumptions!$D$16,Assumptions!$F$16),(Assumptions!$F$16-Assumptions!$D$16)/3.29)*44</f>
        <v>8370203.3071198063</v>
      </c>
      <c r="O259" s="12">
        <f ca="1">_xlfn.NORM.INV(RAND(),AVERAGE(Assumptions!$D$15,Assumptions!$F$15),(Assumptions!$F$15-Assumptions!$D$15)/3.29)*44</f>
        <v>154480611.21032366</v>
      </c>
      <c r="P259" s="15">
        <f>Assumptions!$D$18</f>
        <v>14641750.345627395</v>
      </c>
      <c r="Q259" s="3">
        <f t="shared" ref="Q259:Q322" ca="1" si="8">O259-(B259+C259+D259+F259+G259+H259+I259+J259+K259+L259+M259+N259+E259)</f>
        <v>84978872.401730433</v>
      </c>
      <c r="R259" s="6">
        <f t="shared" ref="R259:R322" ca="1" si="9">Q259+P259</f>
        <v>99620622.74735783</v>
      </c>
    </row>
    <row r="260" spans="1:18">
      <c r="A260" s="20">
        <v>259</v>
      </c>
      <c r="B260" s="3">
        <f ca="1">_xlfn.NORM.INV(RAND(),AVERAGE(Assumptions!$D$4,Assumptions!$F$4),(Assumptions!$F$4-Assumptions!$D$4)/3.29)*44</f>
        <v>1255687.3548871696</v>
      </c>
      <c r="C260" s="6">
        <f ca="1">_xlfn.NORM.INV(RAND(),AVERAGE(Assumptions!$D$5,Assumptions!$F$5),(Assumptions!$F$5-Assumptions!$D$5)/3.29)*44</f>
        <v>2004792.081394033</v>
      </c>
      <c r="D260" s="9">
        <f ca="1">_xlfn.NORM.INV(RAND(),AVERAGE(Assumptions!$D$6,Assumptions!$F$6),(Assumptions!$F$6-Assumptions!$D$6)/3.29)*RANDBETWEEN(2,5)</f>
        <v>4219837.4299603254</v>
      </c>
      <c r="E260" s="12">
        <f ca="1">_xlfn.NORM.INV(RAND(),AVERAGE(Assumptions!$D$17,Assumptions!$F$17),(Assumptions!$F$17-Assumptions!$D$17)/3.29)*8</f>
        <v>1115180.7350968537</v>
      </c>
      <c r="F260" s="15">
        <f ca="1">_xlfn.NORM.INV(RAND(),AVERAGE(Assumptions!$D$7,Assumptions!$F$7),(Assumptions!$F$7-Assumptions!$D$7)/3.29)*RANDBETWEEN(1,3)</f>
        <v>6678687.582460382</v>
      </c>
      <c r="G260" s="3">
        <f ca="1">_xlfn.NORM.INV(RAND(),AVERAGE(Assumptions!$D$8,Assumptions!$F$8),(Assumptions!$F$8-Assumptions!$D$8)/3.29)*44</f>
        <v>1173657.4927690341</v>
      </c>
      <c r="H260" s="6">
        <f ca="1">_xlfn.NORM.INV(RAND(),AVERAGE(Assumptions!$D$9,Assumptions!$F$9),(Assumptions!$F$9-Assumptions!$D$9)/3.29)*21</f>
        <v>2843229.0533428648</v>
      </c>
      <c r="I260" s="9">
        <f ca="1">_xlfn.NORM.INV(RAND(),AVERAGE(Assumptions!$D$10,Assumptions!$F$10),(Assumptions!$F$10-Assumptions!$D$10)/3.29)*21</f>
        <v>1111010.5815450151</v>
      </c>
      <c r="J260" s="12">
        <f ca="1">NORMINV(RAND(),AVERAGE(Assumptions!$D$11,Assumptions!$F$11),(Assumptions!$F$11-Assumptions!$D$11)/3.29)*44</f>
        <v>2113379.6097753495</v>
      </c>
      <c r="K260" s="15">
        <f ca="1">_xlfn.NORM.INV(RAND(),AVERAGE(Assumptions!$D$12,Assumptions!$F$12),(Assumptions!$F$12-Assumptions!$D$12)/3.29)*44</f>
        <v>7982150.0825146521</v>
      </c>
      <c r="L260" s="3">
        <f ca="1">_xlfn.NORM.INV(RAND(),AVERAGE(Assumptions!$D$13,Assumptions!$F$13),(Assumptions!$F$13-Assumptions!$D$13)/3.29)*44</f>
        <v>10798189.006220942</v>
      </c>
      <c r="M260" s="6">
        <f ca="1">_xlfn.NORM.INV(RAND(),AVERAGE(Assumptions!$D$14,Assumptions!$F$14),(Assumptions!$F$14-Assumptions!$D$14)/3.29)*44</f>
        <v>5051017.3915250963</v>
      </c>
      <c r="N260" s="9">
        <f ca="1">_xlfn.NORM.INV(RAND(),AVERAGE(Assumptions!$D$16,Assumptions!$F$16),(Assumptions!$F$16-Assumptions!$D$16)/3.29)*44</f>
        <v>13020072.331295617</v>
      </c>
      <c r="O260" s="12">
        <f ca="1">_xlfn.NORM.INV(RAND(),AVERAGE(Assumptions!$D$15,Assumptions!$F$15),(Assumptions!$F$15-Assumptions!$D$15)/3.29)*44</f>
        <v>44810151.697999746</v>
      </c>
      <c r="P260" s="15">
        <f>Assumptions!$D$18</f>
        <v>14641750.345627395</v>
      </c>
      <c r="Q260" s="3">
        <f t="shared" ca="1" si="8"/>
        <v>-14556739.034787595</v>
      </c>
      <c r="R260" s="6">
        <f t="shared" ca="1" si="9"/>
        <v>85011.310839800164</v>
      </c>
    </row>
    <row r="261" spans="1:18">
      <c r="A261" s="20">
        <v>260</v>
      </c>
      <c r="B261" s="3">
        <f ca="1">_xlfn.NORM.INV(RAND(),AVERAGE(Assumptions!$D$4,Assumptions!$F$4),(Assumptions!$F$4-Assumptions!$D$4)/3.29)*44</f>
        <v>1188381.1518770028</v>
      </c>
      <c r="C261" s="6">
        <f ca="1">_xlfn.NORM.INV(RAND(),AVERAGE(Assumptions!$D$5,Assumptions!$F$5),(Assumptions!$F$5-Assumptions!$D$5)/3.29)*44</f>
        <v>1754156.0492315441</v>
      </c>
      <c r="D261" s="9">
        <f ca="1">_xlfn.NORM.INV(RAND(),AVERAGE(Assumptions!$D$6,Assumptions!$F$6),(Assumptions!$F$6-Assumptions!$D$6)/3.29)*RANDBETWEEN(2,5)</f>
        <v>6296792.452203609</v>
      </c>
      <c r="E261" s="12">
        <f ca="1">_xlfn.NORM.INV(RAND(),AVERAGE(Assumptions!$D$17,Assumptions!$F$17),(Assumptions!$F$17-Assumptions!$D$17)/3.29)*8</f>
        <v>979766.7833517862</v>
      </c>
      <c r="F261" s="15">
        <f ca="1">_xlfn.NORM.INV(RAND(),AVERAGE(Assumptions!$D$7,Assumptions!$F$7),(Assumptions!$F$7-Assumptions!$D$7)/3.29)*RANDBETWEEN(1,3)</f>
        <v>7866791.023080688</v>
      </c>
      <c r="G261" s="3">
        <f ca="1">_xlfn.NORM.INV(RAND(),AVERAGE(Assumptions!$D$8,Assumptions!$F$8),(Assumptions!$F$8-Assumptions!$D$8)/3.29)*44</f>
        <v>1228422.6775418096</v>
      </c>
      <c r="H261" s="6">
        <f ca="1">_xlfn.NORM.INV(RAND(),AVERAGE(Assumptions!$D$9,Assumptions!$F$9),(Assumptions!$F$9-Assumptions!$D$9)/3.29)*21</f>
        <v>6397148.5159879839</v>
      </c>
      <c r="I261" s="9">
        <f ca="1">_xlfn.NORM.INV(RAND(),AVERAGE(Assumptions!$D$10,Assumptions!$F$10),(Assumptions!$F$10-Assumptions!$D$10)/3.29)*21</f>
        <v>622176.15669077158</v>
      </c>
      <c r="J261" s="12">
        <f ca="1">NORMINV(RAND(),AVERAGE(Assumptions!$D$11,Assumptions!$F$11),(Assumptions!$F$11-Assumptions!$D$11)/3.29)*44</f>
        <v>3559292.3372958717</v>
      </c>
      <c r="K261" s="15">
        <f ca="1">_xlfn.NORM.INV(RAND(),AVERAGE(Assumptions!$D$12,Assumptions!$F$12),(Assumptions!$F$12-Assumptions!$D$12)/3.29)*44</f>
        <v>7997002.3959708838</v>
      </c>
      <c r="L261" s="3">
        <f ca="1">_xlfn.NORM.INV(RAND(),AVERAGE(Assumptions!$D$13,Assumptions!$F$13),(Assumptions!$F$13-Assumptions!$D$13)/3.29)*44</f>
        <v>15599153.453179326</v>
      </c>
      <c r="M261" s="6">
        <f ca="1">_xlfn.NORM.INV(RAND(),AVERAGE(Assumptions!$D$14,Assumptions!$F$14),(Assumptions!$F$14-Assumptions!$D$14)/3.29)*44</f>
        <v>5088802.1459805183</v>
      </c>
      <c r="N261" s="9">
        <f ca="1">_xlfn.NORM.INV(RAND(),AVERAGE(Assumptions!$D$16,Assumptions!$F$16),(Assumptions!$F$16-Assumptions!$D$16)/3.29)*44</f>
        <v>9422986.2138632592</v>
      </c>
      <c r="O261" s="12">
        <f ca="1">_xlfn.NORM.INV(RAND(),AVERAGE(Assumptions!$D$15,Assumptions!$F$15),(Assumptions!$F$15-Assumptions!$D$15)/3.29)*44</f>
        <v>76972491.839792743</v>
      </c>
      <c r="P261" s="15">
        <f>Assumptions!$D$18</f>
        <v>14641750.345627395</v>
      </c>
      <c r="Q261" s="3">
        <f t="shared" ca="1" si="8"/>
        <v>8971620.483537674</v>
      </c>
      <c r="R261" s="6">
        <f t="shared" ca="1" si="9"/>
        <v>23613370.829165071</v>
      </c>
    </row>
    <row r="262" spans="1:18">
      <c r="A262" s="20">
        <v>261</v>
      </c>
      <c r="B262" s="3">
        <f ca="1">_xlfn.NORM.INV(RAND(),AVERAGE(Assumptions!$D$4,Assumptions!$F$4),(Assumptions!$F$4-Assumptions!$D$4)/3.29)*44</f>
        <v>1249145.2521946954</v>
      </c>
      <c r="C262" s="6">
        <f ca="1">_xlfn.NORM.INV(RAND(),AVERAGE(Assumptions!$D$5,Assumptions!$F$5),(Assumptions!$F$5-Assumptions!$D$5)/3.29)*44</f>
        <v>1810114.0096381891</v>
      </c>
      <c r="D262" s="9">
        <f ca="1">_xlfn.NORM.INV(RAND(),AVERAGE(Assumptions!$D$6,Assumptions!$F$6),(Assumptions!$F$6-Assumptions!$D$6)/3.29)*RANDBETWEEN(2,5)</f>
        <v>4821360.2161251567</v>
      </c>
      <c r="E262" s="12">
        <f ca="1">_xlfn.NORM.INV(RAND(),AVERAGE(Assumptions!$D$17,Assumptions!$F$17),(Assumptions!$F$17-Assumptions!$D$17)/3.29)*8</f>
        <v>1075400.0925455911</v>
      </c>
      <c r="F262" s="15">
        <f ca="1">_xlfn.NORM.INV(RAND(),AVERAGE(Assumptions!$D$7,Assumptions!$F$7),(Assumptions!$F$7-Assumptions!$D$7)/3.29)*RANDBETWEEN(1,3)</f>
        <v>1735203.5772359641</v>
      </c>
      <c r="G262" s="3">
        <f ca="1">_xlfn.NORM.INV(RAND(),AVERAGE(Assumptions!$D$8,Assumptions!$F$8),(Assumptions!$F$8-Assumptions!$D$8)/3.29)*44</f>
        <v>699362.74024158472</v>
      </c>
      <c r="H262" s="6">
        <f ca="1">_xlfn.NORM.INV(RAND(),AVERAGE(Assumptions!$D$9,Assumptions!$F$9),(Assumptions!$F$9-Assumptions!$D$9)/3.29)*21</f>
        <v>4393903.4390149573</v>
      </c>
      <c r="I262" s="9">
        <f ca="1">_xlfn.NORM.INV(RAND(),AVERAGE(Assumptions!$D$10,Assumptions!$F$10),(Assumptions!$F$10-Assumptions!$D$10)/3.29)*21</f>
        <v>393345.35269262455</v>
      </c>
      <c r="J262" s="12">
        <f ca="1">NORMINV(RAND(),AVERAGE(Assumptions!$D$11,Assumptions!$F$11),(Assumptions!$F$11-Assumptions!$D$11)/3.29)*44</f>
        <v>4763663.0355151119</v>
      </c>
      <c r="K262" s="15">
        <f ca="1">_xlfn.NORM.INV(RAND(),AVERAGE(Assumptions!$D$12,Assumptions!$F$12),(Assumptions!$F$12-Assumptions!$D$12)/3.29)*44</f>
        <v>8057656.0609858856</v>
      </c>
      <c r="L262" s="3">
        <f ca="1">_xlfn.NORM.INV(RAND(),AVERAGE(Assumptions!$D$13,Assumptions!$F$13),(Assumptions!$F$13-Assumptions!$D$13)/3.29)*44</f>
        <v>20074877.911742494</v>
      </c>
      <c r="M262" s="6">
        <f ca="1">_xlfn.NORM.INV(RAND(),AVERAGE(Assumptions!$D$14,Assumptions!$F$14),(Assumptions!$F$14-Assumptions!$D$14)/3.29)*44</f>
        <v>5858939.1294638691</v>
      </c>
      <c r="N262" s="9">
        <f ca="1">_xlfn.NORM.INV(RAND(),AVERAGE(Assumptions!$D$16,Assumptions!$F$16),(Assumptions!$F$16-Assumptions!$D$16)/3.29)*44</f>
        <v>10656868.765524495</v>
      </c>
      <c r="O262" s="12">
        <f ca="1">_xlfn.NORM.INV(RAND(),AVERAGE(Assumptions!$D$15,Assumptions!$F$15),(Assumptions!$F$15-Assumptions!$D$15)/3.29)*44</f>
        <v>147900376.46456596</v>
      </c>
      <c r="P262" s="15">
        <f>Assumptions!$D$18</f>
        <v>14641750.345627395</v>
      </c>
      <c r="Q262" s="3">
        <f t="shared" ca="1" si="8"/>
        <v>82310536.881645352</v>
      </c>
      <c r="R262" s="6">
        <f t="shared" ca="1" si="9"/>
        <v>96952287.227272749</v>
      </c>
    </row>
    <row r="263" spans="1:18">
      <c r="A263" s="20">
        <v>262</v>
      </c>
      <c r="B263" s="3">
        <f ca="1">_xlfn.NORM.INV(RAND(),AVERAGE(Assumptions!$D$4,Assumptions!$F$4),(Assumptions!$F$4-Assumptions!$D$4)/3.29)*44</f>
        <v>1323415.643279565</v>
      </c>
      <c r="C263" s="6">
        <f ca="1">_xlfn.NORM.INV(RAND(),AVERAGE(Assumptions!$D$5,Assumptions!$F$5),(Assumptions!$F$5-Assumptions!$D$5)/3.29)*44</f>
        <v>1716125.5154320607</v>
      </c>
      <c r="D263" s="9">
        <f ca="1">_xlfn.NORM.INV(RAND(),AVERAGE(Assumptions!$D$6,Assumptions!$F$6),(Assumptions!$F$6-Assumptions!$D$6)/3.29)*RANDBETWEEN(2,5)</f>
        <v>6710352.9498475119</v>
      </c>
      <c r="E263" s="12">
        <f ca="1">_xlfn.NORM.INV(RAND(),AVERAGE(Assumptions!$D$17,Assumptions!$F$17),(Assumptions!$F$17-Assumptions!$D$17)/3.29)*8</f>
        <v>1057146.5555086404</v>
      </c>
      <c r="F263" s="15">
        <f ca="1">_xlfn.NORM.INV(RAND(),AVERAGE(Assumptions!$D$7,Assumptions!$F$7),(Assumptions!$F$7-Assumptions!$D$7)/3.29)*RANDBETWEEN(1,3)</f>
        <v>3031880.3700516154</v>
      </c>
      <c r="G263" s="3">
        <f ca="1">_xlfn.NORM.INV(RAND(),AVERAGE(Assumptions!$D$8,Assumptions!$F$8),(Assumptions!$F$8-Assumptions!$D$8)/3.29)*44</f>
        <v>1137818.609940578</v>
      </c>
      <c r="H263" s="6">
        <f ca="1">_xlfn.NORM.INV(RAND(),AVERAGE(Assumptions!$D$9,Assumptions!$F$9),(Assumptions!$F$9-Assumptions!$D$9)/3.29)*21</f>
        <v>3462821.0212753806</v>
      </c>
      <c r="I263" s="9">
        <f ca="1">_xlfn.NORM.INV(RAND(),AVERAGE(Assumptions!$D$10,Assumptions!$F$10),(Assumptions!$F$10-Assumptions!$D$10)/3.29)*21</f>
        <v>802220.50697124959</v>
      </c>
      <c r="J263" s="12">
        <f ca="1">NORMINV(RAND(),AVERAGE(Assumptions!$D$11,Assumptions!$F$11),(Assumptions!$F$11-Assumptions!$D$11)/3.29)*44</f>
        <v>4811618.8036551969</v>
      </c>
      <c r="K263" s="15">
        <f ca="1">_xlfn.NORM.INV(RAND(),AVERAGE(Assumptions!$D$12,Assumptions!$F$12),(Assumptions!$F$12-Assumptions!$D$12)/3.29)*44</f>
        <v>10758407.558446182</v>
      </c>
      <c r="L263" s="3">
        <f ca="1">_xlfn.NORM.INV(RAND(),AVERAGE(Assumptions!$D$13,Assumptions!$F$13),(Assumptions!$F$13-Assumptions!$D$13)/3.29)*44</f>
        <v>15939647.317378242</v>
      </c>
      <c r="M263" s="6">
        <f ca="1">_xlfn.NORM.INV(RAND(),AVERAGE(Assumptions!$D$14,Assumptions!$F$14),(Assumptions!$F$14-Assumptions!$D$14)/3.29)*44</f>
        <v>6753844.6611384358</v>
      </c>
      <c r="N263" s="9">
        <f ca="1">_xlfn.NORM.INV(RAND(),AVERAGE(Assumptions!$D$16,Assumptions!$F$16),(Assumptions!$F$16-Assumptions!$D$16)/3.29)*44</f>
        <v>15348825.88522416</v>
      </c>
      <c r="O263" s="12">
        <f ca="1">_xlfn.NORM.INV(RAND(),AVERAGE(Assumptions!$D$15,Assumptions!$F$15),(Assumptions!$F$15-Assumptions!$D$15)/3.29)*44</f>
        <v>12396637.230605315</v>
      </c>
      <c r="P263" s="15">
        <f>Assumptions!$D$18</f>
        <v>14641750.345627395</v>
      </c>
      <c r="Q263" s="3">
        <f t="shared" ca="1" si="8"/>
        <v>-60457488.167543501</v>
      </c>
      <c r="R263" s="6">
        <f t="shared" ca="1" si="9"/>
        <v>-45815737.821916103</v>
      </c>
    </row>
    <row r="264" spans="1:18">
      <c r="A264" s="20">
        <v>263</v>
      </c>
      <c r="B264" s="3">
        <f ca="1">_xlfn.NORM.INV(RAND(),AVERAGE(Assumptions!$D$4,Assumptions!$F$4),(Assumptions!$F$4-Assumptions!$D$4)/3.29)*44</f>
        <v>1163066.4580972118</v>
      </c>
      <c r="C264" s="6">
        <f ca="1">_xlfn.NORM.INV(RAND(),AVERAGE(Assumptions!$D$5,Assumptions!$F$5),(Assumptions!$F$5-Assumptions!$D$5)/3.29)*44</f>
        <v>2025504.143437441</v>
      </c>
      <c r="D264" s="9">
        <f ca="1">_xlfn.NORM.INV(RAND(),AVERAGE(Assumptions!$D$6,Assumptions!$F$6),(Assumptions!$F$6-Assumptions!$D$6)/3.29)*RANDBETWEEN(2,5)</f>
        <v>4270589.4088333454</v>
      </c>
      <c r="E264" s="12">
        <f ca="1">_xlfn.NORM.INV(RAND(),AVERAGE(Assumptions!$D$17,Assumptions!$F$17),(Assumptions!$F$17-Assumptions!$D$17)/3.29)*8</f>
        <v>900126.3231015536</v>
      </c>
      <c r="F264" s="15">
        <f ca="1">_xlfn.NORM.INV(RAND(),AVERAGE(Assumptions!$D$7,Assumptions!$F$7),(Assumptions!$F$7-Assumptions!$D$7)/3.29)*RANDBETWEEN(1,3)</f>
        <v>3881376.2773304293</v>
      </c>
      <c r="G264" s="3">
        <f ca="1">_xlfn.NORM.INV(RAND(),AVERAGE(Assumptions!$D$8,Assumptions!$F$8),(Assumptions!$F$8-Assumptions!$D$8)/3.29)*44</f>
        <v>1212437.3674554585</v>
      </c>
      <c r="H264" s="6">
        <f ca="1">_xlfn.NORM.INV(RAND(),AVERAGE(Assumptions!$D$9,Assumptions!$F$9),(Assumptions!$F$9-Assumptions!$D$9)/3.29)*21</f>
        <v>3590449.8475590264</v>
      </c>
      <c r="I264" s="9">
        <f ca="1">_xlfn.NORM.INV(RAND(),AVERAGE(Assumptions!$D$10,Assumptions!$F$10),(Assumptions!$F$10-Assumptions!$D$10)/3.29)*21</f>
        <v>665881.30687813065</v>
      </c>
      <c r="J264" s="12">
        <f ca="1">NORMINV(RAND(),AVERAGE(Assumptions!$D$11,Assumptions!$F$11),(Assumptions!$F$11-Assumptions!$D$11)/3.29)*44</f>
        <v>3256032.9653437613</v>
      </c>
      <c r="K264" s="15">
        <f ca="1">_xlfn.NORM.INV(RAND(),AVERAGE(Assumptions!$D$12,Assumptions!$F$12),(Assumptions!$F$12-Assumptions!$D$12)/3.29)*44</f>
        <v>6759566.0512203882</v>
      </c>
      <c r="L264" s="3">
        <f ca="1">_xlfn.NORM.INV(RAND(),AVERAGE(Assumptions!$D$13,Assumptions!$F$13),(Assumptions!$F$13-Assumptions!$D$13)/3.29)*44</f>
        <v>22851023.612287767</v>
      </c>
      <c r="M264" s="6">
        <f ca="1">_xlfn.NORM.INV(RAND(),AVERAGE(Assumptions!$D$14,Assumptions!$F$14),(Assumptions!$F$14-Assumptions!$D$14)/3.29)*44</f>
        <v>5589372.9356760615</v>
      </c>
      <c r="N264" s="9">
        <f ca="1">_xlfn.NORM.INV(RAND(),AVERAGE(Assumptions!$D$16,Assumptions!$F$16),(Assumptions!$F$16-Assumptions!$D$16)/3.29)*44</f>
        <v>15465805.198299693</v>
      </c>
      <c r="O264" s="12">
        <f ca="1">_xlfn.NORM.INV(RAND(),AVERAGE(Assumptions!$D$15,Assumptions!$F$15),(Assumptions!$F$15-Assumptions!$D$15)/3.29)*44</f>
        <v>112987072.25555702</v>
      </c>
      <c r="P264" s="15">
        <f>Assumptions!$D$18</f>
        <v>14641750.345627395</v>
      </c>
      <c r="Q264" s="3">
        <f t="shared" ca="1" si="8"/>
        <v>41355840.360036746</v>
      </c>
      <c r="R264" s="6">
        <f t="shared" ca="1" si="9"/>
        <v>55997590.705664143</v>
      </c>
    </row>
    <row r="265" spans="1:18">
      <c r="A265" s="20">
        <v>264</v>
      </c>
      <c r="B265" s="3">
        <f ca="1">_xlfn.NORM.INV(RAND(),AVERAGE(Assumptions!$D$4,Assumptions!$F$4),(Assumptions!$F$4-Assumptions!$D$4)/3.29)*44</f>
        <v>1149039.3995609132</v>
      </c>
      <c r="C265" s="6">
        <f ca="1">_xlfn.NORM.INV(RAND(),AVERAGE(Assumptions!$D$5,Assumptions!$F$5),(Assumptions!$F$5-Assumptions!$D$5)/3.29)*44</f>
        <v>1759630.6098144895</v>
      </c>
      <c r="D265" s="9">
        <f ca="1">_xlfn.NORM.INV(RAND(),AVERAGE(Assumptions!$D$6,Assumptions!$F$6),(Assumptions!$F$6-Assumptions!$D$6)/3.29)*RANDBETWEEN(2,5)</f>
        <v>4485077.5429573124</v>
      </c>
      <c r="E265" s="12">
        <f ca="1">_xlfn.NORM.INV(RAND(),AVERAGE(Assumptions!$D$17,Assumptions!$F$17),(Assumptions!$F$17-Assumptions!$D$17)/3.29)*8</f>
        <v>1040721.343354433</v>
      </c>
      <c r="F265" s="15">
        <f ca="1">_xlfn.NORM.INV(RAND(),AVERAGE(Assumptions!$D$7,Assumptions!$F$7),(Assumptions!$F$7-Assumptions!$D$7)/3.29)*RANDBETWEEN(1,3)</f>
        <v>8513957.5456010103</v>
      </c>
      <c r="G265" s="3">
        <f ca="1">_xlfn.NORM.INV(RAND(),AVERAGE(Assumptions!$D$8,Assumptions!$F$8),(Assumptions!$F$8-Assumptions!$D$8)/3.29)*44</f>
        <v>1293011.2418651457</v>
      </c>
      <c r="H265" s="6">
        <f ca="1">_xlfn.NORM.INV(RAND(),AVERAGE(Assumptions!$D$9,Assumptions!$F$9),(Assumptions!$F$9-Assumptions!$D$9)/3.29)*21</f>
        <v>1699391.9732384051</v>
      </c>
      <c r="I265" s="9">
        <f ca="1">_xlfn.NORM.INV(RAND(),AVERAGE(Assumptions!$D$10,Assumptions!$F$10),(Assumptions!$F$10-Assumptions!$D$10)/3.29)*21</f>
        <v>642278.95862809685</v>
      </c>
      <c r="J265" s="12">
        <f ca="1">NORMINV(RAND(),AVERAGE(Assumptions!$D$11,Assumptions!$F$11),(Assumptions!$F$11-Assumptions!$D$11)/3.29)*44</f>
        <v>2975223.6868345258</v>
      </c>
      <c r="K265" s="15">
        <f ca="1">_xlfn.NORM.INV(RAND(),AVERAGE(Assumptions!$D$12,Assumptions!$F$12),(Assumptions!$F$12-Assumptions!$D$12)/3.29)*44</f>
        <v>5229894.4382426254</v>
      </c>
      <c r="L265" s="3">
        <f ca="1">_xlfn.NORM.INV(RAND(),AVERAGE(Assumptions!$D$13,Assumptions!$F$13),(Assumptions!$F$13-Assumptions!$D$13)/3.29)*44</f>
        <v>14697796.268038321</v>
      </c>
      <c r="M265" s="6">
        <f ca="1">_xlfn.NORM.INV(RAND(),AVERAGE(Assumptions!$D$14,Assumptions!$F$14),(Assumptions!$F$14-Assumptions!$D$14)/3.29)*44</f>
        <v>6499949.8246674398</v>
      </c>
      <c r="N265" s="9">
        <f ca="1">_xlfn.NORM.INV(RAND(),AVERAGE(Assumptions!$D$16,Assumptions!$F$16),(Assumptions!$F$16-Assumptions!$D$16)/3.29)*44</f>
        <v>8770911.9834250901</v>
      </c>
      <c r="O265" s="12">
        <f ca="1">_xlfn.NORM.INV(RAND(),AVERAGE(Assumptions!$D$15,Assumptions!$F$15),(Assumptions!$F$15-Assumptions!$D$15)/3.29)*44</f>
        <v>68704731.28974697</v>
      </c>
      <c r="P265" s="15">
        <f>Assumptions!$D$18</f>
        <v>14641750.345627395</v>
      </c>
      <c r="Q265" s="3">
        <f t="shared" ca="1" si="8"/>
        <v>9947846.4735191688</v>
      </c>
      <c r="R265" s="6">
        <f t="shared" ca="1" si="9"/>
        <v>24589596.819146566</v>
      </c>
    </row>
    <row r="266" spans="1:18">
      <c r="A266" s="20">
        <v>265</v>
      </c>
      <c r="B266" s="3">
        <f ca="1">_xlfn.NORM.INV(RAND(),AVERAGE(Assumptions!$D$4,Assumptions!$F$4),(Assumptions!$F$4-Assumptions!$D$4)/3.29)*44</f>
        <v>1168825.5815721175</v>
      </c>
      <c r="C266" s="6">
        <f ca="1">_xlfn.NORM.INV(RAND(),AVERAGE(Assumptions!$D$5,Assumptions!$F$5),(Assumptions!$F$5-Assumptions!$D$5)/3.29)*44</f>
        <v>1522661.6488765893</v>
      </c>
      <c r="D266" s="9">
        <f ca="1">_xlfn.NORM.INV(RAND(),AVERAGE(Assumptions!$D$6,Assumptions!$F$6),(Assumptions!$F$6-Assumptions!$D$6)/3.29)*RANDBETWEEN(2,5)</f>
        <v>5266160.5494774934</v>
      </c>
      <c r="E266" s="12">
        <f ca="1">_xlfn.NORM.INV(RAND(),AVERAGE(Assumptions!$D$17,Assumptions!$F$17),(Assumptions!$F$17-Assumptions!$D$17)/3.29)*8</f>
        <v>790122.83423037722</v>
      </c>
      <c r="F266" s="15">
        <f ca="1">_xlfn.NORM.INV(RAND(),AVERAGE(Assumptions!$D$7,Assumptions!$F$7),(Assumptions!$F$7-Assumptions!$D$7)/3.29)*RANDBETWEEN(1,3)</f>
        <v>2671837.3009594749</v>
      </c>
      <c r="G266" s="3">
        <f ca="1">_xlfn.NORM.INV(RAND(),AVERAGE(Assumptions!$D$8,Assumptions!$F$8),(Assumptions!$F$8-Assumptions!$D$8)/3.29)*44</f>
        <v>1410658.4024508249</v>
      </c>
      <c r="H266" s="6">
        <f ca="1">_xlfn.NORM.INV(RAND(),AVERAGE(Assumptions!$D$9,Assumptions!$F$9),(Assumptions!$F$9-Assumptions!$D$9)/3.29)*21</f>
        <v>5151379.8750279173</v>
      </c>
      <c r="I266" s="9">
        <f ca="1">_xlfn.NORM.INV(RAND(),AVERAGE(Assumptions!$D$10,Assumptions!$F$10),(Assumptions!$F$10-Assumptions!$D$10)/3.29)*21</f>
        <v>1190632.6565380273</v>
      </c>
      <c r="J266" s="12">
        <f ca="1">NORMINV(RAND(),AVERAGE(Assumptions!$D$11,Assumptions!$F$11),(Assumptions!$F$11-Assumptions!$D$11)/3.29)*44</f>
        <v>3018552.5846620584</v>
      </c>
      <c r="K266" s="15">
        <f ca="1">_xlfn.NORM.INV(RAND(),AVERAGE(Assumptions!$D$12,Assumptions!$F$12),(Assumptions!$F$12-Assumptions!$D$12)/3.29)*44</f>
        <v>9938655.9850703087</v>
      </c>
      <c r="L266" s="3">
        <f ca="1">_xlfn.NORM.INV(RAND(),AVERAGE(Assumptions!$D$13,Assumptions!$F$13),(Assumptions!$F$13-Assumptions!$D$13)/3.29)*44</f>
        <v>13794309.490303673</v>
      </c>
      <c r="M266" s="6">
        <f ca="1">_xlfn.NORM.INV(RAND(),AVERAGE(Assumptions!$D$14,Assumptions!$F$14),(Assumptions!$F$14-Assumptions!$D$14)/3.29)*44</f>
        <v>7300143.431060371</v>
      </c>
      <c r="N266" s="9">
        <f ca="1">_xlfn.NORM.INV(RAND(),AVERAGE(Assumptions!$D$16,Assumptions!$F$16),(Assumptions!$F$16-Assumptions!$D$16)/3.29)*44</f>
        <v>7784201.0241407491</v>
      </c>
      <c r="O266" s="12">
        <f ca="1">_xlfn.NORM.INV(RAND(),AVERAGE(Assumptions!$D$15,Assumptions!$F$15),(Assumptions!$F$15-Assumptions!$D$15)/3.29)*44</f>
        <v>122738898.32107483</v>
      </c>
      <c r="P266" s="15">
        <f>Assumptions!$D$18</f>
        <v>14641750.345627395</v>
      </c>
      <c r="Q266" s="3">
        <f t="shared" ca="1" si="8"/>
        <v>61730756.95670484</v>
      </c>
      <c r="R266" s="6">
        <f t="shared" ca="1" si="9"/>
        <v>76372507.302332237</v>
      </c>
    </row>
    <row r="267" spans="1:18">
      <c r="A267" s="20">
        <v>266</v>
      </c>
      <c r="B267" s="3">
        <f ca="1">_xlfn.NORM.INV(RAND(),AVERAGE(Assumptions!$D$4,Assumptions!$F$4),(Assumptions!$F$4-Assumptions!$D$4)/3.29)*44</f>
        <v>1170008.4378640018</v>
      </c>
      <c r="C267" s="6">
        <f ca="1">_xlfn.NORM.INV(RAND(),AVERAGE(Assumptions!$D$5,Assumptions!$F$5),(Assumptions!$F$5-Assumptions!$D$5)/3.29)*44</f>
        <v>1682666.030274902</v>
      </c>
      <c r="D267" s="9">
        <f ca="1">_xlfn.NORM.INV(RAND(),AVERAGE(Assumptions!$D$6,Assumptions!$F$6),(Assumptions!$F$6-Assumptions!$D$6)/3.29)*RANDBETWEEN(2,5)</f>
        <v>4456014.9533316558</v>
      </c>
      <c r="E267" s="12">
        <f ca="1">_xlfn.NORM.INV(RAND(),AVERAGE(Assumptions!$D$17,Assumptions!$F$17),(Assumptions!$F$17-Assumptions!$D$17)/3.29)*8</f>
        <v>989266.96196703461</v>
      </c>
      <c r="F267" s="15">
        <f ca="1">_xlfn.NORM.INV(RAND(),AVERAGE(Assumptions!$D$7,Assumptions!$F$7),(Assumptions!$F$7-Assumptions!$D$7)/3.29)*RANDBETWEEN(1,3)</f>
        <v>4841371.6505416548</v>
      </c>
      <c r="G267" s="3">
        <f ca="1">_xlfn.NORM.INV(RAND(),AVERAGE(Assumptions!$D$8,Assumptions!$F$8),(Assumptions!$F$8-Assumptions!$D$8)/3.29)*44</f>
        <v>1156866.194480527</v>
      </c>
      <c r="H267" s="6">
        <f ca="1">_xlfn.NORM.INV(RAND(),AVERAGE(Assumptions!$D$9,Assumptions!$F$9),(Assumptions!$F$9-Assumptions!$D$9)/3.29)*21</f>
        <v>3972325.917349576</v>
      </c>
      <c r="I267" s="9">
        <f ca="1">_xlfn.NORM.INV(RAND(),AVERAGE(Assumptions!$D$10,Assumptions!$F$10),(Assumptions!$F$10-Assumptions!$D$10)/3.29)*21</f>
        <v>786328.39840152441</v>
      </c>
      <c r="J267" s="12">
        <f ca="1">NORMINV(RAND(),AVERAGE(Assumptions!$D$11,Assumptions!$F$11),(Assumptions!$F$11-Assumptions!$D$11)/3.29)*44</f>
        <v>2729289.3898948375</v>
      </c>
      <c r="K267" s="15">
        <f ca="1">_xlfn.NORM.INV(RAND(),AVERAGE(Assumptions!$D$12,Assumptions!$F$12),(Assumptions!$F$12-Assumptions!$D$12)/3.29)*44</f>
        <v>8571068.0674704481</v>
      </c>
      <c r="L267" s="3">
        <f ca="1">_xlfn.NORM.INV(RAND(),AVERAGE(Assumptions!$D$13,Assumptions!$F$13),(Assumptions!$F$13-Assumptions!$D$13)/3.29)*44</f>
        <v>19204425.251063846</v>
      </c>
      <c r="M267" s="6">
        <f ca="1">_xlfn.NORM.INV(RAND(),AVERAGE(Assumptions!$D$14,Assumptions!$F$14),(Assumptions!$F$14-Assumptions!$D$14)/3.29)*44</f>
        <v>6634750.64303381</v>
      </c>
      <c r="N267" s="9">
        <f ca="1">_xlfn.NORM.INV(RAND(),AVERAGE(Assumptions!$D$16,Assumptions!$F$16),(Assumptions!$F$16-Assumptions!$D$16)/3.29)*44</f>
        <v>16864640.58331636</v>
      </c>
      <c r="O267" s="12">
        <f ca="1">_xlfn.NORM.INV(RAND(),AVERAGE(Assumptions!$D$15,Assumptions!$F$15),(Assumptions!$F$15-Assumptions!$D$15)/3.29)*44</f>
        <v>135257512.32610956</v>
      </c>
      <c r="P267" s="15">
        <f>Assumptions!$D$18</f>
        <v>14641750.345627395</v>
      </c>
      <c r="Q267" s="3">
        <f t="shared" ca="1" si="8"/>
        <v>62198489.847119376</v>
      </c>
      <c r="R267" s="6">
        <f t="shared" ca="1" si="9"/>
        <v>76840240.192746773</v>
      </c>
    </row>
    <row r="268" spans="1:18">
      <c r="A268" s="20">
        <v>267</v>
      </c>
      <c r="B268" s="3">
        <f ca="1">_xlfn.NORM.INV(RAND(),AVERAGE(Assumptions!$D$4,Assumptions!$F$4),(Assumptions!$F$4-Assumptions!$D$4)/3.29)*44</f>
        <v>1166651.6271730375</v>
      </c>
      <c r="C268" s="6">
        <f ca="1">_xlfn.NORM.INV(RAND(),AVERAGE(Assumptions!$D$5,Assumptions!$F$5),(Assumptions!$F$5-Assumptions!$D$5)/3.29)*44</f>
        <v>1852084.6126794079</v>
      </c>
      <c r="D268" s="9">
        <f ca="1">_xlfn.NORM.INV(RAND(),AVERAGE(Assumptions!$D$6,Assumptions!$F$6),(Assumptions!$F$6-Assumptions!$D$6)/3.29)*RANDBETWEEN(2,5)</f>
        <v>8054158.8744094577</v>
      </c>
      <c r="E268" s="12">
        <f ca="1">_xlfn.NORM.INV(RAND(),AVERAGE(Assumptions!$D$17,Assumptions!$F$17),(Assumptions!$F$17-Assumptions!$D$17)/3.29)*8</f>
        <v>992635.66816204367</v>
      </c>
      <c r="F268" s="15">
        <f ca="1">_xlfn.NORM.INV(RAND(),AVERAGE(Assumptions!$D$7,Assumptions!$F$7),(Assumptions!$F$7-Assumptions!$D$7)/3.29)*RANDBETWEEN(1,3)</f>
        <v>5882571.2173049627</v>
      </c>
      <c r="G268" s="3">
        <f ca="1">_xlfn.NORM.INV(RAND(),AVERAGE(Assumptions!$D$8,Assumptions!$F$8),(Assumptions!$F$8-Assumptions!$D$8)/3.29)*44</f>
        <v>1066008.191346956</v>
      </c>
      <c r="H268" s="6">
        <f ca="1">_xlfn.NORM.INV(RAND(),AVERAGE(Assumptions!$D$9,Assumptions!$F$9),(Assumptions!$F$9-Assumptions!$D$9)/3.29)*21</f>
        <v>5936240.1787173189</v>
      </c>
      <c r="I268" s="9">
        <f ca="1">_xlfn.NORM.INV(RAND(),AVERAGE(Assumptions!$D$10,Assumptions!$F$10),(Assumptions!$F$10-Assumptions!$D$10)/3.29)*21</f>
        <v>932030.4676850813</v>
      </c>
      <c r="J268" s="12">
        <f ca="1">NORMINV(RAND(),AVERAGE(Assumptions!$D$11,Assumptions!$F$11),(Assumptions!$F$11-Assumptions!$D$11)/3.29)*44</f>
        <v>3790686.8349603512</v>
      </c>
      <c r="K268" s="15">
        <f ca="1">_xlfn.NORM.INV(RAND(),AVERAGE(Assumptions!$D$12,Assumptions!$F$12),(Assumptions!$F$12-Assumptions!$D$12)/3.29)*44</f>
        <v>6748124.5580604747</v>
      </c>
      <c r="L268" s="3">
        <f ca="1">_xlfn.NORM.INV(RAND(),AVERAGE(Assumptions!$D$13,Assumptions!$F$13),(Assumptions!$F$13-Assumptions!$D$13)/3.29)*44</f>
        <v>18379984.779108495</v>
      </c>
      <c r="M268" s="6">
        <f ca="1">_xlfn.NORM.INV(RAND(),AVERAGE(Assumptions!$D$14,Assumptions!$F$14),(Assumptions!$F$14-Assumptions!$D$14)/3.29)*44</f>
        <v>4795948.4736903636</v>
      </c>
      <c r="N268" s="9">
        <f ca="1">_xlfn.NORM.INV(RAND(),AVERAGE(Assumptions!$D$16,Assumptions!$F$16),(Assumptions!$F$16-Assumptions!$D$16)/3.29)*44</f>
        <v>9955477.9444646649</v>
      </c>
      <c r="O268" s="12">
        <f ca="1">_xlfn.NORM.INV(RAND(),AVERAGE(Assumptions!$D$15,Assumptions!$F$15),(Assumptions!$F$15-Assumptions!$D$15)/3.29)*44</f>
        <v>91501796.536629379</v>
      </c>
      <c r="P268" s="15">
        <f>Assumptions!$D$18</f>
        <v>14641750.345627395</v>
      </c>
      <c r="Q268" s="3">
        <f t="shared" ca="1" si="8"/>
        <v>21949193.108866766</v>
      </c>
      <c r="R268" s="6">
        <f t="shared" ca="1" si="9"/>
        <v>36590943.454494163</v>
      </c>
    </row>
    <row r="269" spans="1:18">
      <c r="A269" s="20">
        <v>268</v>
      </c>
      <c r="B269" s="3">
        <f ca="1">_xlfn.NORM.INV(RAND(),AVERAGE(Assumptions!$D$4,Assumptions!$F$4),(Assumptions!$F$4-Assumptions!$D$4)/3.29)*44</f>
        <v>1232179.8411136025</v>
      </c>
      <c r="C269" s="6">
        <f ca="1">_xlfn.NORM.INV(RAND(),AVERAGE(Assumptions!$D$5,Assumptions!$F$5),(Assumptions!$F$5-Assumptions!$D$5)/3.29)*44</f>
        <v>2103266.1098469957</v>
      </c>
      <c r="D269" s="9">
        <f ca="1">_xlfn.NORM.INV(RAND(),AVERAGE(Assumptions!$D$6,Assumptions!$F$6),(Assumptions!$F$6-Assumptions!$D$6)/3.29)*RANDBETWEEN(2,5)</f>
        <v>9495752.4117613696</v>
      </c>
      <c r="E269" s="12">
        <f ca="1">_xlfn.NORM.INV(RAND(),AVERAGE(Assumptions!$D$17,Assumptions!$F$17),(Assumptions!$F$17-Assumptions!$D$17)/3.29)*8</f>
        <v>1056742.3793517377</v>
      </c>
      <c r="F269" s="15">
        <f ca="1">_xlfn.NORM.INV(RAND(),AVERAGE(Assumptions!$D$7,Assumptions!$F$7),(Assumptions!$F$7-Assumptions!$D$7)/3.29)*RANDBETWEEN(1,3)</f>
        <v>1756647.1112218788</v>
      </c>
      <c r="G269" s="3">
        <f ca="1">_xlfn.NORM.INV(RAND(),AVERAGE(Assumptions!$D$8,Assumptions!$F$8),(Assumptions!$F$8-Assumptions!$D$8)/3.29)*44</f>
        <v>1051013.0932125445</v>
      </c>
      <c r="H269" s="6">
        <f ca="1">_xlfn.NORM.INV(RAND(),AVERAGE(Assumptions!$D$9,Assumptions!$F$9),(Assumptions!$F$9-Assumptions!$D$9)/3.29)*21</f>
        <v>3048184.3838995779</v>
      </c>
      <c r="I269" s="9">
        <f ca="1">_xlfn.NORM.INV(RAND(),AVERAGE(Assumptions!$D$10,Assumptions!$F$10),(Assumptions!$F$10-Assumptions!$D$10)/3.29)*21</f>
        <v>1381067.8985947086</v>
      </c>
      <c r="J269" s="12">
        <f ca="1">NORMINV(RAND(),AVERAGE(Assumptions!$D$11,Assumptions!$F$11),(Assumptions!$F$11-Assumptions!$D$11)/3.29)*44</f>
        <v>5866544.6145834625</v>
      </c>
      <c r="K269" s="15">
        <f ca="1">_xlfn.NORM.INV(RAND(),AVERAGE(Assumptions!$D$12,Assumptions!$F$12),(Assumptions!$F$12-Assumptions!$D$12)/3.29)*44</f>
        <v>8961021.1713071261</v>
      </c>
      <c r="L269" s="3">
        <f ca="1">_xlfn.NORM.INV(RAND(),AVERAGE(Assumptions!$D$13,Assumptions!$F$13),(Assumptions!$F$13-Assumptions!$D$13)/3.29)*44</f>
        <v>11966056.886809014</v>
      </c>
      <c r="M269" s="6">
        <f ca="1">_xlfn.NORM.INV(RAND(),AVERAGE(Assumptions!$D$14,Assumptions!$F$14),(Assumptions!$F$14-Assumptions!$D$14)/3.29)*44</f>
        <v>5232491.0147357117</v>
      </c>
      <c r="N269" s="9">
        <f ca="1">_xlfn.NORM.INV(RAND(),AVERAGE(Assumptions!$D$16,Assumptions!$F$16),(Assumptions!$F$16-Assumptions!$D$16)/3.29)*44</f>
        <v>8936550.1486833747</v>
      </c>
      <c r="O269" s="12">
        <f ca="1">_xlfn.NORM.INV(RAND(),AVERAGE(Assumptions!$D$15,Assumptions!$F$15),(Assumptions!$F$15-Assumptions!$D$15)/3.29)*44</f>
        <v>134279767.99916205</v>
      </c>
      <c r="P269" s="15">
        <f>Assumptions!$D$18</f>
        <v>14641750.345627395</v>
      </c>
      <c r="Q269" s="3">
        <f t="shared" ca="1" si="8"/>
        <v>72192250.934040934</v>
      </c>
      <c r="R269" s="6">
        <f t="shared" ca="1" si="9"/>
        <v>86834001.279668331</v>
      </c>
    </row>
    <row r="270" spans="1:18">
      <c r="A270" s="20">
        <v>269</v>
      </c>
      <c r="B270" s="3">
        <f ca="1">_xlfn.NORM.INV(RAND(),AVERAGE(Assumptions!$D$4,Assumptions!$F$4),(Assumptions!$F$4-Assumptions!$D$4)/3.29)*44</f>
        <v>1121157.1018335624</v>
      </c>
      <c r="C270" s="6">
        <f ca="1">_xlfn.NORM.INV(RAND(),AVERAGE(Assumptions!$D$5,Assumptions!$F$5),(Assumptions!$F$5-Assumptions!$D$5)/3.29)*44</f>
        <v>1935370.9033679483</v>
      </c>
      <c r="D270" s="9">
        <f ca="1">_xlfn.NORM.INV(RAND(),AVERAGE(Assumptions!$D$6,Assumptions!$F$6),(Assumptions!$F$6-Assumptions!$D$6)/3.29)*RANDBETWEEN(2,5)</f>
        <v>3072126.4296225426</v>
      </c>
      <c r="E270" s="12">
        <f ca="1">_xlfn.NORM.INV(RAND(),AVERAGE(Assumptions!$D$17,Assumptions!$F$17),(Assumptions!$F$17-Assumptions!$D$17)/3.29)*8</f>
        <v>699147.86736490403</v>
      </c>
      <c r="F270" s="15">
        <f ca="1">_xlfn.NORM.INV(RAND(),AVERAGE(Assumptions!$D$7,Assumptions!$F$7),(Assumptions!$F$7-Assumptions!$D$7)/3.29)*RANDBETWEEN(1,3)</f>
        <v>3549244.087520442</v>
      </c>
      <c r="G270" s="3">
        <f ca="1">_xlfn.NORM.INV(RAND(),AVERAGE(Assumptions!$D$8,Assumptions!$F$8),(Assumptions!$F$8-Assumptions!$D$8)/3.29)*44</f>
        <v>1214456.5582866566</v>
      </c>
      <c r="H270" s="6">
        <f ca="1">_xlfn.NORM.INV(RAND(),AVERAGE(Assumptions!$D$9,Assumptions!$F$9),(Assumptions!$F$9-Assumptions!$D$9)/3.29)*21</f>
        <v>2114072.2483965899</v>
      </c>
      <c r="I270" s="9">
        <f ca="1">_xlfn.NORM.INV(RAND(),AVERAGE(Assumptions!$D$10,Assumptions!$F$10),(Assumptions!$F$10-Assumptions!$D$10)/3.29)*21</f>
        <v>697664.18951970444</v>
      </c>
      <c r="J270" s="12">
        <f ca="1">NORMINV(RAND(),AVERAGE(Assumptions!$D$11,Assumptions!$F$11),(Assumptions!$F$11-Assumptions!$D$11)/3.29)*44</f>
        <v>814815.05856663804</v>
      </c>
      <c r="K270" s="15">
        <f ca="1">_xlfn.NORM.INV(RAND(),AVERAGE(Assumptions!$D$12,Assumptions!$F$12),(Assumptions!$F$12-Assumptions!$D$12)/3.29)*44</f>
        <v>9407723.2504459675</v>
      </c>
      <c r="L270" s="3">
        <f ca="1">_xlfn.NORM.INV(RAND(),AVERAGE(Assumptions!$D$13,Assumptions!$F$13),(Assumptions!$F$13-Assumptions!$D$13)/3.29)*44</f>
        <v>13246511.1565868</v>
      </c>
      <c r="M270" s="6">
        <f ca="1">_xlfn.NORM.INV(RAND(),AVERAGE(Assumptions!$D$14,Assumptions!$F$14),(Assumptions!$F$14-Assumptions!$D$14)/3.29)*44</f>
        <v>7056580.118258914</v>
      </c>
      <c r="N270" s="9">
        <f ca="1">_xlfn.NORM.INV(RAND(),AVERAGE(Assumptions!$D$16,Assumptions!$F$16),(Assumptions!$F$16-Assumptions!$D$16)/3.29)*44</f>
        <v>4308248.9307860257</v>
      </c>
      <c r="O270" s="12">
        <f ca="1">_xlfn.NORM.INV(RAND(),AVERAGE(Assumptions!$D$15,Assumptions!$F$15),(Assumptions!$F$15-Assumptions!$D$15)/3.29)*44</f>
        <v>63706922.175615281</v>
      </c>
      <c r="P270" s="15">
        <f>Assumptions!$D$18</f>
        <v>14641750.345627395</v>
      </c>
      <c r="Q270" s="3">
        <f t="shared" ca="1" si="8"/>
        <v>14469804.275058582</v>
      </c>
      <c r="R270" s="6">
        <f t="shared" ca="1" si="9"/>
        <v>29111554.62068598</v>
      </c>
    </row>
    <row r="271" spans="1:18">
      <c r="A271" s="20">
        <v>270</v>
      </c>
      <c r="B271" s="3">
        <f ca="1">_xlfn.NORM.INV(RAND(),AVERAGE(Assumptions!$D$4,Assumptions!$F$4),(Assumptions!$F$4-Assumptions!$D$4)/3.29)*44</f>
        <v>1239476.1085082183</v>
      </c>
      <c r="C271" s="6">
        <f ca="1">_xlfn.NORM.INV(RAND(),AVERAGE(Assumptions!$D$5,Assumptions!$F$5),(Assumptions!$F$5-Assumptions!$D$5)/3.29)*44</f>
        <v>1761207.7899517627</v>
      </c>
      <c r="D271" s="9">
        <f ca="1">_xlfn.NORM.INV(RAND(),AVERAGE(Assumptions!$D$6,Assumptions!$F$6),(Assumptions!$F$6-Assumptions!$D$6)/3.29)*RANDBETWEEN(2,5)</f>
        <v>2150731.9026573221</v>
      </c>
      <c r="E271" s="12">
        <f ca="1">_xlfn.NORM.INV(RAND(),AVERAGE(Assumptions!$D$17,Assumptions!$F$17),(Assumptions!$F$17-Assumptions!$D$17)/3.29)*8</f>
        <v>1021317.1760812253</v>
      </c>
      <c r="F271" s="15">
        <f ca="1">_xlfn.NORM.INV(RAND(),AVERAGE(Assumptions!$D$7,Assumptions!$F$7),(Assumptions!$F$7-Assumptions!$D$7)/3.29)*RANDBETWEEN(1,3)</f>
        <v>12052721.474204142</v>
      </c>
      <c r="G271" s="3">
        <f ca="1">_xlfn.NORM.INV(RAND(),AVERAGE(Assumptions!$D$8,Assumptions!$F$8),(Assumptions!$F$8-Assumptions!$D$8)/3.29)*44</f>
        <v>653700.14052210713</v>
      </c>
      <c r="H271" s="6">
        <f ca="1">_xlfn.NORM.INV(RAND(),AVERAGE(Assumptions!$D$9,Assumptions!$F$9),(Assumptions!$F$9-Assumptions!$D$9)/3.29)*21</f>
        <v>4153103.8697682451</v>
      </c>
      <c r="I271" s="9">
        <f ca="1">_xlfn.NORM.INV(RAND(),AVERAGE(Assumptions!$D$10,Assumptions!$F$10),(Assumptions!$F$10-Assumptions!$D$10)/3.29)*21</f>
        <v>708157.55174300191</v>
      </c>
      <c r="J271" s="12">
        <f ca="1">NORMINV(RAND(),AVERAGE(Assumptions!$D$11,Assumptions!$F$11),(Assumptions!$F$11-Assumptions!$D$11)/3.29)*44</f>
        <v>4060451.822261693</v>
      </c>
      <c r="K271" s="15">
        <f ca="1">_xlfn.NORM.INV(RAND(),AVERAGE(Assumptions!$D$12,Assumptions!$F$12),(Assumptions!$F$12-Assumptions!$D$12)/3.29)*44</f>
        <v>7556297.4263589475</v>
      </c>
      <c r="L271" s="3">
        <f ca="1">_xlfn.NORM.INV(RAND(),AVERAGE(Assumptions!$D$13,Assumptions!$F$13),(Assumptions!$F$13-Assumptions!$D$13)/3.29)*44</f>
        <v>12882775.187363094</v>
      </c>
      <c r="M271" s="6">
        <f ca="1">_xlfn.NORM.INV(RAND(),AVERAGE(Assumptions!$D$14,Assumptions!$F$14),(Assumptions!$F$14-Assumptions!$D$14)/3.29)*44</f>
        <v>6970764.1674367618</v>
      </c>
      <c r="N271" s="9">
        <f ca="1">_xlfn.NORM.INV(RAND(),AVERAGE(Assumptions!$D$16,Assumptions!$F$16),(Assumptions!$F$16-Assumptions!$D$16)/3.29)*44</f>
        <v>3709855.2204976785</v>
      </c>
      <c r="O271" s="12">
        <f ca="1">_xlfn.NORM.INV(RAND(),AVERAGE(Assumptions!$D$15,Assumptions!$F$15),(Assumptions!$F$15-Assumptions!$D$15)/3.29)*44</f>
        <v>140798330.8566626</v>
      </c>
      <c r="P271" s="15">
        <f>Assumptions!$D$18</f>
        <v>14641750.345627395</v>
      </c>
      <c r="Q271" s="3">
        <f t="shared" ca="1" si="8"/>
        <v>81877771.019308403</v>
      </c>
      <c r="R271" s="6">
        <f t="shared" ca="1" si="9"/>
        <v>96519521.3649358</v>
      </c>
    </row>
    <row r="272" spans="1:18">
      <c r="A272" s="20">
        <v>271</v>
      </c>
      <c r="B272" s="3">
        <f ca="1">_xlfn.NORM.INV(RAND(),AVERAGE(Assumptions!$D$4,Assumptions!$F$4),(Assumptions!$F$4-Assumptions!$D$4)/3.29)*44</f>
        <v>1177411.6014933076</v>
      </c>
      <c r="C272" s="6">
        <f ca="1">_xlfn.NORM.INV(RAND(),AVERAGE(Assumptions!$D$5,Assumptions!$F$5),(Assumptions!$F$5-Assumptions!$D$5)/3.29)*44</f>
        <v>2028441.8194208716</v>
      </c>
      <c r="D272" s="9">
        <f ca="1">_xlfn.NORM.INV(RAND(),AVERAGE(Assumptions!$D$6,Assumptions!$F$6),(Assumptions!$F$6-Assumptions!$D$6)/3.29)*RANDBETWEEN(2,5)</f>
        <v>1301729.2385059313</v>
      </c>
      <c r="E272" s="12">
        <f ca="1">_xlfn.NORM.INV(RAND(),AVERAGE(Assumptions!$D$17,Assumptions!$F$17),(Assumptions!$F$17-Assumptions!$D$17)/3.29)*8</f>
        <v>988654.90844688949</v>
      </c>
      <c r="F272" s="15">
        <f ca="1">_xlfn.NORM.INV(RAND(),AVERAGE(Assumptions!$D$7,Assumptions!$F$7),(Assumptions!$F$7-Assumptions!$D$7)/3.29)*RANDBETWEEN(1,3)</f>
        <v>7742285.9786450397</v>
      </c>
      <c r="G272" s="3">
        <f ca="1">_xlfn.NORM.INV(RAND(),AVERAGE(Assumptions!$D$8,Assumptions!$F$8),(Assumptions!$F$8-Assumptions!$D$8)/3.29)*44</f>
        <v>1345618.4047374688</v>
      </c>
      <c r="H272" s="6">
        <f ca="1">_xlfn.NORM.INV(RAND(),AVERAGE(Assumptions!$D$9,Assumptions!$F$9),(Assumptions!$F$9-Assumptions!$D$9)/3.29)*21</f>
        <v>4886721.4696211759</v>
      </c>
      <c r="I272" s="9">
        <f ca="1">_xlfn.NORM.INV(RAND(),AVERAGE(Assumptions!$D$10,Assumptions!$F$10),(Assumptions!$F$10-Assumptions!$D$10)/3.29)*21</f>
        <v>689714.56876839255</v>
      </c>
      <c r="J272" s="12">
        <f ca="1">NORMINV(RAND(),AVERAGE(Assumptions!$D$11,Assumptions!$F$11),(Assumptions!$F$11-Assumptions!$D$11)/3.29)*44</f>
        <v>3432082.5424417946</v>
      </c>
      <c r="K272" s="15">
        <f ca="1">_xlfn.NORM.INV(RAND(),AVERAGE(Assumptions!$D$12,Assumptions!$F$12),(Assumptions!$F$12-Assumptions!$D$12)/3.29)*44</f>
        <v>7179991.1054929206</v>
      </c>
      <c r="L272" s="3">
        <f ca="1">_xlfn.NORM.INV(RAND(),AVERAGE(Assumptions!$D$13,Assumptions!$F$13),(Assumptions!$F$13-Assumptions!$D$13)/3.29)*44</f>
        <v>16262368.140179873</v>
      </c>
      <c r="M272" s="6">
        <f ca="1">_xlfn.NORM.INV(RAND(),AVERAGE(Assumptions!$D$14,Assumptions!$F$14),(Assumptions!$F$14-Assumptions!$D$14)/3.29)*44</f>
        <v>5166607.1028199987</v>
      </c>
      <c r="N272" s="9">
        <f ca="1">_xlfn.NORM.INV(RAND(),AVERAGE(Assumptions!$D$16,Assumptions!$F$16),(Assumptions!$F$16-Assumptions!$D$16)/3.29)*44</f>
        <v>12761880.033027923</v>
      </c>
      <c r="O272" s="12">
        <f ca="1">_xlfn.NORM.INV(RAND(),AVERAGE(Assumptions!$D$15,Assumptions!$F$15),(Assumptions!$F$15-Assumptions!$D$15)/3.29)*44</f>
        <v>139282639.0801639</v>
      </c>
      <c r="P272" s="15">
        <f>Assumptions!$D$18</f>
        <v>14641750.345627395</v>
      </c>
      <c r="Q272" s="3">
        <f t="shared" ca="1" si="8"/>
        <v>74319132.166562304</v>
      </c>
      <c r="R272" s="6">
        <f t="shared" ca="1" si="9"/>
        <v>88960882.512189701</v>
      </c>
    </row>
    <row r="273" spans="1:18">
      <c r="A273" s="20">
        <v>272</v>
      </c>
      <c r="B273" s="3">
        <f ca="1">_xlfn.NORM.INV(RAND(),AVERAGE(Assumptions!$D$4,Assumptions!$F$4),(Assumptions!$F$4-Assumptions!$D$4)/3.29)*44</f>
        <v>1169076.8751663084</v>
      </c>
      <c r="C273" s="6">
        <f ca="1">_xlfn.NORM.INV(RAND(),AVERAGE(Assumptions!$D$5,Assumptions!$F$5),(Assumptions!$F$5-Assumptions!$D$5)/3.29)*44</f>
        <v>1937992.2367614119</v>
      </c>
      <c r="D273" s="9">
        <f ca="1">_xlfn.NORM.INV(RAND(),AVERAGE(Assumptions!$D$6,Assumptions!$F$6),(Assumptions!$F$6-Assumptions!$D$6)/3.29)*RANDBETWEEN(2,5)</f>
        <v>4186503.0267652259</v>
      </c>
      <c r="E273" s="12">
        <f ca="1">_xlfn.NORM.INV(RAND(),AVERAGE(Assumptions!$D$17,Assumptions!$F$17),(Assumptions!$F$17-Assumptions!$D$17)/3.29)*8</f>
        <v>884567.45031593158</v>
      </c>
      <c r="F273" s="15">
        <f ca="1">_xlfn.NORM.INV(RAND(),AVERAGE(Assumptions!$D$7,Assumptions!$F$7),(Assumptions!$F$7-Assumptions!$D$7)/3.29)*RANDBETWEEN(1,3)</f>
        <v>7374568.3975443598</v>
      </c>
      <c r="G273" s="3">
        <f ca="1">_xlfn.NORM.INV(RAND(),AVERAGE(Assumptions!$D$8,Assumptions!$F$8),(Assumptions!$F$8-Assumptions!$D$8)/3.29)*44</f>
        <v>1146079.1620920002</v>
      </c>
      <c r="H273" s="6">
        <f ca="1">_xlfn.NORM.INV(RAND(),AVERAGE(Assumptions!$D$9,Assumptions!$F$9),(Assumptions!$F$9-Assumptions!$D$9)/3.29)*21</f>
        <v>3494153.8887310834</v>
      </c>
      <c r="I273" s="9">
        <f ca="1">_xlfn.NORM.INV(RAND(),AVERAGE(Assumptions!$D$10,Assumptions!$F$10),(Assumptions!$F$10-Assumptions!$D$10)/3.29)*21</f>
        <v>1041835.9805638959</v>
      </c>
      <c r="J273" s="12">
        <f ca="1">NORMINV(RAND(),AVERAGE(Assumptions!$D$11,Assumptions!$F$11),(Assumptions!$F$11-Assumptions!$D$11)/3.29)*44</f>
        <v>2399038.7760101631</v>
      </c>
      <c r="K273" s="15">
        <f ca="1">_xlfn.NORM.INV(RAND(),AVERAGE(Assumptions!$D$12,Assumptions!$F$12),(Assumptions!$F$12-Assumptions!$D$12)/3.29)*44</f>
        <v>7286758.1192330644</v>
      </c>
      <c r="L273" s="3">
        <f ca="1">_xlfn.NORM.INV(RAND(),AVERAGE(Assumptions!$D$13,Assumptions!$F$13),(Assumptions!$F$13-Assumptions!$D$13)/3.29)*44</f>
        <v>9985075.4336771071</v>
      </c>
      <c r="M273" s="6">
        <f ca="1">_xlfn.NORM.INV(RAND(),AVERAGE(Assumptions!$D$14,Assumptions!$F$14),(Assumptions!$F$14-Assumptions!$D$14)/3.29)*44</f>
        <v>7482798.3606270906</v>
      </c>
      <c r="N273" s="9">
        <f ca="1">_xlfn.NORM.INV(RAND(),AVERAGE(Assumptions!$D$16,Assumptions!$F$16),(Assumptions!$F$16-Assumptions!$D$16)/3.29)*44</f>
        <v>11125566.987999417</v>
      </c>
      <c r="O273" s="12">
        <f ca="1">_xlfn.NORM.INV(RAND(),AVERAGE(Assumptions!$D$15,Assumptions!$F$15),(Assumptions!$F$15-Assumptions!$D$15)/3.29)*44</f>
        <v>126483213.55793458</v>
      </c>
      <c r="P273" s="15">
        <f>Assumptions!$D$18</f>
        <v>14641750.345627395</v>
      </c>
      <c r="Q273" s="3">
        <f t="shared" ca="1" si="8"/>
        <v>66969198.862447523</v>
      </c>
      <c r="R273" s="6">
        <f t="shared" ca="1" si="9"/>
        <v>81610949.208074912</v>
      </c>
    </row>
    <row r="274" spans="1:18">
      <c r="A274" s="20">
        <v>273</v>
      </c>
      <c r="B274" s="3">
        <f ca="1">_xlfn.NORM.INV(RAND(),AVERAGE(Assumptions!$D$4,Assumptions!$F$4),(Assumptions!$F$4-Assumptions!$D$4)/3.29)*44</f>
        <v>1051065.5052080771</v>
      </c>
      <c r="C274" s="6">
        <f ca="1">_xlfn.NORM.INV(RAND(),AVERAGE(Assumptions!$D$5,Assumptions!$F$5),(Assumptions!$F$5-Assumptions!$D$5)/3.29)*44</f>
        <v>1815583.0424676216</v>
      </c>
      <c r="D274" s="9">
        <f ca="1">_xlfn.NORM.INV(RAND(),AVERAGE(Assumptions!$D$6,Assumptions!$F$6),(Assumptions!$F$6-Assumptions!$D$6)/3.29)*RANDBETWEEN(2,5)</f>
        <v>2240857.6749500823</v>
      </c>
      <c r="E274" s="12">
        <f ca="1">_xlfn.NORM.INV(RAND(),AVERAGE(Assumptions!$D$17,Assumptions!$F$17),(Assumptions!$F$17-Assumptions!$D$17)/3.29)*8</f>
        <v>699986.90132304397</v>
      </c>
      <c r="F274" s="15">
        <f ca="1">_xlfn.NORM.INV(RAND(),AVERAGE(Assumptions!$D$7,Assumptions!$F$7),(Assumptions!$F$7-Assumptions!$D$7)/3.29)*RANDBETWEEN(1,3)</f>
        <v>7595749.4234333634</v>
      </c>
      <c r="G274" s="3">
        <f ca="1">_xlfn.NORM.INV(RAND(),AVERAGE(Assumptions!$D$8,Assumptions!$F$8),(Assumptions!$F$8-Assumptions!$D$8)/3.29)*44</f>
        <v>1315901.3505362587</v>
      </c>
      <c r="H274" s="6">
        <f ca="1">_xlfn.NORM.INV(RAND(),AVERAGE(Assumptions!$D$9,Assumptions!$F$9),(Assumptions!$F$9-Assumptions!$D$9)/3.29)*21</f>
        <v>2544609.0344646005</v>
      </c>
      <c r="I274" s="9">
        <f ca="1">_xlfn.NORM.INV(RAND(),AVERAGE(Assumptions!$D$10,Assumptions!$F$10),(Assumptions!$F$10-Assumptions!$D$10)/3.29)*21</f>
        <v>805745.18427345855</v>
      </c>
      <c r="J274" s="12">
        <f ca="1">NORMINV(RAND(),AVERAGE(Assumptions!$D$11,Assumptions!$F$11),(Assumptions!$F$11-Assumptions!$D$11)/3.29)*44</f>
        <v>2150333.6635624762</v>
      </c>
      <c r="K274" s="15">
        <f ca="1">_xlfn.NORM.INV(RAND(),AVERAGE(Assumptions!$D$12,Assumptions!$F$12),(Assumptions!$F$12-Assumptions!$D$12)/3.29)*44</f>
        <v>7755312.6154681826</v>
      </c>
      <c r="L274" s="3">
        <f ca="1">_xlfn.NORM.INV(RAND(),AVERAGE(Assumptions!$D$13,Assumptions!$F$13),(Assumptions!$F$13-Assumptions!$D$13)/3.29)*44</f>
        <v>10899230.073973749</v>
      </c>
      <c r="M274" s="6">
        <f ca="1">_xlfn.NORM.INV(RAND(),AVERAGE(Assumptions!$D$14,Assumptions!$F$14),(Assumptions!$F$14-Assumptions!$D$14)/3.29)*44</f>
        <v>5328840.7430455219</v>
      </c>
      <c r="N274" s="9">
        <f ca="1">_xlfn.NORM.INV(RAND(),AVERAGE(Assumptions!$D$16,Assumptions!$F$16),(Assumptions!$F$16-Assumptions!$D$16)/3.29)*44</f>
        <v>3687544.3857127274</v>
      </c>
      <c r="O274" s="12">
        <f ca="1">_xlfn.NORM.INV(RAND(),AVERAGE(Assumptions!$D$15,Assumptions!$F$15),(Assumptions!$F$15-Assumptions!$D$15)/3.29)*44</f>
        <v>54078094.24293489</v>
      </c>
      <c r="P274" s="15">
        <f>Assumptions!$D$18</f>
        <v>14641750.345627395</v>
      </c>
      <c r="Q274" s="3">
        <f t="shared" ca="1" si="8"/>
        <v>6187334.644515723</v>
      </c>
      <c r="R274" s="6">
        <f t="shared" ca="1" si="9"/>
        <v>20829084.99014312</v>
      </c>
    </row>
    <row r="275" spans="1:18">
      <c r="A275" s="20">
        <v>274</v>
      </c>
      <c r="B275" s="3">
        <f ca="1">_xlfn.NORM.INV(RAND(),AVERAGE(Assumptions!$D$4,Assumptions!$F$4),(Assumptions!$F$4-Assumptions!$D$4)/3.29)*44</f>
        <v>1310570.1296174841</v>
      </c>
      <c r="C275" s="6">
        <f ca="1">_xlfn.NORM.INV(RAND(),AVERAGE(Assumptions!$D$5,Assumptions!$F$5),(Assumptions!$F$5-Assumptions!$D$5)/3.29)*44</f>
        <v>1932141.2582680024</v>
      </c>
      <c r="D275" s="9">
        <f ca="1">_xlfn.NORM.INV(RAND(),AVERAGE(Assumptions!$D$6,Assumptions!$F$6),(Assumptions!$F$6-Assumptions!$D$6)/3.29)*RANDBETWEEN(2,5)</f>
        <v>7126532.3826684449</v>
      </c>
      <c r="E275" s="12">
        <f ca="1">_xlfn.NORM.INV(RAND(),AVERAGE(Assumptions!$D$17,Assumptions!$F$17),(Assumptions!$F$17-Assumptions!$D$17)/3.29)*8</f>
        <v>830223.99464332301</v>
      </c>
      <c r="F275" s="15">
        <f ca="1">_xlfn.NORM.INV(RAND(),AVERAGE(Assumptions!$D$7,Assumptions!$F$7),(Assumptions!$F$7-Assumptions!$D$7)/3.29)*RANDBETWEEN(1,3)</f>
        <v>7088302.341251852</v>
      </c>
      <c r="G275" s="3">
        <f ca="1">_xlfn.NORM.INV(RAND(),AVERAGE(Assumptions!$D$8,Assumptions!$F$8),(Assumptions!$F$8-Assumptions!$D$8)/3.29)*44</f>
        <v>1252008.0880029576</v>
      </c>
      <c r="H275" s="6">
        <f ca="1">_xlfn.NORM.INV(RAND(),AVERAGE(Assumptions!$D$9,Assumptions!$F$9),(Assumptions!$F$9-Assumptions!$D$9)/3.29)*21</f>
        <v>6066662.8627178119</v>
      </c>
      <c r="I275" s="9">
        <f ca="1">_xlfn.NORM.INV(RAND(),AVERAGE(Assumptions!$D$10,Assumptions!$F$10),(Assumptions!$F$10-Assumptions!$D$10)/3.29)*21</f>
        <v>1105251.6090233142</v>
      </c>
      <c r="J275" s="12">
        <f ca="1">NORMINV(RAND(),AVERAGE(Assumptions!$D$11,Assumptions!$F$11),(Assumptions!$F$11-Assumptions!$D$11)/3.29)*44</f>
        <v>1160686.994348594</v>
      </c>
      <c r="K275" s="15">
        <f ca="1">_xlfn.NORM.INV(RAND(),AVERAGE(Assumptions!$D$12,Assumptions!$F$12),(Assumptions!$F$12-Assumptions!$D$12)/3.29)*44</f>
        <v>12450859.805286413</v>
      </c>
      <c r="L275" s="3">
        <f ca="1">_xlfn.NORM.INV(RAND(),AVERAGE(Assumptions!$D$13,Assumptions!$F$13),(Assumptions!$F$13-Assumptions!$D$13)/3.29)*44</f>
        <v>25816136.31184005</v>
      </c>
      <c r="M275" s="6">
        <f ca="1">_xlfn.NORM.INV(RAND(),AVERAGE(Assumptions!$D$14,Assumptions!$F$14),(Assumptions!$F$14-Assumptions!$D$14)/3.29)*44</f>
        <v>7285917.4918222213</v>
      </c>
      <c r="N275" s="9">
        <f ca="1">_xlfn.NORM.INV(RAND(),AVERAGE(Assumptions!$D$16,Assumptions!$F$16),(Assumptions!$F$16-Assumptions!$D$16)/3.29)*44</f>
        <v>14025745.697150957</v>
      </c>
      <c r="O275" s="12">
        <f ca="1">_xlfn.NORM.INV(RAND(),AVERAGE(Assumptions!$D$15,Assumptions!$F$15),(Assumptions!$F$15-Assumptions!$D$15)/3.29)*44</f>
        <v>7748871.0062381737</v>
      </c>
      <c r="P275" s="15">
        <f>Assumptions!$D$18</f>
        <v>14641750.345627395</v>
      </c>
      <c r="Q275" s="3">
        <f t="shared" ca="1" si="8"/>
        <v>-79702167.960403249</v>
      </c>
      <c r="R275" s="6">
        <f t="shared" ca="1" si="9"/>
        <v>-65060417.614775851</v>
      </c>
    </row>
    <row r="276" spans="1:18">
      <c r="A276" s="20">
        <v>275</v>
      </c>
      <c r="B276" s="3">
        <f ca="1">_xlfn.NORM.INV(RAND(),AVERAGE(Assumptions!$D$4,Assumptions!$F$4),(Assumptions!$F$4-Assumptions!$D$4)/3.29)*44</f>
        <v>1262629.3902559564</v>
      </c>
      <c r="C276" s="6">
        <f ca="1">_xlfn.NORM.INV(RAND(),AVERAGE(Assumptions!$D$5,Assumptions!$F$5),(Assumptions!$F$5-Assumptions!$D$5)/3.29)*44</f>
        <v>1836440.2152595455</v>
      </c>
      <c r="D276" s="9">
        <f ca="1">_xlfn.NORM.INV(RAND(),AVERAGE(Assumptions!$D$6,Assumptions!$F$6),(Assumptions!$F$6-Assumptions!$D$6)/3.29)*RANDBETWEEN(2,5)</f>
        <v>4673546.9372406807</v>
      </c>
      <c r="E276" s="12">
        <f ca="1">_xlfn.NORM.INV(RAND(),AVERAGE(Assumptions!$D$17,Assumptions!$F$17),(Assumptions!$F$17-Assumptions!$D$17)/3.29)*8</f>
        <v>842264.50447943632</v>
      </c>
      <c r="F276" s="15">
        <f ca="1">_xlfn.NORM.INV(RAND(),AVERAGE(Assumptions!$D$7,Assumptions!$F$7),(Assumptions!$F$7-Assumptions!$D$7)/3.29)*RANDBETWEEN(1,3)</f>
        <v>5922887.8975705458</v>
      </c>
      <c r="G276" s="3">
        <f ca="1">_xlfn.NORM.INV(RAND(),AVERAGE(Assumptions!$D$8,Assumptions!$F$8),(Assumptions!$F$8-Assumptions!$D$8)/3.29)*44</f>
        <v>1106232.0936731254</v>
      </c>
      <c r="H276" s="6">
        <f ca="1">_xlfn.NORM.INV(RAND(),AVERAGE(Assumptions!$D$9,Assumptions!$F$9),(Assumptions!$F$9-Assumptions!$D$9)/3.29)*21</f>
        <v>4215934.4471018752</v>
      </c>
      <c r="I276" s="9">
        <f ca="1">_xlfn.NORM.INV(RAND(),AVERAGE(Assumptions!$D$10,Assumptions!$F$10),(Assumptions!$F$10-Assumptions!$D$10)/3.29)*21</f>
        <v>773184.9887089018</v>
      </c>
      <c r="J276" s="12">
        <f ca="1">NORMINV(RAND(),AVERAGE(Assumptions!$D$11,Assumptions!$F$11),(Assumptions!$F$11-Assumptions!$D$11)/3.29)*44</f>
        <v>4536432.3675734792</v>
      </c>
      <c r="K276" s="15">
        <f ca="1">_xlfn.NORM.INV(RAND(),AVERAGE(Assumptions!$D$12,Assumptions!$F$12),(Assumptions!$F$12-Assumptions!$D$12)/3.29)*44</f>
        <v>8093001.4753733044</v>
      </c>
      <c r="L276" s="3">
        <f ca="1">_xlfn.NORM.INV(RAND(),AVERAGE(Assumptions!$D$13,Assumptions!$F$13),(Assumptions!$F$13-Assumptions!$D$13)/3.29)*44</f>
        <v>6126588.1891556103</v>
      </c>
      <c r="M276" s="6">
        <f ca="1">_xlfn.NORM.INV(RAND(),AVERAGE(Assumptions!$D$14,Assumptions!$F$14),(Assumptions!$F$14-Assumptions!$D$14)/3.29)*44</f>
        <v>7489584.2129965229</v>
      </c>
      <c r="N276" s="9">
        <f ca="1">_xlfn.NORM.INV(RAND(),AVERAGE(Assumptions!$D$16,Assumptions!$F$16),(Assumptions!$F$16-Assumptions!$D$16)/3.29)*44</f>
        <v>19622473.948338304</v>
      </c>
      <c r="O276" s="12">
        <f ca="1">_xlfn.NORM.INV(RAND(),AVERAGE(Assumptions!$D$15,Assumptions!$F$15),(Assumptions!$F$15-Assumptions!$D$15)/3.29)*44</f>
        <v>55851487.930457301</v>
      </c>
      <c r="P276" s="15">
        <f>Assumptions!$D$18</f>
        <v>14641750.345627395</v>
      </c>
      <c r="Q276" s="3">
        <f t="shared" ca="1" si="8"/>
        <v>-10649712.73726999</v>
      </c>
      <c r="R276" s="6">
        <f t="shared" ca="1" si="9"/>
        <v>3992037.6083574053</v>
      </c>
    </row>
    <row r="277" spans="1:18">
      <c r="A277" s="20">
        <v>276</v>
      </c>
      <c r="B277" s="3">
        <f ca="1">_xlfn.NORM.INV(RAND(),AVERAGE(Assumptions!$D$4,Assumptions!$F$4),(Assumptions!$F$4-Assumptions!$D$4)/3.29)*44</f>
        <v>1094694.9547948418</v>
      </c>
      <c r="C277" s="6">
        <f ca="1">_xlfn.NORM.INV(RAND(),AVERAGE(Assumptions!$D$5,Assumptions!$F$5),(Assumptions!$F$5-Assumptions!$D$5)/3.29)*44</f>
        <v>1906721.4558665468</v>
      </c>
      <c r="D277" s="9">
        <f ca="1">_xlfn.NORM.INV(RAND(),AVERAGE(Assumptions!$D$6,Assumptions!$F$6),(Assumptions!$F$6-Assumptions!$D$6)/3.29)*RANDBETWEEN(2,5)</f>
        <v>5822514.6906233672</v>
      </c>
      <c r="E277" s="12">
        <f ca="1">_xlfn.NORM.INV(RAND(),AVERAGE(Assumptions!$D$17,Assumptions!$F$17),(Assumptions!$F$17-Assumptions!$D$17)/3.29)*8</f>
        <v>808828.90162925131</v>
      </c>
      <c r="F277" s="15">
        <f ca="1">_xlfn.NORM.INV(RAND(),AVERAGE(Assumptions!$D$7,Assumptions!$F$7),(Assumptions!$F$7-Assumptions!$D$7)/3.29)*RANDBETWEEN(1,3)</f>
        <v>3431990.2473943345</v>
      </c>
      <c r="G277" s="3">
        <f ca="1">_xlfn.NORM.INV(RAND(),AVERAGE(Assumptions!$D$8,Assumptions!$F$8),(Assumptions!$F$8-Assumptions!$D$8)/3.29)*44</f>
        <v>1045762.7216898326</v>
      </c>
      <c r="H277" s="6">
        <f ca="1">_xlfn.NORM.INV(RAND(),AVERAGE(Assumptions!$D$9,Assumptions!$F$9),(Assumptions!$F$9-Assumptions!$D$9)/3.29)*21</f>
        <v>3465316.8659158316</v>
      </c>
      <c r="I277" s="9">
        <f ca="1">_xlfn.NORM.INV(RAND(),AVERAGE(Assumptions!$D$10,Assumptions!$F$10),(Assumptions!$F$10-Assumptions!$D$10)/3.29)*21</f>
        <v>554814.12012131931</v>
      </c>
      <c r="J277" s="12">
        <f ca="1">NORMINV(RAND(),AVERAGE(Assumptions!$D$11,Assumptions!$F$11),(Assumptions!$F$11-Assumptions!$D$11)/3.29)*44</f>
        <v>4430864.5086616054</v>
      </c>
      <c r="K277" s="15">
        <f ca="1">_xlfn.NORM.INV(RAND(),AVERAGE(Assumptions!$D$12,Assumptions!$F$12),(Assumptions!$F$12-Assumptions!$D$12)/3.29)*44</f>
        <v>10457555.02291414</v>
      </c>
      <c r="L277" s="3">
        <f ca="1">_xlfn.NORM.INV(RAND(),AVERAGE(Assumptions!$D$13,Assumptions!$F$13),(Assumptions!$F$13-Assumptions!$D$13)/3.29)*44</f>
        <v>20475827.948536869</v>
      </c>
      <c r="M277" s="6">
        <f ca="1">_xlfn.NORM.INV(RAND(),AVERAGE(Assumptions!$D$14,Assumptions!$F$14),(Assumptions!$F$14-Assumptions!$D$14)/3.29)*44</f>
        <v>6083561.248905886</v>
      </c>
      <c r="N277" s="9">
        <f ca="1">_xlfn.NORM.INV(RAND(),AVERAGE(Assumptions!$D$16,Assumptions!$F$16),(Assumptions!$F$16-Assumptions!$D$16)/3.29)*44</f>
        <v>11521141.320548004</v>
      </c>
      <c r="O277" s="12">
        <f ca="1">_xlfn.NORM.INV(RAND(),AVERAGE(Assumptions!$D$15,Assumptions!$F$15),(Assumptions!$F$15-Assumptions!$D$15)/3.29)*44</f>
        <v>103915900.08800521</v>
      </c>
      <c r="P277" s="15">
        <f>Assumptions!$D$18</f>
        <v>14641750.345627395</v>
      </c>
      <c r="Q277" s="3">
        <f t="shared" ca="1" si="8"/>
        <v>32816306.080403388</v>
      </c>
      <c r="R277" s="6">
        <f t="shared" ca="1" si="9"/>
        <v>47458056.426030785</v>
      </c>
    </row>
    <row r="278" spans="1:18">
      <c r="A278" s="20">
        <v>277</v>
      </c>
      <c r="B278" s="3">
        <f ca="1">_xlfn.NORM.INV(RAND(),AVERAGE(Assumptions!$D$4,Assumptions!$F$4),(Assumptions!$F$4-Assumptions!$D$4)/3.29)*44</f>
        <v>1067961.2529442704</v>
      </c>
      <c r="C278" s="6">
        <f ca="1">_xlfn.NORM.INV(RAND(),AVERAGE(Assumptions!$D$5,Assumptions!$F$5),(Assumptions!$F$5-Assumptions!$D$5)/3.29)*44</f>
        <v>1812834.548839109</v>
      </c>
      <c r="D278" s="9">
        <f ca="1">_xlfn.NORM.INV(RAND(),AVERAGE(Assumptions!$D$6,Assumptions!$F$6),(Assumptions!$F$6-Assumptions!$D$6)/3.29)*RANDBETWEEN(2,5)</f>
        <v>3166690.5862010312</v>
      </c>
      <c r="E278" s="12">
        <f ca="1">_xlfn.NORM.INV(RAND(),AVERAGE(Assumptions!$D$17,Assumptions!$F$17),(Assumptions!$F$17-Assumptions!$D$17)/3.29)*8</f>
        <v>1110759.35240023</v>
      </c>
      <c r="F278" s="15">
        <f ca="1">_xlfn.NORM.INV(RAND(),AVERAGE(Assumptions!$D$7,Assumptions!$F$7),(Assumptions!$F$7-Assumptions!$D$7)/3.29)*RANDBETWEEN(1,3)</f>
        <v>9696139.8562788926</v>
      </c>
      <c r="G278" s="3">
        <f ca="1">_xlfn.NORM.INV(RAND(),AVERAGE(Assumptions!$D$8,Assumptions!$F$8),(Assumptions!$F$8-Assumptions!$D$8)/3.29)*44</f>
        <v>1606848.2059468315</v>
      </c>
      <c r="H278" s="6">
        <f ca="1">_xlfn.NORM.INV(RAND(),AVERAGE(Assumptions!$D$9,Assumptions!$F$9),(Assumptions!$F$9-Assumptions!$D$9)/3.29)*21</f>
        <v>6212034.1826998899</v>
      </c>
      <c r="I278" s="9">
        <f ca="1">_xlfn.NORM.INV(RAND(),AVERAGE(Assumptions!$D$10,Assumptions!$F$10),(Assumptions!$F$10-Assumptions!$D$10)/3.29)*21</f>
        <v>1143623.1572514097</v>
      </c>
      <c r="J278" s="12">
        <f ca="1">NORMINV(RAND(),AVERAGE(Assumptions!$D$11,Assumptions!$F$11),(Assumptions!$F$11-Assumptions!$D$11)/3.29)*44</f>
        <v>5612557.9078495558</v>
      </c>
      <c r="K278" s="15">
        <f ca="1">_xlfn.NORM.INV(RAND(),AVERAGE(Assumptions!$D$12,Assumptions!$F$12),(Assumptions!$F$12-Assumptions!$D$12)/3.29)*44</f>
        <v>10119469.79050325</v>
      </c>
      <c r="L278" s="3">
        <f ca="1">_xlfn.NORM.INV(RAND(),AVERAGE(Assumptions!$D$13,Assumptions!$F$13),(Assumptions!$F$13-Assumptions!$D$13)/3.29)*44</f>
        <v>23839181.912321396</v>
      </c>
      <c r="M278" s="6">
        <f ca="1">_xlfn.NORM.INV(RAND(),AVERAGE(Assumptions!$D$14,Assumptions!$F$14),(Assumptions!$F$14-Assumptions!$D$14)/3.29)*44</f>
        <v>5399200.3881617049</v>
      </c>
      <c r="N278" s="9">
        <f ca="1">_xlfn.NORM.INV(RAND(),AVERAGE(Assumptions!$D$16,Assumptions!$F$16),(Assumptions!$F$16-Assumptions!$D$16)/3.29)*44</f>
        <v>20440717.49485708</v>
      </c>
      <c r="O278" s="12">
        <f ca="1">_xlfn.NORM.INV(RAND(),AVERAGE(Assumptions!$D$15,Assumptions!$F$15),(Assumptions!$F$15-Assumptions!$D$15)/3.29)*44</f>
        <v>78215570.656172305</v>
      </c>
      <c r="P278" s="15">
        <f>Assumptions!$D$18</f>
        <v>14641750.345627395</v>
      </c>
      <c r="Q278" s="3">
        <f t="shared" ca="1" si="8"/>
        <v>-13012447.980082348</v>
      </c>
      <c r="R278" s="6">
        <f t="shared" ca="1" si="9"/>
        <v>1629302.3655450474</v>
      </c>
    </row>
    <row r="279" spans="1:18">
      <c r="A279" s="20">
        <v>278</v>
      </c>
      <c r="B279" s="3">
        <f ca="1">_xlfn.NORM.INV(RAND(),AVERAGE(Assumptions!$D$4,Assumptions!$F$4),(Assumptions!$F$4-Assumptions!$D$4)/3.29)*44</f>
        <v>1161402.0193966641</v>
      </c>
      <c r="C279" s="6">
        <f ca="1">_xlfn.NORM.INV(RAND(),AVERAGE(Assumptions!$D$5,Assumptions!$F$5),(Assumptions!$F$5-Assumptions!$D$5)/3.29)*44</f>
        <v>1612823.4600253934</v>
      </c>
      <c r="D279" s="9">
        <f ca="1">_xlfn.NORM.INV(RAND(),AVERAGE(Assumptions!$D$6,Assumptions!$F$6),(Assumptions!$F$6-Assumptions!$D$6)/3.29)*RANDBETWEEN(2,5)</f>
        <v>5733101.9939990146</v>
      </c>
      <c r="E279" s="12">
        <f ca="1">_xlfn.NORM.INV(RAND(),AVERAGE(Assumptions!$D$17,Assumptions!$F$17),(Assumptions!$F$17-Assumptions!$D$17)/3.29)*8</f>
        <v>953639.3938249338</v>
      </c>
      <c r="F279" s="15">
        <f ca="1">_xlfn.NORM.INV(RAND(),AVERAGE(Assumptions!$D$7,Assumptions!$F$7),(Assumptions!$F$7-Assumptions!$D$7)/3.29)*RANDBETWEEN(1,3)</f>
        <v>4328302.5720275743</v>
      </c>
      <c r="G279" s="3">
        <f ca="1">_xlfn.NORM.INV(RAND(),AVERAGE(Assumptions!$D$8,Assumptions!$F$8),(Assumptions!$F$8-Assumptions!$D$8)/3.29)*44</f>
        <v>1304803.8510895956</v>
      </c>
      <c r="H279" s="6">
        <f ca="1">_xlfn.NORM.INV(RAND(),AVERAGE(Assumptions!$D$9,Assumptions!$F$9),(Assumptions!$F$9-Assumptions!$D$9)/3.29)*21</f>
        <v>6697996.7640362643</v>
      </c>
      <c r="I279" s="9">
        <f ca="1">_xlfn.NORM.INV(RAND(),AVERAGE(Assumptions!$D$10,Assumptions!$F$10),(Assumptions!$F$10-Assumptions!$D$10)/3.29)*21</f>
        <v>997183.20419227111</v>
      </c>
      <c r="J279" s="12">
        <f ca="1">NORMINV(RAND(),AVERAGE(Assumptions!$D$11,Assumptions!$F$11),(Assumptions!$F$11-Assumptions!$D$11)/3.29)*44</f>
        <v>5010966.8729925361</v>
      </c>
      <c r="K279" s="15">
        <f ca="1">_xlfn.NORM.INV(RAND(),AVERAGE(Assumptions!$D$12,Assumptions!$F$12),(Assumptions!$F$12-Assumptions!$D$12)/3.29)*44</f>
        <v>8586648.1297986601</v>
      </c>
      <c r="L279" s="3">
        <f ca="1">_xlfn.NORM.INV(RAND(),AVERAGE(Assumptions!$D$13,Assumptions!$F$13),(Assumptions!$F$13-Assumptions!$D$13)/3.29)*44</f>
        <v>9104059.8444530889</v>
      </c>
      <c r="M279" s="6">
        <f ca="1">_xlfn.NORM.INV(RAND(),AVERAGE(Assumptions!$D$14,Assumptions!$F$14),(Assumptions!$F$14-Assumptions!$D$14)/3.29)*44</f>
        <v>6648901.2822468719</v>
      </c>
      <c r="N279" s="9">
        <f ca="1">_xlfn.NORM.INV(RAND(),AVERAGE(Assumptions!$D$16,Assumptions!$F$16),(Assumptions!$F$16-Assumptions!$D$16)/3.29)*44</f>
        <v>15057127.684172317</v>
      </c>
      <c r="O279" s="12">
        <f ca="1">_xlfn.NORM.INV(RAND(),AVERAGE(Assumptions!$D$15,Assumptions!$F$15),(Assumptions!$F$15-Assumptions!$D$15)/3.29)*44</f>
        <v>79587599.052656651</v>
      </c>
      <c r="P279" s="15">
        <f>Assumptions!$D$18</f>
        <v>14641750.345627395</v>
      </c>
      <c r="Q279" s="3">
        <f t="shared" ca="1" si="8"/>
        <v>12390641.980401471</v>
      </c>
      <c r="R279" s="6">
        <f t="shared" ca="1" si="9"/>
        <v>27032392.326028869</v>
      </c>
    </row>
    <row r="280" spans="1:18">
      <c r="A280" s="20">
        <v>279</v>
      </c>
      <c r="B280" s="3">
        <f ca="1">_xlfn.NORM.INV(RAND(),AVERAGE(Assumptions!$D$4,Assumptions!$F$4),(Assumptions!$F$4-Assumptions!$D$4)/3.29)*44</f>
        <v>1255851.0328394091</v>
      </c>
      <c r="C280" s="6">
        <f ca="1">_xlfn.NORM.INV(RAND(),AVERAGE(Assumptions!$D$5,Assumptions!$F$5),(Assumptions!$F$5-Assumptions!$D$5)/3.29)*44</f>
        <v>1794565.0556797788</v>
      </c>
      <c r="D280" s="9">
        <f ca="1">_xlfn.NORM.INV(RAND(),AVERAGE(Assumptions!$D$6,Assumptions!$F$6),(Assumptions!$F$6-Assumptions!$D$6)/3.29)*RANDBETWEEN(2,5)</f>
        <v>6525722.4214601517</v>
      </c>
      <c r="E280" s="12">
        <f ca="1">_xlfn.NORM.INV(RAND(),AVERAGE(Assumptions!$D$17,Assumptions!$F$17),(Assumptions!$F$17-Assumptions!$D$17)/3.29)*8</f>
        <v>946641.86955516855</v>
      </c>
      <c r="F280" s="15">
        <f ca="1">_xlfn.NORM.INV(RAND(),AVERAGE(Assumptions!$D$7,Assumptions!$F$7),(Assumptions!$F$7-Assumptions!$D$7)/3.29)*RANDBETWEEN(1,3)</f>
        <v>3508103.2110455907</v>
      </c>
      <c r="G280" s="3">
        <f ca="1">_xlfn.NORM.INV(RAND(),AVERAGE(Assumptions!$D$8,Assumptions!$F$8),(Assumptions!$F$8-Assumptions!$D$8)/3.29)*44</f>
        <v>1117978.9676333494</v>
      </c>
      <c r="H280" s="6">
        <f ca="1">_xlfn.NORM.INV(RAND(),AVERAGE(Assumptions!$D$9,Assumptions!$F$9),(Assumptions!$F$9-Assumptions!$D$9)/3.29)*21</f>
        <v>4638080.1594575541</v>
      </c>
      <c r="I280" s="9">
        <f ca="1">_xlfn.NORM.INV(RAND(),AVERAGE(Assumptions!$D$10,Assumptions!$F$10),(Assumptions!$F$10-Assumptions!$D$10)/3.29)*21</f>
        <v>678375.56571685232</v>
      </c>
      <c r="J280" s="12">
        <f ca="1">NORMINV(RAND(),AVERAGE(Assumptions!$D$11,Assumptions!$F$11),(Assumptions!$F$11-Assumptions!$D$11)/3.29)*44</f>
        <v>2570201.8068570057</v>
      </c>
      <c r="K280" s="15">
        <f ca="1">_xlfn.NORM.INV(RAND(),AVERAGE(Assumptions!$D$12,Assumptions!$F$12),(Assumptions!$F$12-Assumptions!$D$12)/3.29)*44</f>
        <v>8362161.1806166926</v>
      </c>
      <c r="L280" s="3">
        <f ca="1">_xlfn.NORM.INV(RAND(),AVERAGE(Assumptions!$D$13,Assumptions!$F$13),(Assumptions!$F$13-Assumptions!$D$13)/3.29)*44</f>
        <v>12469286.154260483</v>
      </c>
      <c r="M280" s="6">
        <f ca="1">_xlfn.NORM.INV(RAND(),AVERAGE(Assumptions!$D$14,Assumptions!$F$14),(Assumptions!$F$14-Assumptions!$D$14)/3.29)*44</f>
        <v>6726459.4352659229</v>
      </c>
      <c r="N280" s="9">
        <f ca="1">_xlfn.NORM.INV(RAND(),AVERAGE(Assumptions!$D$16,Assumptions!$F$16),(Assumptions!$F$16-Assumptions!$D$16)/3.29)*44</f>
        <v>7670806.2429837445</v>
      </c>
      <c r="O280" s="12">
        <f ca="1">_xlfn.NORM.INV(RAND(),AVERAGE(Assumptions!$D$15,Assumptions!$F$15),(Assumptions!$F$15-Assumptions!$D$15)/3.29)*44</f>
        <v>63750052.691195346</v>
      </c>
      <c r="P280" s="15">
        <f>Assumptions!$D$18</f>
        <v>14641750.345627395</v>
      </c>
      <c r="Q280" s="3">
        <f t="shared" ca="1" si="8"/>
        <v>5485819.5878236517</v>
      </c>
      <c r="R280" s="6">
        <f t="shared" ca="1" si="9"/>
        <v>20127569.933451049</v>
      </c>
    </row>
    <row r="281" spans="1:18">
      <c r="A281" s="20">
        <v>280</v>
      </c>
      <c r="B281" s="3">
        <f ca="1">_xlfn.NORM.INV(RAND(),AVERAGE(Assumptions!$D$4,Assumptions!$F$4),(Assumptions!$F$4-Assumptions!$D$4)/3.29)*44</f>
        <v>1073334.4012951038</v>
      </c>
      <c r="C281" s="6">
        <f ca="1">_xlfn.NORM.INV(RAND(),AVERAGE(Assumptions!$D$5,Assumptions!$F$5),(Assumptions!$F$5-Assumptions!$D$5)/3.29)*44</f>
        <v>1677867.4776008006</v>
      </c>
      <c r="D281" s="9">
        <f ca="1">_xlfn.NORM.INV(RAND(),AVERAGE(Assumptions!$D$6,Assumptions!$F$6),(Assumptions!$F$6-Assumptions!$D$6)/3.29)*RANDBETWEEN(2,5)</f>
        <v>4199159.1210289961</v>
      </c>
      <c r="E281" s="12">
        <f ca="1">_xlfn.NORM.INV(RAND(),AVERAGE(Assumptions!$D$17,Assumptions!$F$17),(Assumptions!$F$17-Assumptions!$D$17)/3.29)*8</f>
        <v>927466.26596389001</v>
      </c>
      <c r="F281" s="15">
        <f ca="1">_xlfn.NORM.INV(RAND(),AVERAGE(Assumptions!$D$7,Assumptions!$F$7),(Assumptions!$F$7-Assumptions!$D$7)/3.29)*RANDBETWEEN(1,3)</f>
        <v>8330805.5696506882</v>
      </c>
      <c r="G281" s="3">
        <f ca="1">_xlfn.NORM.INV(RAND(),AVERAGE(Assumptions!$D$8,Assumptions!$F$8),(Assumptions!$F$8-Assumptions!$D$8)/3.29)*44</f>
        <v>1373039.4534687006</v>
      </c>
      <c r="H281" s="6">
        <f ca="1">_xlfn.NORM.INV(RAND(),AVERAGE(Assumptions!$D$9,Assumptions!$F$9),(Assumptions!$F$9-Assumptions!$D$9)/3.29)*21</f>
        <v>4633372.4626718871</v>
      </c>
      <c r="I281" s="9">
        <f ca="1">_xlfn.NORM.INV(RAND(),AVERAGE(Assumptions!$D$10,Assumptions!$F$10),(Assumptions!$F$10-Assumptions!$D$10)/3.29)*21</f>
        <v>568768.90101398481</v>
      </c>
      <c r="J281" s="12">
        <f ca="1">NORMINV(RAND(),AVERAGE(Assumptions!$D$11,Assumptions!$F$11),(Assumptions!$F$11-Assumptions!$D$11)/3.29)*44</f>
        <v>5432992.577794618</v>
      </c>
      <c r="K281" s="15">
        <f ca="1">_xlfn.NORM.INV(RAND(),AVERAGE(Assumptions!$D$12,Assumptions!$F$12),(Assumptions!$F$12-Assumptions!$D$12)/3.29)*44</f>
        <v>6707115.8181123054</v>
      </c>
      <c r="L281" s="3">
        <f ca="1">_xlfn.NORM.INV(RAND(),AVERAGE(Assumptions!$D$13,Assumptions!$F$13),(Assumptions!$F$13-Assumptions!$D$13)/3.29)*44</f>
        <v>4128668.8936994174</v>
      </c>
      <c r="M281" s="6">
        <f ca="1">_xlfn.NORM.INV(RAND(),AVERAGE(Assumptions!$D$14,Assumptions!$F$14),(Assumptions!$F$14-Assumptions!$D$14)/3.29)*44</f>
        <v>6069192.708259806</v>
      </c>
      <c r="N281" s="9">
        <f ca="1">_xlfn.NORM.INV(RAND(),AVERAGE(Assumptions!$D$16,Assumptions!$F$16),(Assumptions!$F$16-Assumptions!$D$16)/3.29)*44</f>
        <v>12164628.070151722</v>
      </c>
      <c r="O281" s="12">
        <f ca="1">_xlfn.NORM.INV(RAND(),AVERAGE(Assumptions!$D$15,Assumptions!$F$15),(Assumptions!$F$15-Assumptions!$D$15)/3.29)*44</f>
        <v>66698511.003766581</v>
      </c>
      <c r="P281" s="15">
        <f>Assumptions!$D$18</f>
        <v>14641750.345627395</v>
      </c>
      <c r="Q281" s="3">
        <f t="shared" ca="1" si="8"/>
        <v>9412099.2830546573</v>
      </c>
      <c r="R281" s="6">
        <f t="shared" ca="1" si="9"/>
        <v>24053849.628682055</v>
      </c>
    </row>
    <row r="282" spans="1:18">
      <c r="A282" s="20">
        <v>281</v>
      </c>
      <c r="B282" s="3">
        <f ca="1">_xlfn.NORM.INV(RAND(),AVERAGE(Assumptions!$D$4,Assumptions!$F$4),(Assumptions!$F$4-Assumptions!$D$4)/3.29)*44</f>
        <v>1256613.2610239447</v>
      </c>
      <c r="C282" s="6">
        <f ca="1">_xlfn.NORM.INV(RAND(),AVERAGE(Assumptions!$D$5,Assumptions!$F$5),(Assumptions!$F$5-Assumptions!$D$5)/3.29)*44</f>
        <v>2078515.6744964935</v>
      </c>
      <c r="D282" s="9">
        <f ca="1">_xlfn.NORM.INV(RAND(),AVERAGE(Assumptions!$D$6,Assumptions!$F$6),(Assumptions!$F$6-Assumptions!$D$6)/3.29)*RANDBETWEEN(2,5)</f>
        <v>4872344.4368358385</v>
      </c>
      <c r="E282" s="12">
        <f ca="1">_xlfn.NORM.INV(RAND(),AVERAGE(Assumptions!$D$17,Assumptions!$F$17),(Assumptions!$F$17-Assumptions!$D$17)/3.29)*8</f>
        <v>1012532.4992137155</v>
      </c>
      <c r="F282" s="15">
        <f ca="1">_xlfn.NORM.INV(RAND(),AVERAGE(Assumptions!$D$7,Assumptions!$F$7),(Assumptions!$F$7-Assumptions!$D$7)/3.29)*RANDBETWEEN(1,3)</f>
        <v>2713680.9616624485</v>
      </c>
      <c r="G282" s="3">
        <f ca="1">_xlfn.NORM.INV(RAND(),AVERAGE(Assumptions!$D$8,Assumptions!$F$8),(Assumptions!$F$8-Assumptions!$D$8)/3.29)*44</f>
        <v>903759.90403572074</v>
      </c>
      <c r="H282" s="6">
        <f ca="1">_xlfn.NORM.INV(RAND(),AVERAGE(Assumptions!$D$9,Assumptions!$F$9),(Assumptions!$F$9-Assumptions!$D$9)/3.29)*21</f>
        <v>2119588.0658583739</v>
      </c>
      <c r="I282" s="9">
        <f ca="1">_xlfn.NORM.INV(RAND(),AVERAGE(Assumptions!$D$10,Assumptions!$F$10),(Assumptions!$F$10-Assumptions!$D$10)/3.29)*21</f>
        <v>856961.39233069983</v>
      </c>
      <c r="J282" s="12">
        <f ca="1">NORMINV(RAND(),AVERAGE(Assumptions!$D$11,Assumptions!$F$11),(Assumptions!$F$11-Assumptions!$D$11)/3.29)*44</f>
        <v>5054165.8295787983</v>
      </c>
      <c r="K282" s="15">
        <f ca="1">_xlfn.NORM.INV(RAND(),AVERAGE(Assumptions!$D$12,Assumptions!$F$12),(Assumptions!$F$12-Assumptions!$D$12)/3.29)*44</f>
        <v>8397816.5523076002</v>
      </c>
      <c r="L282" s="3">
        <f ca="1">_xlfn.NORM.INV(RAND(),AVERAGE(Assumptions!$D$13,Assumptions!$F$13),(Assumptions!$F$13-Assumptions!$D$13)/3.29)*44</f>
        <v>8167998.4648202192</v>
      </c>
      <c r="M282" s="6">
        <f ca="1">_xlfn.NORM.INV(RAND(),AVERAGE(Assumptions!$D$14,Assumptions!$F$14),(Assumptions!$F$14-Assumptions!$D$14)/3.29)*44</f>
        <v>6021937.8395621786</v>
      </c>
      <c r="N282" s="9">
        <f ca="1">_xlfn.NORM.INV(RAND(),AVERAGE(Assumptions!$D$16,Assumptions!$F$16),(Assumptions!$F$16-Assumptions!$D$16)/3.29)*44</f>
        <v>9246780.7554079127</v>
      </c>
      <c r="O282" s="12">
        <f ca="1">_xlfn.NORM.INV(RAND(),AVERAGE(Assumptions!$D$15,Assumptions!$F$15),(Assumptions!$F$15-Assumptions!$D$15)/3.29)*44</f>
        <v>109331522.92999209</v>
      </c>
      <c r="P282" s="15">
        <f>Assumptions!$D$18</f>
        <v>14641750.345627395</v>
      </c>
      <c r="Q282" s="3">
        <f t="shared" ca="1" si="8"/>
        <v>56628827.292858146</v>
      </c>
      <c r="R282" s="6">
        <f t="shared" ca="1" si="9"/>
        <v>71270577.638485536</v>
      </c>
    </row>
    <row r="283" spans="1:18">
      <c r="A283" s="20">
        <v>282</v>
      </c>
      <c r="B283" s="3">
        <f ca="1">_xlfn.NORM.INV(RAND(),AVERAGE(Assumptions!$D$4,Assumptions!$F$4),(Assumptions!$F$4-Assumptions!$D$4)/3.29)*44</f>
        <v>1237007.6926827568</v>
      </c>
      <c r="C283" s="6">
        <f ca="1">_xlfn.NORM.INV(RAND(),AVERAGE(Assumptions!$D$5,Assumptions!$F$5),(Assumptions!$F$5-Assumptions!$D$5)/3.29)*44</f>
        <v>1651344.3945234772</v>
      </c>
      <c r="D283" s="9">
        <f ca="1">_xlfn.NORM.INV(RAND(),AVERAGE(Assumptions!$D$6,Assumptions!$F$6),(Assumptions!$F$6-Assumptions!$D$6)/3.29)*RANDBETWEEN(2,5)</f>
        <v>360763.77342834696</v>
      </c>
      <c r="E283" s="12">
        <f ca="1">_xlfn.NORM.INV(RAND(),AVERAGE(Assumptions!$D$17,Assumptions!$F$17),(Assumptions!$F$17-Assumptions!$D$17)/3.29)*8</f>
        <v>1009107.4958308582</v>
      </c>
      <c r="F283" s="15">
        <f ca="1">_xlfn.NORM.INV(RAND(),AVERAGE(Assumptions!$D$7,Assumptions!$F$7),(Assumptions!$F$7-Assumptions!$D$7)/3.29)*RANDBETWEEN(1,3)</f>
        <v>6999595.9989369083</v>
      </c>
      <c r="G283" s="3">
        <f ca="1">_xlfn.NORM.INV(RAND(),AVERAGE(Assumptions!$D$8,Assumptions!$F$8),(Assumptions!$F$8-Assumptions!$D$8)/3.29)*44</f>
        <v>1416460.0965430804</v>
      </c>
      <c r="H283" s="6">
        <f ca="1">_xlfn.NORM.INV(RAND(),AVERAGE(Assumptions!$D$9,Assumptions!$F$9),(Assumptions!$F$9-Assumptions!$D$9)/3.29)*21</f>
        <v>6032884.4638001109</v>
      </c>
      <c r="I283" s="9">
        <f ca="1">_xlfn.NORM.INV(RAND(),AVERAGE(Assumptions!$D$10,Assumptions!$F$10),(Assumptions!$F$10-Assumptions!$D$10)/3.29)*21</f>
        <v>656086.4826643205</v>
      </c>
      <c r="J283" s="12">
        <f ca="1">NORMINV(RAND(),AVERAGE(Assumptions!$D$11,Assumptions!$F$11),(Assumptions!$F$11-Assumptions!$D$11)/3.29)*44</f>
        <v>4760282.0023533078</v>
      </c>
      <c r="K283" s="15">
        <f ca="1">_xlfn.NORM.INV(RAND(),AVERAGE(Assumptions!$D$12,Assumptions!$F$12),(Assumptions!$F$12-Assumptions!$D$12)/3.29)*44</f>
        <v>9318272.2198780589</v>
      </c>
      <c r="L283" s="3">
        <f ca="1">_xlfn.NORM.INV(RAND(),AVERAGE(Assumptions!$D$13,Assumptions!$F$13),(Assumptions!$F$13-Assumptions!$D$13)/3.29)*44</f>
        <v>10506052.915784284</v>
      </c>
      <c r="M283" s="6">
        <f ca="1">_xlfn.NORM.INV(RAND(),AVERAGE(Assumptions!$D$14,Assumptions!$F$14),(Assumptions!$F$14-Assumptions!$D$14)/3.29)*44</f>
        <v>6931601.2329107868</v>
      </c>
      <c r="N283" s="9">
        <f ca="1">_xlfn.NORM.INV(RAND(),AVERAGE(Assumptions!$D$16,Assumptions!$F$16),(Assumptions!$F$16-Assumptions!$D$16)/3.29)*44</f>
        <v>9134435.2352963556</v>
      </c>
      <c r="O283" s="12">
        <f ca="1">_xlfn.NORM.INV(RAND(),AVERAGE(Assumptions!$D$15,Assumptions!$F$15),(Assumptions!$F$15-Assumptions!$D$15)/3.29)*44</f>
        <v>-25068427.652266059</v>
      </c>
      <c r="P283" s="15">
        <f>Assumptions!$D$18</f>
        <v>14641750.345627395</v>
      </c>
      <c r="Q283" s="3">
        <f t="shared" ca="1" si="8"/>
        <v>-85082321.656898707</v>
      </c>
      <c r="R283" s="6">
        <f t="shared" ca="1" si="9"/>
        <v>-70440571.31127131</v>
      </c>
    </row>
    <row r="284" spans="1:18">
      <c r="A284" s="20">
        <v>283</v>
      </c>
      <c r="B284" s="3">
        <f ca="1">_xlfn.NORM.INV(RAND(),AVERAGE(Assumptions!$D$4,Assumptions!$F$4),(Assumptions!$F$4-Assumptions!$D$4)/3.29)*44</f>
        <v>1221269.5566112851</v>
      </c>
      <c r="C284" s="6">
        <f ca="1">_xlfn.NORM.INV(RAND(),AVERAGE(Assumptions!$D$5,Assumptions!$F$5),(Assumptions!$F$5-Assumptions!$D$5)/3.29)*44</f>
        <v>1716067.8608673215</v>
      </c>
      <c r="D284" s="9">
        <f ca="1">_xlfn.NORM.INV(RAND(),AVERAGE(Assumptions!$D$6,Assumptions!$F$6),(Assumptions!$F$6-Assumptions!$D$6)/3.29)*RANDBETWEEN(2,5)</f>
        <v>3504247.4426356545</v>
      </c>
      <c r="E284" s="12">
        <f ca="1">_xlfn.NORM.INV(RAND(),AVERAGE(Assumptions!$D$17,Assumptions!$F$17),(Assumptions!$F$17-Assumptions!$D$17)/3.29)*8</f>
        <v>931061.79259255284</v>
      </c>
      <c r="F284" s="15">
        <f ca="1">_xlfn.NORM.INV(RAND(),AVERAGE(Assumptions!$D$7,Assumptions!$F$7),(Assumptions!$F$7-Assumptions!$D$7)/3.29)*RANDBETWEEN(1,3)</f>
        <v>2371367.7855288582</v>
      </c>
      <c r="G284" s="3">
        <f ca="1">_xlfn.NORM.INV(RAND(),AVERAGE(Assumptions!$D$8,Assumptions!$F$8),(Assumptions!$F$8-Assumptions!$D$8)/3.29)*44</f>
        <v>1134658.658048762</v>
      </c>
      <c r="H284" s="6">
        <f ca="1">_xlfn.NORM.INV(RAND(),AVERAGE(Assumptions!$D$9,Assumptions!$F$9),(Assumptions!$F$9-Assumptions!$D$9)/3.29)*21</f>
        <v>3067905.8872212023</v>
      </c>
      <c r="I284" s="9">
        <f ca="1">_xlfn.NORM.INV(RAND(),AVERAGE(Assumptions!$D$10,Assumptions!$F$10),(Assumptions!$F$10-Assumptions!$D$10)/3.29)*21</f>
        <v>635952.29824811174</v>
      </c>
      <c r="J284" s="12">
        <f ca="1">NORMINV(RAND(),AVERAGE(Assumptions!$D$11,Assumptions!$F$11),(Assumptions!$F$11-Assumptions!$D$11)/3.29)*44</f>
        <v>1662564.9745995454</v>
      </c>
      <c r="K284" s="15">
        <f ca="1">_xlfn.NORM.INV(RAND(),AVERAGE(Assumptions!$D$12,Assumptions!$F$12),(Assumptions!$F$12-Assumptions!$D$12)/3.29)*44</f>
        <v>8079154.2054515621</v>
      </c>
      <c r="L284" s="3">
        <f ca="1">_xlfn.NORM.INV(RAND(),AVERAGE(Assumptions!$D$13,Assumptions!$F$13),(Assumptions!$F$13-Assumptions!$D$13)/3.29)*44</f>
        <v>15892515.455496838</v>
      </c>
      <c r="M284" s="6">
        <f ca="1">_xlfn.NORM.INV(RAND(),AVERAGE(Assumptions!$D$14,Assumptions!$F$14),(Assumptions!$F$14-Assumptions!$D$14)/3.29)*44</f>
        <v>4553231.712517675</v>
      </c>
      <c r="N284" s="9">
        <f ca="1">_xlfn.NORM.INV(RAND(),AVERAGE(Assumptions!$D$16,Assumptions!$F$16),(Assumptions!$F$16-Assumptions!$D$16)/3.29)*44</f>
        <v>8871129.0569563396</v>
      </c>
      <c r="O284" s="12">
        <f ca="1">_xlfn.NORM.INV(RAND(),AVERAGE(Assumptions!$D$15,Assumptions!$F$15),(Assumptions!$F$15-Assumptions!$D$15)/3.29)*44</f>
        <v>112810212.86667004</v>
      </c>
      <c r="P284" s="15">
        <f>Assumptions!$D$18</f>
        <v>14641750.345627395</v>
      </c>
      <c r="Q284" s="3">
        <f t="shared" ca="1" si="8"/>
        <v>59169086.179894328</v>
      </c>
      <c r="R284" s="6">
        <f t="shared" ca="1" si="9"/>
        <v>73810836.525521725</v>
      </c>
    </row>
    <row r="285" spans="1:18">
      <c r="A285" s="20">
        <v>284</v>
      </c>
      <c r="B285" s="3">
        <f ca="1">_xlfn.NORM.INV(RAND(),AVERAGE(Assumptions!$D$4,Assumptions!$F$4),(Assumptions!$F$4-Assumptions!$D$4)/3.29)*44</f>
        <v>1260046.0893785085</v>
      </c>
      <c r="C285" s="6">
        <f ca="1">_xlfn.NORM.INV(RAND(),AVERAGE(Assumptions!$D$5,Assumptions!$F$5),(Assumptions!$F$5-Assumptions!$D$5)/3.29)*44</f>
        <v>1744773.9444883415</v>
      </c>
      <c r="D285" s="9">
        <f ca="1">_xlfn.NORM.INV(RAND(),AVERAGE(Assumptions!$D$6,Assumptions!$F$6),(Assumptions!$F$6-Assumptions!$D$6)/3.29)*RANDBETWEEN(2,5)</f>
        <v>2876413.3247410632</v>
      </c>
      <c r="E285" s="12">
        <f ca="1">_xlfn.NORM.INV(RAND(),AVERAGE(Assumptions!$D$17,Assumptions!$F$17),(Assumptions!$F$17-Assumptions!$D$17)/3.29)*8</f>
        <v>741649.23146541673</v>
      </c>
      <c r="F285" s="15">
        <f ca="1">_xlfn.NORM.INV(RAND(),AVERAGE(Assumptions!$D$7,Assumptions!$F$7),(Assumptions!$F$7-Assumptions!$D$7)/3.29)*RANDBETWEEN(1,3)</f>
        <v>2787645.1905355137</v>
      </c>
      <c r="G285" s="3">
        <f ca="1">_xlfn.NORM.INV(RAND(),AVERAGE(Assumptions!$D$8,Assumptions!$F$8),(Assumptions!$F$8-Assumptions!$D$8)/3.29)*44</f>
        <v>1156785.9173382304</v>
      </c>
      <c r="H285" s="6">
        <f ca="1">_xlfn.NORM.INV(RAND(),AVERAGE(Assumptions!$D$9,Assumptions!$F$9),(Assumptions!$F$9-Assumptions!$D$9)/3.29)*21</f>
        <v>3550181.165679628</v>
      </c>
      <c r="I285" s="9">
        <f ca="1">_xlfn.NORM.INV(RAND(),AVERAGE(Assumptions!$D$10,Assumptions!$F$10),(Assumptions!$F$10-Assumptions!$D$10)/3.29)*21</f>
        <v>587993.06045318383</v>
      </c>
      <c r="J285" s="12">
        <f ca="1">NORMINV(RAND(),AVERAGE(Assumptions!$D$11,Assumptions!$F$11),(Assumptions!$F$11-Assumptions!$D$11)/3.29)*44</f>
        <v>1026595.6675108037</v>
      </c>
      <c r="K285" s="15">
        <f ca="1">_xlfn.NORM.INV(RAND(),AVERAGE(Assumptions!$D$12,Assumptions!$F$12),(Assumptions!$F$12-Assumptions!$D$12)/3.29)*44</f>
        <v>11106487.376245938</v>
      </c>
      <c r="L285" s="3">
        <f ca="1">_xlfn.NORM.INV(RAND(),AVERAGE(Assumptions!$D$13,Assumptions!$F$13),(Assumptions!$F$13-Assumptions!$D$13)/3.29)*44</f>
        <v>13543241.906461438</v>
      </c>
      <c r="M285" s="6">
        <f ca="1">_xlfn.NORM.INV(RAND(),AVERAGE(Assumptions!$D$14,Assumptions!$F$14),(Assumptions!$F$14-Assumptions!$D$14)/3.29)*44</f>
        <v>4971655.5146195963</v>
      </c>
      <c r="N285" s="9">
        <f ca="1">_xlfn.NORM.INV(RAND(),AVERAGE(Assumptions!$D$16,Assumptions!$F$16),(Assumptions!$F$16-Assumptions!$D$16)/3.29)*44</f>
        <v>4974105.7162421076</v>
      </c>
      <c r="O285" s="12">
        <f ca="1">_xlfn.NORM.INV(RAND(),AVERAGE(Assumptions!$D$15,Assumptions!$F$15),(Assumptions!$F$15-Assumptions!$D$15)/3.29)*44</f>
        <v>151560090.07946932</v>
      </c>
      <c r="P285" s="15">
        <f>Assumptions!$D$18</f>
        <v>14641750.345627395</v>
      </c>
      <c r="Q285" s="3">
        <f t="shared" ca="1" si="8"/>
        <v>101232515.97430956</v>
      </c>
      <c r="R285" s="6">
        <f t="shared" ca="1" si="9"/>
        <v>115874266.31993696</v>
      </c>
    </row>
    <row r="286" spans="1:18">
      <c r="A286" s="20">
        <v>285</v>
      </c>
      <c r="B286" s="3">
        <f ca="1">_xlfn.NORM.INV(RAND(),AVERAGE(Assumptions!$D$4,Assumptions!$F$4),(Assumptions!$F$4-Assumptions!$D$4)/3.29)*44</f>
        <v>1144941.4358835183</v>
      </c>
      <c r="C286" s="6">
        <f ca="1">_xlfn.NORM.INV(RAND(),AVERAGE(Assumptions!$D$5,Assumptions!$F$5),(Assumptions!$F$5-Assumptions!$D$5)/3.29)*44</f>
        <v>1671643.9418442131</v>
      </c>
      <c r="D286" s="9">
        <f ca="1">_xlfn.NORM.INV(RAND(),AVERAGE(Assumptions!$D$6,Assumptions!$F$6),(Assumptions!$F$6-Assumptions!$D$6)/3.29)*RANDBETWEEN(2,5)</f>
        <v>6725732.2395078</v>
      </c>
      <c r="E286" s="12">
        <f ca="1">_xlfn.NORM.INV(RAND(),AVERAGE(Assumptions!$D$17,Assumptions!$F$17),(Assumptions!$F$17-Assumptions!$D$17)/3.29)*8</f>
        <v>963128.3340378484</v>
      </c>
      <c r="F286" s="15">
        <f ca="1">_xlfn.NORM.INV(RAND(),AVERAGE(Assumptions!$D$7,Assumptions!$F$7),(Assumptions!$F$7-Assumptions!$D$7)/3.29)*RANDBETWEEN(1,3)</f>
        <v>4647191.2706453959</v>
      </c>
      <c r="G286" s="3">
        <f ca="1">_xlfn.NORM.INV(RAND(),AVERAGE(Assumptions!$D$8,Assumptions!$F$8),(Assumptions!$F$8-Assumptions!$D$8)/3.29)*44</f>
        <v>1376612.1008396102</v>
      </c>
      <c r="H286" s="6">
        <f ca="1">_xlfn.NORM.INV(RAND(),AVERAGE(Assumptions!$D$9,Assumptions!$F$9),(Assumptions!$F$9-Assumptions!$D$9)/3.29)*21</f>
        <v>3798822.786406388</v>
      </c>
      <c r="I286" s="9">
        <f ca="1">_xlfn.NORM.INV(RAND(),AVERAGE(Assumptions!$D$10,Assumptions!$F$10),(Assumptions!$F$10-Assumptions!$D$10)/3.29)*21</f>
        <v>905980.91212315578</v>
      </c>
      <c r="J286" s="12">
        <f ca="1">NORMINV(RAND(),AVERAGE(Assumptions!$D$11,Assumptions!$F$11),(Assumptions!$F$11-Assumptions!$D$11)/3.29)*44</f>
        <v>3772525.2770666149</v>
      </c>
      <c r="K286" s="15">
        <f ca="1">_xlfn.NORM.INV(RAND(),AVERAGE(Assumptions!$D$12,Assumptions!$F$12),(Assumptions!$F$12-Assumptions!$D$12)/3.29)*44</f>
        <v>8297907.7711787764</v>
      </c>
      <c r="L286" s="3">
        <f ca="1">_xlfn.NORM.INV(RAND(),AVERAGE(Assumptions!$D$13,Assumptions!$F$13),(Assumptions!$F$13-Assumptions!$D$13)/3.29)*44</f>
        <v>20528701.837065712</v>
      </c>
      <c r="M286" s="6">
        <f ca="1">_xlfn.NORM.INV(RAND(),AVERAGE(Assumptions!$D$14,Assumptions!$F$14),(Assumptions!$F$14-Assumptions!$D$14)/3.29)*44</f>
        <v>8002357.7303841366</v>
      </c>
      <c r="N286" s="9">
        <f ca="1">_xlfn.NORM.INV(RAND(),AVERAGE(Assumptions!$D$16,Assumptions!$F$16),(Assumptions!$F$16-Assumptions!$D$16)/3.29)*44</f>
        <v>6244966.3675526259</v>
      </c>
      <c r="O286" s="12">
        <f ca="1">_xlfn.NORM.INV(RAND(),AVERAGE(Assumptions!$D$15,Assumptions!$F$15),(Assumptions!$F$15-Assumptions!$D$15)/3.29)*44</f>
        <v>106264036.81714612</v>
      </c>
      <c r="P286" s="15">
        <f>Assumptions!$D$18</f>
        <v>14641750.345627395</v>
      </c>
      <c r="Q286" s="3">
        <f t="shared" ca="1" si="8"/>
        <v>38183524.812610328</v>
      </c>
      <c r="R286" s="6">
        <f t="shared" ca="1" si="9"/>
        <v>52825275.158237725</v>
      </c>
    </row>
    <row r="287" spans="1:18">
      <c r="A287" s="20">
        <v>286</v>
      </c>
      <c r="B287" s="3">
        <f ca="1">_xlfn.NORM.INV(RAND(),AVERAGE(Assumptions!$D$4,Assumptions!$F$4),(Assumptions!$F$4-Assumptions!$D$4)/3.29)*44</f>
        <v>1278146.6069618992</v>
      </c>
      <c r="C287" s="6">
        <f ca="1">_xlfn.NORM.INV(RAND(),AVERAGE(Assumptions!$D$5,Assumptions!$F$5),(Assumptions!$F$5-Assumptions!$D$5)/3.29)*44</f>
        <v>1930022.4741380883</v>
      </c>
      <c r="D287" s="9">
        <f ca="1">_xlfn.NORM.INV(RAND(),AVERAGE(Assumptions!$D$6,Assumptions!$F$6),(Assumptions!$F$6-Assumptions!$D$6)/3.29)*RANDBETWEEN(2,5)</f>
        <v>1205078.290808267</v>
      </c>
      <c r="E287" s="12">
        <f ca="1">_xlfn.NORM.INV(RAND(),AVERAGE(Assumptions!$D$17,Assumptions!$F$17),(Assumptions!$F$17-Assumptions!$D$17)/3.29)*8</f>
        <v>1182507.9431607951</v>
      </c>
      <c r="F287" s="15">
        <f ca="1">_xlfn.NORM.INV(RAND(),AVERAGE(Assumptions!$D$7,Assumptions!$F$7),(Assumptions!$F$7-Assumptions!$D$7)/3.29)*RANDBETWEEN(1,3)</f>
        <v>8762214.0394917428</v>
      </c>
      <c r="G287" s="3">
        <f ca="1">_xlfn.NORM.INV(RAND(),AVERAGE(Assumptions!$D$8,Assumptions!$F$8),(Assumptions!$F$8-Assumptions!$D$8)/3.29)*44</f>
        <v>1304965.6142722601</v>
      </c>
      <c r="H287" s="6">
        <f ca="1">_xlfn.NORM.INV(RAND(),AVERAGE(Assumptions!$D$9,Assumptions!$F$9),(Assumptions!$F$9-Assumptions!$D$9)/3.29)*21</f>
        <v>4551206.6249510301</v>
      </c>
      <c r="I287" s="9">
        <f ca="1">_xlfn.NORM.INV(RAND(),AVERAGE(Assumptions!$D$10,Assumptions!$F$10),(Assumptions!$F$10-Assumptions!$D$10)/3.29)*21</f>
        <v>992373.32469090866</v>
      </c>
      <c r="J287" s="12">
        <f ca="1">NORMINV(RAND(),AVERAGE(Assumptions!$D$11,Assumptions!$F$11),(Assumptions!$F$11-Assumptions!$D$11)/3.29)*44</f>
        <v>2534857.4051160696</v>
      </c>
      <c r="K287" s="15">
        <f ca="1">_xlfn.NORM.INV(RAND(),AVERAGE(Assumptions!$D$12,Assumptions!$F$12),(Assumptions!$F$12-Assumptions!$D$12)/3.29)*44</f>
        <v>7115327.2591112629</v>
      </c>
      <c r="L287" s="3">
        <f ca="1">_xlfn.NORM.INV(RAND(),AVERAGE(Assumptions!$D$13,Assumptions!$F$13),(Assumptions!$F$13-Assumptions!$D$13)/3.29)*44</f>
        <v>26897700.463983949</v>
      </c>
      <c r="M287" s="6">
        <f ca="1">_xlfn.NORM.INV(RAND(),AVERAGE(Assumptions!$D$14,Assumptions!$F$14),(Assumptions!$F$14-Assumptions!$D$14)/3.29)*44</f>
        <v>3509371.4776913412</v>
      </c>
      <c r="N287" s="9">
        <f ca="1">_xlfn.NORM.INV(RAND(),AVERAGE(Assumptions!$D$16,Assumptions!$F$16),(Assumptions!$F$16-Assumptions!$D$16)/3.29)*44</f>
        <v>6639450.9482632773</v>
      </c>
      <c r="O287" s="12">
        <f ca="1">_xlfn.NORM.INV(RAND(),AVERAGE(Assumptions!$D$15,Assumptions!$F$15),(Assumptions!$F$15-Assumptions!$D$15)/3.29)*44</f>
        <v>88666041.592518046</v>
      </c>
      <c r="P287" s="15">
        <f>Assumptions!$D$18</f>
        <v>14641750.345627395</v>
      </c>
      <c r="Q287" s="3">
        <f t="shared" ca="1" si="8"/>
        <v>20762819.11987716</v>
      </c>
      <c r="R287" s="6">
        <f t="shared" ca="1" si="9"/>
        <v>35404569.465504557</v>
      </c>
    </row>
    <row r="288" spans="1:18">
      <c r="A288" s="20">
        <v>287</v>
      </c>
      <c r="B288" s="3">
        <f ca="1">_xlfn.NORM.INV(RAND(),AVERAGE(Assumptions!$D$4,Assumptions!$F$4),(Assumptions!$F$4-Assumptions!$D$4)/3.29)*44</f>
        <v>1178783.6539662597</v>
      </c>
      <c r="C288" s="6">
        <f ca="1">_xlfn.NORM.INV(RAND(),AVERAGE(Assumptions!$D$5,Assumptions!$F$5),(Assumptions!$F$5-Assumptions!$D$5)/3.29)*44</f>
        <v>1796648.8326705638</v>
      </c>
      <c r="D288" s="9">
        <f ca="1">_xlfn.NORM.INV(RAND(),AVERAGE(Assumptions!$D$6,Assumptions!$F$6),(Assumptions!$F$6-Assumptions!$D$6)/3.29)*RANDBETWEEN(2,5)</f>
        <v>3613290.1080855294</v>
      </c>
      <c r="E288" s="12">
        <f ca="1">_xlfn.NORM.INV(RAND(),AVERAGE(Assumptions!$D$17,Assumptions!$F$17),(Assumptions!$F$17-Assumptions!$D$17)/3.29)*8</f>
        <v>1052455.3610450407</v>
      </c>
      <c r="F288" s="15">
        <f ca="1">_xlfn.NORM.INV(RAND(),AVERAGE(Assumptions!$D$7,Assumptions!$F$7),(Assumptions!$F$7-Assumptions!$D$7)/3.29)*RANDBETWEEN(1,3)</f>
        <v>7119943.6160148345</v>
      </c>
      <c r="G288" s="3">
        <f ca="1">_xlfn.NORM.INV(RAND(),AVERAGE(Assumptions!$D$8,Assumptions!$F$8),(Assumptions!$F$8-Assumptions!$D$8)/3.29)*44</f>
        <v>1385306.8942258048</v>
      </c>
      <c r="H288" s="6">
        <f ca="1">_xlfn.NORM.INV(RAND(),AVERAGE(Assumptions!$D$9,Assumptions!$F$9),(Assumptions!$F$9-Assumptions!$D$9)/3.29)*21</f>
        <v>3335997.0218791082</v>
      </c>
      <c r="I288" s="9">
        <f ca="1">_xlfn.NORM.INV(RAND(),AVERAGE(Assumptions!$D$10,Assumptions!$F$10),(Assumptions!$F$10-Assumptions!$D$10)/3.29)*21</f>
        <v>1001793.1154912633</v>
      </c>
      <c r="J288" s="12">
        <f ca="1">NORMINV(RAND(),AVERAGE(Assumptions!$D$11,Assumptions!$F$11),(Assumptions!$F$11-Assumptions!$D$11)/3.29)*44</f>
        <v>4726447.453418104</v>
      </c>
      <c r="K288" s="15">
        <f ca="1">_xlfn.NORM.INV(RAND(),AVERAGE(Assumptions!$D$12,Assumptions!$F$12),(Assumptions!$F$12-Assumptions!$D$12)/3.29)*44</f>
        <v>11103443.494906496</v>
      </c>
      <c r="L288" s="3">
        <f ca="1">_xlfn.NORM.INV(RAND(),AVERAGE(Assumptions!$D$13,Assumptions!$F$13),(Assumptions!$F$13-Assumptions!$D$13)/3.29)*44</f>
        <v>17297338.875533428</v>
      </c>
      <c r="M288" s="6">
        <f ca="1">_xlfn.NORM.INV(RAND(),AVERAGE(Assumptions!$D$14,Assumptions!$F$14),(Assumptions!$F$14-Assumptions!$D$14)/3.29)*44</f>
        <v>5999427.477586871</v>
      </c>
      <c r="N288" s="9">
        <f ca="1">_xlfn.NORM.INV(RAND(),AVERAGE(Assumptions!$D$16,Assumptions!$F$16),(Assumptions!$F$16-Assumptions!$D$16)/3.29)*44</f>
        <v>4574408.0288511859</v>
      </c>
      <c r="O288" s="12">
        <f ca="1">_xlfn.NORM.INV(RAND(),AVERAGE(Assumptions!$D$15,Assumptions!$F$15),(Assumptions!$F$15-Assumptions!$D$15)/3.29)*44</f>
        <v>61336312.24422425</v>
      </c>
      <c r="P288" s="15">
        <f>Assumptions!$D$18</f>
        <v>14641750.345627395</v>
      </c>
      <c r="Q288" s="3">
        <f t="shared" ca="1" si="8"/>
        <v>-2848971.6894502416</v>
      </c>
      <c r="R288" s="6">
        <f t="shared" ca="1" si="9"/>
        <v>11792778.656177154</v>
      </c>
    </row>
    <row r="289" spans="1:18">
      <c r="A289" s="20">
        <v>288</v>
      </c>
      <c r="B289" s="3">
        <f ca="1">_xlfn.NORM.INV(RAND(),AVERAGE(Assumptions!$D$4,Assumptions!$F$4),(Assumptions!$F$4-Assumptions!$D$4)/3.29)*44</f>
        <v>1155675.060785078</v>
      </c>
      <c r="C289" s="6">
        <f ca="1">_xlfn.NORM.INV(RAND(),AVERAGE(Assumptions!$D$5,Assumptions!$F$5),(Assumptions!$F$5-Assumptions!$D$5)/3.29)*44</f>
        <v>1970733.6833057152</v>
      </c>
      <c r="D289" s="9">
        <f ca="1">_xlfn.NORM.INV(RAND(),AVERAGE(Assumptions!$D$6,Assumptions!$F$6),(Assumptions!$F$6-Assumptions!$D$6)/3.29)*RANDBETWEEN(2,5)</f>
        <v>5556961.7225283124</v>
      </c>
      <c r="E289" s="12">
        <f ca="1">_xlfn.NORM.INV(RAND(),AVERAGE(Assumptions!$D$17,Assumptions!$F$17),(Assumptions!$F$17-Assumptions!$D$17)/3.29)*8</f>
        <v>748451.1504266517</v>
      </c>
      <c r="F289" s="15">
        <f ca="1">_xlfn.NORM.INV(RAND(),AVERAGE(Assumptions!$D$7,Assumptions!$F$7),(Assumptions!$F$7-Assumptions!$D$7)/3.29)*RANDBETWEEN(1,3)</f>
        <v>2490666.0922746994</v>
      </c>
      <c r="G289" s="3">
        <f ca="1">_xlfn.NORM.INV(RAND(),AVERAGE(Assumptions!$D$8,Assumptions!$F$8),(Assumptions!$F$8-Assumptions!$D$8)/3.29)*44</f>
        <v>1294878.0963659477</v>
      </c>
      <c r="H289" s="6">
        <f ca="1">_xlfn.NORM.INV(RAND(),AVERAGE(Assumptions!$D$9,Assumptions!$F$9),(Assumptions!$F$9-Assumptions!$D$9)/3.29)*21</f>
        <v>4408676.3397220718</v>
      </c>
      <c r="I289" s="9">
        <f ca="1">_xlfn.NORM.INV(RAND(),AVERAGE(Assumptions!$D$10,Assumptions!$F$10),(Assumptions!$F$10-Assumptions!$D$10)/3.29)*21</f>
        <v>743709.10042129247</v>
      </c>
      <c r="J289" s="12">
        <f ca="1">NORMINV(RAND(),AVERAGE(Assumptions!$D$11,Assumptions!$F$11),(Assumptions!$F$11-Assumptions!$D$11)/3.29)*44</f>
        <v>3120258.6734947171</v>
      </c>
      <c r="K289" s="15">
        <f ca="1">_xlfn.NORM.INV(RAND(),AVERAGE(Assumptions!$D$12,Assumptions!$F$12),(Assumptions!$F$12-Assumptions!$D$12)/3.29)*44</f>
        <v>9828772.5076486133</v>
      </c>
      <c r="L289" s="3">
        <f ca="1">_xlfn.NORM.INV(RAND(),AVERAGE(Assumptions!$D$13,Assumptions!$F$13),(Assumptions!$F$13-Assumptions!$D$13)/3.29)*44</f>
        <v>26202824.843056664</v>
      </c>
      <c r="M289" s="6">
        <f ca="1">_xlfn.NORM.INV(RAND(),AVERAGE(Assumptions!$D$14,Assumptions!$F$14),(Assumptions!$F$14-Assumptions!$D$14)/3.29)*44</f>
        <v>4105622.2542426642</v>
      </c>
      <c r="N289" s="9">
        <f ca="1">_xlfn.NORM.INV(RAND(),AVERAGE(Assumptions!$D$16,Assumptions!$F$16),(Assumptions!$F$16-Assumptions!$D$16)/3.29)*44</f>
        <v>12058862.384125585</v>
      </c>
      <c r="O289" s="12">
        <f ca="1">_xlfn.NORM.INV(RAND(),AVERAGE(Assumptions!$D$15,Assumptions!$F$15),(Assumptions!$F$15-Assumptions!$D$15)/3.29)*44</f>
        <v>101489187.52361947</v>
      </c>
      <c r="P289" s="15">
        <f>Assumptions!$D$18</f>
        <v>14641750.345627395</v>
      </c>
      <c r="Q289" s="3">
        <f t="shared" ca="1" si="8"/>
        <v>27803095.615221456</v>
      </c>
      <c r="R289" s="6">
        <f t="shared" ca="1" si="9"/>
        <v>42444845.960848853</v>
      </c>
    </row>
    <row r="290" spans="1:18">
      <c r="A290" s="20">
        <v>289</v>
      </c>
      <c r="B290" s="3">
        <f ca="1">_xlfn.NORM.INV(RAND(),AVERAGE(Assumptions!$D$4,Assumptions!$F$4),(Assumptions!$F$4-Assumptions!$D$4)/3.29)*44</f>
        <v>1172136.7154317349</v>
      </c>
      <c r="C290" s="6">
        <f ca="1">_xlfn.NORM.INV(RAND(),AVERAGE(Assumptions!$D$5,Assumptions!$F$5),(Assumptions!$F$5-Assumptions!$D$5)/3.29)*44</f>
        <v>1721556.5812853132</v>
      </c>
      <c r="D290" s="9">
        <f ca="1">_xlfn.NORM.INV(RAND(),AVERAGE(Assumptions!$D$6,Assumptions!$F$6),(Assumptions!$F$6-Assumptions!$D$6)/3.29)*RANDBETWEEN(2,5)</f>
        <v>3718076.8768331292</v>
      </c>
      <c r="E290" s="12">
        <f ca="1">_xlfn.NORM.INV(RAND(),AVERAGE(Assumptions!$D$17,Assumptions!$F$17),(Assumptions!$F$17-Assumptions!$D$17)/3.29)*8</f>
        <v>1138193.5621284868</v>
      </c>
      <c r="F290" s="15">
        <f ca="1">_xlfn.NORM.INV(RAND(),AVERAGE(Assumptions!$D$7,Assumptions!$F$7),(Assumptions!$F$7-Assumptions!$D$7)/3.29)*RANDBETWEEN(1,3)</f>
        <v>4028011.0075406758</v>
      </c>
      <c r="G290" s="3">
        <f ca="1">_xlfn.NORM.INV(RAND(),AVERAGE(Assumptions!$D$8,Assumptions!$F$8),(Assumptions!$F$8-Assumptions!$D$8)/3.29)*44</f>
        <v>1334429.1269952334</v>
      </c>
      <c r="H290" s="6">
        <f ca="1">_xlfn.NORM.INV(RAND(),AVERAGE(Assumptions!$D$9,Assumptions!$F$9),(Assumptions!$F$9-Assumptions!$D$9)/3.29)*21</f>
        <v>4559669.72885546</v>
      </c>
      <c r="I290" s="9">
        <f ca="1">_xlfn.NORM.INV(RAND(),AVERAGE(Assumptions!$D$10,Assumptions!$F$10),(Assumptions!$F$10-Assumptions!$D$10)/3.29)*21</f>
        <v>1149554.3434589487</v>
      </c>
      <c r="J290" s="12">
        <f ca="1">NORMINV(RAND(),AVERAGE(Assumptions!$D$11,Assumptions!$F$11),(Assumptions!$F$11-Assumptions!$D$11)/3.29)*44</f>
        <v>5677379.5475519458</v>
      </c>
      <c r="K290" s="15">
        <f ca="1">_xlfn.NORM.INV(RAND(),AVERAGE(Assumptions!$D$12,Assumptions!$F$12),(Assumptions!$F$12-Assumptions!$D$12)/3.29)*44</f>
        <v>7080282.5901683047</v>
      </c>
      <c r="L290" s="3">
        <f ca="1">_xlfn.NORM.INV(RAND(),AVERAGE(Assumptions!$D$13,Assumptions!$F$13),(Assumptions!$F$13-Assumptions!$D$13)/3.29)*44</f>
        <v>8170708.6762145143</v>
      </c>
      <c r="M290" s="6">
        <f ca="1">_xlfn.NORM.INV(RAND(),AVERAGE(Assumptions!$D$14,Assumptions!$F$14),(Assumptions!$F$14-Assumptions!$D$14)/3.29)*44</f>
        <v>6208461.8793326756</v>
      </c>
      <c r="N290" s="9">
        <f ca="1">_xlfn.NORM.INV(RAND(),AVERAGE(Assumptions!$D$16,Assumptions!$F$16),(Assumptions!$F$16-Assumptions!$D$16)/3.29)*44</f>
        <v>690286.22110194841</v>
      </c>
      <c r="O290" s="12">
        <f ca="1">_xlfn.NORM.INV(RAND(),AVERAGE(Assumptions!$D$15,Assumptions!$F$15),(Assumptions!$F$15-Assumptions!$D$15)/3.29)*44</f>
        <v>76225171.577756345</v>
      </c>
      <c r="P290" s="15">
        <f>Assumptions!$D$18</f>
        <v>14641750.345627395</v>
      </c>
      <c r="Q290" s="3">
        <f t="shared" ca="1" si="8"/>
        <v>29576424.720857978</v>
      </c>
      <c r="R290" s="6">
        <f t="shared" ca="1" si="9"/>
        <v>44218175.066485375</v>
      </c>
    </row>
    <row r="291" spans="1:18">
      <c r="A291" s="20">
        <v>290</v>
      </c>
      <c r="B291" s="3">
        <f ca="1">_xlfn.NORM.INV(RAND(),AVERAGE(Assumptions!$D$4,Assumptions!$F$4),(Assumptions!$F$4-Assumptions!$D$4)/3.29)*44</f>
        <v>1259731.5506168203</v>
      </c>
      <c r="C291" s="6">
        <f ca="1">_xlfn.NORM.INV(RAND(),AVERAGE(Assumptions!$D$5,Assumptions!$F$5),(Assumptions!$F$5-Assumptions!$D$5)/3.29)*44</f>
        <v>1913553.6118483634</v>
      </c>
      <c r="D291" s="9">
        <f ca="1">_xlfn.NORM.INV(RAND(),AVERAGE(Assumptions!$D$6,Assumptions!$F$6),(Assumptions!$F$6-Assumptions!$D$6)/3.29)*RANDBETWEEN(2,5)</f>
        <v>8759652.2007577755</v>
      </c>
      <c r="E291" s="12">
        <f ca="1">_xlfn.NORM.INV(RAND(),AVERAGE(Assumptions!$D$17,Assumptions!$F$17),(Assumptions!$F$17-Assumptions!$D$17)/3.29)*8</f>
        <v>1112206.745990935</v>
      </c>
      <c r="F291" s="15">
        <f ca="1">_xlfn.NORM.INV(RAND(),AVERAGE(Assumptions!$D$7,Assumptions!$F$7),(Assumptions!$F$7-Assumptions!$D$7)/3.29)*RANDBETWEEN(1,3)</f>
        <v>3527956.2133356626</v>
      </c>
      <c r="G291" s="3">
        <f ca="1">_xlfn.NORM.INV(RAND(),AVERAGE(Assumptions!$D$8,Assumptions!$F$8),(Assumptions!$F$8-Assumptions!$D$8)/3.29)*44</f>
        <v>1364357.9333884288</v>
      </c>
      <c r="H291" s="6">
        <f ca="1">_xlfn.NORM.INV(RAND(),AVERAGE(Assumptions!$D$9,Assumptions!$F$9),(Assumptions!$F$9-Assumptions!$D$9)/3.29)*21</f>
        <v>2011114.5555372196</v>
      </c>
      <c r="I291" s="9">
        <f ca="1">_xlfn.NORM.INV(RAND(),AVERAGE(Assumptions!$D$10,Assumptions!$F$10),(Assumptions!$F$10-Assumptions!$D$10)/3.29)*21</f>
        <v>699290.85868645704</v>
      </c>
      <c r="J291" s="12">
        <f ca="1">NORMINV(RAND(),AVERAGE(Assumptions!$D$11,Assumptions!$F$11),(Assumptions!$F$11-Assumptions!$D$11)/3.29)*44</f>
        <v>1173082.611759892</v>
      </c>
      <c r="K291" s="15">
        <f ca="1">_xlfn.NORM.INV(RAND(),AVERAGE(Assumptions!$D$12,Assumptions!$F$12),(Assumptions!$F$12-Assumptions!$D$12)/3.29)*44</f>
        <v>8418851.5441107936</v>
      </c>
      <c r="L291" s="3">
        <f ca="1">_xlfn.NORM.INV(RAND(),AVERAGE(Assumptions!$D$13,Assumptions!$F$13),(Assumptions!$F$13-Assumptions!$D$13)/3.29)*44</f>
        <v>18079998.971070576</v>
      </c>
      <c r="M291" s="6">
        <f ca="1">_xlfn.NORM.INV(RAND(),AVERAGE(Assumptions!$D$14,Assumptions!$F$14),(Assumptions!$F$14-Assumptions!$D$14)/3.29)*44</f>
        <v>6646030.9895318523</v>
      </c>
      <c r="N291" s="9">
        <f ca="1">_xlfn.NORM.INV(RAND(),AVERAGE(Assumptions!$D$16,Assumptions!$F$16),(Assumptions!$F$16-Assumptions!$D$16)/3.29)*44</f>
        <v>9418937.8207681403</v>
      </c>
      <c r="O291" s="12">
        <f ca="1">_xlfn.NORM.INV(RAND(),AVERAGE(Assumptions!$D$15,Assumptions!$F$15),(Assumptions!$F$15-Assumptions!$D$15)/3.29)*44</f>
        <v>207730579.03408504</v>
      </c>
      <c r="P291" s="15">
        <f>Assumptions!$D$18</f>
        <v>14641750.345627395</v>
      </c>
      <c r="Q291" s="3">
        <f t="shared" ca="1" si="8"/>
        <v>143345813.42668211</v>
      </c>
      <c r="R291" s="6">
        <f t="shared" ca="1" si="9"/>
        <v>157987563.77230951</v>
      </c>
    </row>
    <row r="292" spans="1:18">
      <c r="A292" s="20">
        <v>291</v>
      </c>
      <c r="B292" s="3">
        <f ca="1">_xlfn.NORM.INV(RAND(),AVERAGE(Assumptions!$D$4,Assumptions!$F$4),(Assumptions!$F$4-Assumptions!$D$4)/3.29)*44</f>
        <v>1231215.4845304196</v>
      </c>
      <c r="C292" s="6">
        <f ca="1">_xlfn.NORM.INV(RAND(),AVERAGE(Assumptions!$D$5,Assumptions!$F$5),(Assumptions!$F$5-Assumptions!$D$5)/3.29)*44</f>
        <v>1875547.5601618891</v>
      </c>
      <c r="D292" s="9">
        <f ca="1">_xlfn.NORM.INV(RAND(),AVERAGE(Assumptions!$D$6,Assumptions!$F$6),(Assumptions!$F$6-Assumptions!$D$6)/3.29)*RANDBETWEEN(2,5)</f>
        <v>5980554.9734799061</v>
      </c>
      <c r="E292" s="12">
        <f ca="1">_xlfn.NORM.INV(RAND(),AVERAGE(Assumptions!$D$17,Assumptions!$F$17),(Assumptions!$F$17-Assumptions!$D$17)/3.29)*8</f>
        <v>1136402.6314389706</v>
      </c>
      <c r="F292" s="15">
        <f ca="1">_xlfn.NORM.INV(RAND(),AVERAGE(Assumptions!$D$7,Assumptions!$F$7),(Assumptions!$F$7-Assumptions!$D$7)/3.29)*RANDBETWEEN(1,3)</f>
        <v>3898471.1577925868</v>
      </c>
      <c r="G292" s="3">
        <f ca="1">_xlfn.NORM.INV(RAND(),AVERAGE(Assumptions!$D$8,Assumptions!$F$8),(Assumptions!$F$8-Assumptions!$D$8)/3.29)*44</f>
        <v>1034505.4533972583</v>
      </c>
      <c r="H292" s="6">
        <f ca="1">_xlfn.NORM.INV(RAND(),AVERAGE(Assumptions!$D$9,Assumptions!$F$9),(Assumptions!$F$9-Assumptions!$D$9)/3.29)*21</f>
        <v>4485203.7118508574</v>
      </c>
      <c r="I292" s="9">
        <f ca="1">_xlfn.NORM.INV(RAND(),AVERAGE(Assumptions!$D$10,Assumptions!$F$10),(Assumptions!$F$10-Assumptions!$D$10)/3.29)*21</f>
        <v>748702.02511111193</v>
      </c>
      <c r="J292" s="12">
        <f ca="1">NORMINV(RAND(),AVERAGE(Assumptions!$D$11,Assumptions!$F$11),(Assumptions!$F$11-Assumptions!$D$11)/3.29)*44</f>
        <v>2729340.0195241813</v>
      </c>
      <c r="K292" s="15">
        <f ca="1">_xlfn.NORM.INV(RAND(),AVERAGE(Assumptions!$D$12,Assumptions!$F$12),(Assumptions!$F$12-Assumptions!$D$12)/3.29)*44</f>
        <v>7723071.3659075368</v>
      </c>
      <c r="L292" s="3">
        <f ca="1">_xlfn.NORM.INV(RAND(),AVERAGE(Assumptions!$D$13,Assumptions!$F$13),(Assumptions!$F$13-Assumptions!$D$13)/3.29)*44</f>
        <v>21785996.323671289</v>
      </c>
      <c r="M292" s="6">
        <f ca="1">_xlfn.NORM.INV(RAND(),AVERAGE(Assumptions!$D$14,Assumptions!$F$14),(Assumptions!$F$14-Assumptions!$D$14)/3.29)*44</f>
        <v>6782655.6521722823</v>
      </c>
      <c r="N292" s="9">
        <f ca="1">_xlfn.NORM.INV(RAND(),AVERAGE(Assumptions!$D$16,Assumptions!$F$16),(Assumptions!$F$16-Assumptions!$D$16)/3.29)*44</f>
        <v>9606674.8421554081</v>
      </c>
      <c r="O292" s="12">
        <f ca="1">_xlfn.NORM.INV(RAND(),AVERAGE(Assumptions!$D$15,Assumptions!$F$15),(Assumptions!$F$15-Assumptions!$D$15)/3.29)*44</f>
        <v>57843594.480773777</v>
      </c>
      <c r="P292" s="15">
        <f>Assumptions!$D$18</f>
        <v>14641750.345627395</v>
      </c>
      <c r="Q292" s="3">
        <f t="shared" ca="1" si="8"/>
        <v>-11174746.720419928</v>
      </c>
      <c r="R292" s="6">
        <f t="shared" ca="1" si="9"/>
        <v>3467003.625207467</v>
      </c>
    </row>
    <row r="293" spans="1:18">
      <c r="A293" s="20">
        <v>292</v>
      </c>
      <c r="B293" s="3">
        <f ca="1">_xlfn.NORM.INV(RAND(),AVERAGE(Assumptions!$D$4,Assumptions!$F$4),(Assumptions!$F$4-Assumptions!$D$4)/3.29)*44</f>
        <v>1181747.3384655528</v>
      </c>
      <c r="C293" s="6">
        <f ca="1">_xlfn.NORM.INV(RAND(),AVERAGE(Assumptions!$D$5,Assumptions!$F$5),(Assumptions!$F$5-Assumptions!$D$5)/3.29)*44</f>
        <v>1501602.1572161175</v>
      </c>
      <c r="D293" s="9">
        <f ca="1">_xlfn.NORM.INV(RAND(),AVERAGE(Assumptions!$D$6,Assumptions!$F$6),(Assumptions!$F$6-Assumptions!$D$6)/3.29)*RANDBETWEEN(2,5)</f>
        <v>7107868.59951685</v>
      </c>
      <c r="E293" s="12">
        <f ca="1">_xlfn.NORM.INV(RAND(),AVERAGE(Assumptions!$D$17,Assumptions!$F$17),(Assumptions!$F$17-Assumptions!$D$17)/3.29)*8</f>
        <v>884354.23743995361</v>
      </c>
      <c r="F293" s="15">
        <f ca="1">_xlfn.NORM.INV(RAND(),AVERAGE(Assumptions!$D$7,Assumptions!$F$7),(Assumptions!$F$7-Assumptions!$D$7)/3.29)*RANDBETWEEN(1,3)</f>
        <v>2797370.6665094639</v>
      </c>
      <c r="G293" s="3">
        <f ca="1">_xlfn.NORM.INV(RAND(),AVERAGE(Assumptions!$D$8,Assumptions!$F$8),(Assumptions!$F$8-Assumptions!$D$8)/3.29)*44</f>
        <v>606114.99885869795</v>
      </c>
      <c r="H293" s="6">
        <f ca="1">_xlfn.NORM.INV(RAND(),AVERAGE(Assumptions!$D$9,Assumptions!$F$9),(Assumptions!$F$9-Assumptions!$D$9)/3.29)*21</f>
        <v>2581881.0985337379</v>
      </c>
      <c r="I293" s="9">
        <f ca="1">_xlfn.NORM.INV(RAND(),AVERAGE(Assumptions!$D$10,Assumptions!$F$10),(Assumptions!$F$10-Assumptions!$D$10)/3.29)*21</f>
        <v>1214258.7116874303</v>
      </c>
      <c r="J293" s="12">
        <f ca="1">NORMINV(RAND(),AVERAGE(Assumptions!$D$11,Assumptions!$F$11),(Assumptions!$F$11-Assumptions!$D$11)/3.29)*44</f>
        <v>3205291.4479167024</v>
      </c>
      <c r="K293" s="15">
        <f ca="1">_xlfn.NORM.INV(RAND(),AVERAGE(Assumptions!$D$12,Assumptions!$F$12),(Assumptions!$F$12-Assumptions!$D$12)/3.29)*44</f>
        <v>9391409.5013579559</v>
      </c>
      <c r="L293" s="3">
        <f ca="1">_xlfn.NORM.INV(RAND(),AVERAGE(Assumptions!$D$13,Assumptions!$F$13),(Assumptions!$F$13-Assumptions!$D$13)/3.29)*44</f>
        <v>17139095.004296768</v>
      </c>
      <c r="M293" s="6">
        <f ca="1">_xlfn.NORM.INV(RAND(),AVERAGE(Assumptions!$D$14,Assumptions!$F$14),(Assumptions!$F$14-Assumptions!$D$14)/3.29)*44</f>
        <v>6620497.9712208528</v>
      </c>
      <c r="N293" s="9">
        <f ca="1">_xlfn.NORM.INV(RAND(),AVERAGE(Assumptions!$D$16,Assumptions!$F$16),(Assumptions!$F$16-Assumptions!$D$16)/3.29)*44</f>
        <v>12201339.80625833</v>
      </c>
      <c r="O293" s="12">
        <f ca="1">_xlfn.NORM.INV(RAND(),AVERAGE(Assumptions!$D$15,Assumptions!$F$15),(Assumptions!$F$15-Assumptions!$D$15)/3.29)*44</f>
        <v>54218344.913904965</v>
      </c>
      <c r="P293" s="15">
        <f>Assumptions!$D$18</f>
        <v>14641750.345627395</v>
      </c>
      <c r="Q293" s="3">
        <f t="shared" ca="1" si="8"/>
        <v>-12214486.625373438</v>
      </c>
      <c r="R293" s="6">
        <f t="shared" ca="1" si="9"/>
        <v>2427263.7202539574</v>
      </c>
    </row>
    <row r="294" spans="1:18">
      <c r="A294" s="20">
        <v>293</v>
      </c>
      <c r="B294" s="3">
        <f ca="1">_xlfn.NORM.INV(RAND(),AVERAGE(Assumptions!$D$4,Assumptions!$F$4),(Assumptions!$F$4-Assumptions!$D$4)/3.29)*44</f>
        <v>1240137.6121348389</v>
      </c>
      <c r="C294" s="6">
        <f ca="1">_xlfn.NORM.INV(RAND(),AVERAGE(Assumptions!$D$5,Assumptions!$F$5),(Assumptions!$F$5-Assumptions!$D$5)/3.29)*44</f>
        <v>1773083.3245888585</v>
      </c>
      <c r="D294" s="9">
        <f ca="1">_xlfn.NORM.INV(RAND(),AVERAGE(Assumptions!$D$6,Assumptions!$F$6),(Assumptions!$F$6-Assumptions!$D$6)/3.29)*RANDBETWEEN(2,5)</f>
        <v>7891027.3582630381</v>
      </c>
      <c r="E294" s="12">
        <f ca="1">_xlfn.NORM.INV(RAND(),AVERAGE(Assumptions!$D$17,Assumptions!$F$17),(Assumptions!$F$17-Assumptions!$D$17)/3.29)*8</f>
        <v>911055.55655498023</v>
      </c>
      <c r="F294" s="15">
        <f ca="1">_xlfn.NORM.INV(RAND(),AVERAGE(Assumptions!$D$7,Assumptions!$F$7),(Assumptions!$F$7-Assumptions!$D$7)/3.29)*RANDBETWEEN(1,3)</f>
        <v>1739799.6490504863</v>
      </c>
      <c r="G294" s="3">
        <f ca="1">_xlfn.NORM.INV(RAND(),AVERAGE(Assumptions!$D$8,Assumptions!$F$8),(Assumptions!$F$8-Assumptions!$D$8)/3.29)*44</f>
        <v>1455296.5506931641</v>
      </c>
      <c r="H294" s="6">
        <f ca="1">_xlfn.NORM.INV(RAND(),AVERAGE(Assumptions!$D$9,Assumptions!$F$9),(Assumptions!$F$9-Assumptions!$D$9)/3.29)*21</f>
        <v>3213223.301814151</v>
      </c>
      <c r="I294" s="9">
        <f ca="1">_xlfn.NORM.INV(RAND(),AVERAGE(Assumptions!$D$10,Assumptions!$F$10),(Assumptions!$F$10-Assumptions!$D$10)/3.29)*21</f>
        <v>589869.4084010612</v>
      </c>
      <c r="J294" s="12">
        <f ca="1">NORMINV(RAND(),AVERAGE(Assumptions!$D$11,Assumptions!$F$11),(Assumptions!$F$11-Assumptions!$D$11)/3.29)*44</f>
        <v>3425006.8072526916</v>
      </c>
      <c r="K294" s="15">
        <f ca="1">_xlfn.NORM.INV(RAND(),AVERAGE(Assumptions!$D$12,Assumptions!$F$12),(Assumptions!$F$12-Assumptions!$D$12)/3.29)*44</f>
        <v>8903399.2102663349</v>
      </c>
      <c r="L294" s="3">
        <f ca="1">_xlfn.NORM.INV(RAND(),AVERAGE(Assumptions!$D$13,Assumptions!$F$13),(Assumptions!$F$13-Assumptions!$D$13)/3.29)*44</f>
        <v>15020701.0340763</v>
      </c>
      <c r="M294" s="6">
        <f ca="1">_xlfn.NORM.INV(RAND(),AVERAGE(Assumptions!$D$14,Assumptions!$F$14),(Assumptions!$F$14-Assumptions!$D$14)/3.29)*44</f>
        <v>7894587.1737182522</v>
      </c>
      <c r="N294" s="9">
        <f ca="1">_xlfn.NORM.INV(RAND(),AVERAGE(Assumptions!$D$16,Assumptions!$F$16),(Assumptions!$F$16-Assumptions!$D$16)/3.29)*44</f>
        <v>16943772.824635588</v>
      </c>
      <c r="O294" s="12">
        <f ca="1">_xlfn.NORM.INV(RAND(),AVERAGE(Assumptions!$D$15,Assumptions!$F$15),(Assumptions!$F$15-Assumptions!$D$15)/3.29)*44</f>
        <v>126323196.46621814</v>
      </c>
      <c r="P294" s="15">
        <f>Assumptions!$D$18</f>
        <v>14641750.345627395</v>
      </c>
      <c r="Q294" s="3">
        <f t="shared" ca="1" si="8"/>
        <v>55322236.654768407</v>
      </c>
      <c r="R294" s="6">
        <f t="shared" ca="1" si="9"/>
        <v>69963987.000395805</v>
      </c>
    </row>
    <row r="295" spans="1:18">
      <c r="A295" s="20">
        <v>294</v>
      </c>
      <c r="B295" s="3">
        <f ca="1">_xlfn.NORM.INV(RAND(),AVERAGE(Assumptions!$D$4,Assumptions!$F$4),(Assumptions!$F$4-Assumptions!$D$4)/3.29)*44</f>
        <v>1213517.9648965655</v>
      </c>
      <c r="C295" s="6">
        <f ca="1">_xlfn.NORM.INV(RAND(),AVERAGE(Assumptions!$D$5,Assumptions!$F$5),(Assumptions!$F$5-Assumptions!$D$5)/3.29)*44</f>
        <v>1958081.1362888066</v>
      </c>
      <c r="D295" s="9">
        <f ca="1">_xlfn.NORM.INV(RAND(),AVERAGE(Assumptions!$D$6,Assumptions!$F$6),(Assumptions!$F$6-Assumptions!$D$6)/3.29)*RANDBETWEEN(2,5)</f>
        <v>5037493.190127572</v>
      </c>
      <c r="E295" s="12">
        <f ca="1">_xlfn.NORM.INV(RAND(),AVERAGE(Assumptions!$D$17,Assumptions!$F$17),(Assumptions!$F$17-Assumptions!$D$17)/3.29)*8</f>
        <v>1150992.2656576042</v>
      </c>
      <c r="F295" s="15">
        <f ca="1">_xlfn.NORM.INV(RAND(),AVERAGE(Assumptions!$D$7,Assumptions!$F$7),(Assumptions!$F$7-Assumptions!$D$7)/3.29)*RANDBETWEEN(1,3)</f>
        <v>10014384.653725695</v>
      </c>
      <c r="G295" s="3">
        <f ca="1">_xlfn.NORM.INV(RAND(),AVERAGE(Assumptions!$D$8,Assumptions!$F$8),(Assumptions!$F$8-Assumptions!$D$8)/3.29)*44</f>
        <v>1298574.3274905507</v>
      </c>
      <c r="H295" s="6">
        <f ca="1">_xlfn.NORM.INV(RAND(),AVERAGE(Assumptions!$D$9,Assumptions!$F$9),(Assumptions!$F$9-Assumptions!$D$9)/3.29)*21</f>
        <v>1866348.8328308912</v>
      </c>
      <c r="I295" s="9">
        <f ca="1">_xlfn.NORM.INV(RAND(),AVERAGE(Assumptions!$D$10,Assumptions!$F$10),(Assumptions!$F$10-Assumptions!$D$10)/3.29)*21</f>
        <v>917428.50813724601</v>
      </c>
      <c r="J295" s="12">
        <f ca="1">NORMINV(RAND(),AVERAGE(Assumptions!$D$11,Assumptions!$F$11),(Assumptions!$F$11-Assumptions!$D$11)/3.29)*44</f>
        <v>3475597.2509744959</v>
      </c>
      <c r="K295" s="15">
        <f ca="1">_xlfn.NORM.INV(RAND(),AVERAGE(Assumptions!$D$12,Assumptions!$F$12),(Assumptions!$F$12-Assumptions!$D$12)/3.29)*44</f>
        <v>8263381.5328191211</v>
      </c>
      <c r="L295" s="3">
        <f ca="1">_xlfn.NORM.INV(RAND(),AVERAGE(Assumptions!$D$13,Assumptions!$F$13),(Assumptions!$F$13-Assumptions!$D$13)/3.29)*44</f>
        <v>15367634.760045402</v>
      </c>
      <c r="M295" s="6">
        <f ca="1">_xlfn.NORM.INV(RAND(),AVERAGE(Assumptions!$D$14,Assumptions!$F$14),(Assumptions!$F$14-Assumptions!$D$14)/3.29)*44</f>
        <v>6418537.8224474462</v>
      </c>
      <c r="N295" s="9">
        <f ca="1">_xlfn.NORM.INV(RAND(),AVERAGE(Assumptions!$D$16,Assumptions!$F$16),(Assumptions!$F$16-Assumptions!$D$16)/3.29)*44</f>
        <v>8055864.7961649941</v>
      </c>
      <c r="O295" s="12">
        <f ca="1">_xlfn.NORM.INV(RAND(),AVERAGE(Assumptions!$D$15,Assumptions!$F$15),(Assumptions!$F$15-Assumptions!$D$15)/3.29)*44</f>
        <v>76029850.579894215</v>
      </c>
      <c r="P295" s="15">
        <f>Assumptions!$D$18</f>
        <v>14641750.345627395</v>
      </c>
      <c r="Q295" s="3">
        <f t="shared" ca="1" si="8"/>
        <v>10992013.538287826</v>
      </c>
      <c r="R295" s="6">
        <f t="shared" ca="1" si="9"/>
        <v>25633763.883915223</v>
      </c>
    </row>
    <row r="296" spans="1:18">
      <c r="A296" s="20">
        <v>295</v>
      </c>
      <c r="B296" s="3">
        <f ca="1">_xlfn.NORM.INV(RAND(),AVERAGE(Assumptions!$D$4,Assumptions!$F$4),(Assumptions!$F$4-Assumptions!$D$4)/3.29)*44</f>
        <v>1344513.8704770831</v>
      </c>
      <c r="C296" s="6">
        <f ca="1">_xlfn.NORM.INV(RAND(),AVERAGE(Assumptions!$D$5,Assumptions!$F$5),(Assumptions!$F$5-Assumptions!$D$5)/3.29)*44</f>
        <v>1693071.225166064</v>
      </c>
      <c r="D296" s="9">
        <f ca="1">_xlfn.NORM.INV(RAND(),AVERAGE(Assumptions!$D$6,Assumptions!$F$6),(Assumptions!$F$6-Assumptions!$D$6)/3.29)*RANDBETWEEN(2,5)</f>
        <v>4498781.0484732613</v>
      </c>
      <c r="E296" s="12">
        <f ca="1">_xlfn.NORM.INV(RAND(),AVERAGE(Assumptions!$D$17,Assumptions!$F$17),(Assumptions!$F$17-Assumptions!$D$17)/3.29)*8</f>
        <v>1002919.8087400361</v>
      </c>
      <c r="F296" s="15">
        <f ca="1">_xlfn.NORM.INV(RAND(),AVERAGE(Assumptions!$D$7,Assumptions!$F$7),(Assumptions!$F$7-Assumptions!$D$7)/3.29)*RANDBETWEEN(1,3)</f>
        <v>2397994.3835010421</v>
      </c>
      <c r="G296" s="3">
        <f ca="1">_xlfn.NORM.INV(RAND(),AVERAGE(Assumptions!$D$8,Assumptions!$F$8),(Assumptions!$F$8-Assumptions!$D$8)/3.29)*44</f>
        <v>913298.19277279265</v>
      </c>
      <c r="H296" s="6">
        <f ca="1">_xlfn.NORM.INV(RAND(),AVERAGE(Assumptions!$D$9,Assumptions!$F$9),(Assumptions!$F$9-Assumptions!$D$9)/3.29)*21</f>
        <v>3530203.6740378155</v>
      </c>
      <c r="I296" s="9">
        <f ca="1">_xlfn.NORM.INV(RAND(),AVERAGE(Assumptions!$D$10,Assumptions!$F$10),(Assumptions!$F$10-Assumptions!$D$10)/3.29)*21</f>
        <v>961464.01482923201</v>
      </c>
      <c r="J296" s="12">
        <f ca="1">NORMINV(RAND(),AVERAGE(Assumptions!$D$11,Assumptions!$F$11),(Assumptions!$F$11-Assumptions!$D$11)/3.29)*44</f>
        <v>3166548.9078670065</v>
      </c>
      <c r="K296" s="15">
        <f ca="1">_xlfn.NORM.INV(RAND(),AVERAGE(Assumptions!$D$12,Assumptions!$F$12),(Assumptions!$F$12-Assumptions!$D$12)/3.29)*44</f>
        <v>9985142.286544228</v>
      </c>
      <c r="L296" s="3">
        <f ca="1">_xlfn.NORM.INV(RAND(),AVERAGE(Assumptions!$D$13,Assumptions!$F$13),(Assumptions!$F$13-Assumptions!$D$13)/3.29)*44</f>
        <v>17672492.638164978</v>
      </c>
      <c r="M296" s="6">
        <f ca="1">_xlfn.NORM.INV(RAND(),AVERAGE(Assumptions!$D$14,Assumptions!$F$14),(Assumptions!$F$14-Assumptions!$D$14)/3.29)*44</f>
        <v>6843410.5144051649</v>
      </c>
      <c r="N296" s="9">
        <f ca="1">_xlfn.NORM.INV(RAND(),AVERAGE(Assumptions!$D$16,Assumptions!$F$16),(Assumptions!$F$16-Assumptions!$D$16)/3.29)*44</f>
        <v>15526013.387507502</v>
      </c>
      <c r="O296" s="12">
        <f ca="1">_xlfn.NORM.INV(RAND(),AVERAGE(Assumptions!$D$15,Assumptions!$F$15),(Assumptions!$F$15-Assumptions!$D$15)/3.29)*44</f>
        <v>140488720.16939104</v>
      </c>
      <c r="P296" s="15">
        <f>Assumptions!$D$18</f>
        <v>14641750.345627395</v>
      </c>
      <c r="Q296" s="3">
        <f t="shared" ca="1" si="8"/>
        <v>70952866.216904834</v>
      </c>
      <c r="R296" s="6">
        <f t="shared" ca="1" si="9"/>
        <v>85594616.562532231</v>
      </c>
    </row>
    <row r="297" spans="1:18">
      <c r="A297" s="20">
        <v>296</v>
      </c>
      <c r="B297" s="3">
        <f ca="1">_xlfn.NORM.INV(RAND(),AVERAGE(Assumptions!$D$4,Assumptions!$F$4),(Assumptions!$F$4-Assumptions!$D$4)/3.29)*44</f>
        <v>1237236.3080441393</v>
      </c>
      <c r="C297" s="6">
        <f ca="1">_xlfn.NORM.INV(RAND(),AVERAGE(Assumptions!$D$5,Assumptions!$F$5),(Assumptions!$F$5-Assumptions!$D$5)/3.29)*44</f>
        <v>1755417.4445328792</v>
      </c>
      <c r="D297" s="9">
        <f ca="1">_xlfn.NORM.INV(RAND(),AVERAGE(Assumptions!$D$6,Assumptions!$F$6),(Assumptions!$F$6-Assumptions!$D$6)/3.29)*RANDBETWEEN(2,5)</f>
        <v>4858790.5760919293</v>
      </c>
      <c r="E297" s="12">
        <f ca="1">_xlfn.NORM.INV(RAND(),AVERAGE(Assumptions!$D$17,Assumptions!$F$17),(Assumptions!$F$17-Assumptions!$D$17)/3.29)*8</f>
        <v>1058350.8206618328</v>
      </c>
      <c r="F297" s="15">
        <f ca="1">_xlfn.NORM.INV(RAND(),AVERAGE(Assumptions!$D$7,Assumptions!$F$7),(Assumptions!$F$7-Assumptions!$D$7)/3.29)*RANDBETWEEN(1,3)</f>
        <v>5294580.0335438196</v>
      </c>
      <c r="G297" s="3">
        <f ca="1">_xlfn.NORM.INV(RAND(),AVERAGE(Assumptions!$D$8,Assumptions!$F$8),(Assumptions!$F$8-Assumptions!$D$8)/3.29)*44</f>
        <v>1335891.6031685574</v>
      </c>
      <c r="H297" s="6">
        <f ca="1">_xlfn.NORM.INV(RAND(),AVERAGE(Assumptions!$D$9,Assumptions!$F$9),(Assumptions!$F$9-Assumptions!$D$9)/3.29)*21</f>
        <v>3961863.1894214349</v>
      </c>
      <c r="I297" s="9">
        <f ca="1">_xlfn.NORM.INV(RAND(),AVERAGE(Assumptions!$D$10,Assumptions!$F$10),(Assumptions!$F$10-Assumptions!$D$10)/3.29)*21</f>
        <v>656716.12324386684</v>
      </c>
      <c r="J297" s="12">
        <f ca="1">NORMINV(RAND(),AVERAGE(Assumptions!$D$11,Assumptions!$F$11),(Assumptions!$F$11-Assumptions!$D$11)/3.29)*44</f>
        <v>3528740.5981251304</v>
      </c>
      <c r="K297" s="15">
        <f ca="1">_xlfn.NORM.INV(RAND(),AVERAGE(Assumptions!$D$12,Assumptions!$F$12),(Assumptions!$F$12-Assumptions!$D$12)/3.29)*44</f>
        <v>8376326.0653533218</v>
      </c>
      <c r="L297" s="3">
        <f ca="1">_xlfn.NORM.INV(RAND(),AVERAGE(Assumptions!$D$13,Assumptions!$F$13),(Assumptions!$F$13-Assumptions!$D$13)/3.29)*44</f>
        <v>5659793.253717863</v>
      </c>
      <c r="M297" s="6">
        <f ca="1">_xlfn.NORM.INV(RAND(),AVERAGE(Assumptions!$D$14,Assumptions!$F$14),(Assumptions!$F$14-Assumptions!$D$14)/3.29)*44</f>
        <v>5928114.1360528022</v>
      </c>
      <c r="N297" s="9">
        <f ca="1">_xlfn.NORM.INV(RAND(),AVERAGE(Assumptions!$D$16,Assumptions!$F$16),(Assumptions!$F$16-Assumptions!$D$16)/3.29)*44</f>
        <v>8402870.6200831402</v>
      </c>
      <c r="O297" s="12">
        <f ca="1">_xlfn.NORM.INV(RAND(),AVERAGE(Assumptions!$D$15,Assumptions!$F$15),(Assumptions!$F$15-Assumptions!$D$15)/3.29)*44</f>
        <v>68633986.160451323</v>
      </c>
      <c r="P297" s="15">
        <f>Assumptions!$D$18</f>
        <v>14641750.345627395</v>
      </c>
      <c r="Q297" s="3">
        <f t="shared" ca="1" si="8"/>
        <v>16579295.388410605</v>
      </c>
      <c r="R297" s="6">
        <f t="shared" ca="1" si="9"/>
        <v>31221045.734038003</v>
      </c>
    </row>
    <row r="298" spans="1:18">
      <c r="A298" s="20">
        <v>297</v>
      </c>
      <c r="B298" s="3">
        <f ca="1">_xlfn.NORM.INV(RAND(),AVERAGE(Assumptions!$D$4,Assumptions!$F$4),(Assumptions!$F$4-Assumptions!$D$4)/3.29)*44</f>
        <v>1184934.9521747753</v>
      </c>
      <c r="C298" s="6">
        <f ca="1">_xlfn.NORM.INV(RAND(),AVERAGE(Assumptions!$D$5,Assumptions!$F$5),(Assumptions!$F$5-Assumptions!$D$5)/3.29)*44</f>
        <v>1937715.1232131522</v>
      </c>
      <c r="D298" s="9">
        <f ca="1">_xlfn.NORM.INV(RAND(),AVERAGE(Assumptions!$D$6,Assumptions!$F$6),(Assumptions!$F$6-Assumptions!$D$6)/3.29)*RANDBETWEEN(2,5)</f>
        <v>799700.10908369394</v>
      </c>
      <c r="E298" s="12">
        <f ca="1">_xlfn.NORM.INV(RAND(),AVERAGE(Assumptions!$D$17,Assumptions!$F$17),(Assumptions!$F$17-Assumptions!$D$17)/3.29)*8</f>
        <v>998601.94665724679</v>
      </c>
      <c r="F298" s="15">
        <f ca="1">_xlfn.NORM.INV(RAND(),AVERAGE(Assumptions!$D$7,Assumptions!$F$7),(Assumptions!$F$7-Assumptions!$D$7)/3.29)*RANDBETWEEN(1,3)</f>
        <v>8043499.4452982442</v>
      </c>
      <c r="G298" s="3">
        <f ca="1">_xlfn.NORM.INV(RAND(),AVERAGE(Assumptions!$D$8,Assumptions!$F$8),(Assumptions!$F$8-Assumptions!$D$8)/3.29)*44</f>
        <v>1534901.3755085063</v>
      </c>
      <c r="H298" s="6">
        <f ca="1">_xlfn.NORM.INV(RAND(),AVERAGE(Assumptions!$D$9,Assumptions!$F$9),(Assumptions!$F$9-Assumptions!$D$9)/3.29)*21</f>
        <v>5659128.8216211349</v>
      </c>
      <c r="I298" s="9">
        <f ca="1">_xlfn.NORM.INV(RAND(),AVERAGE(Assumptions!$D$10,Assumptions!$F$10),(Assumptions!$F$10-Assumptions!$D$10)/3.29)*21</f>
        <v>748296.24322386447</v>
      </c>
      <c r="J298" s="12">
        <f ca="1">NORMINV(RAND(),AVERAGE(Assumptions!$D$11,Assumptions!$F$11),(Assumptions!$F$11-Assumptions!$D$11)/3.29)*44</f>
        <v>4498161.9242279511</v>
      </c>
      <c r="K298" s="15">
        <f ca="1">_xlfn.NORM.INV(RAND(),AVERAGE(Assumptions!$D$12,Assumptions!$F$12),(Assumptions!$F$12-Assumptions!$D$12)/3.29)*44</f>
        <v>7650097.2807366373</v>
      </c>
      <c r="L298" s="3">
        <f ca="1">_xlfn.NORM.INV(RAND(),AVERAGE(Assumptions!$D$13,Assumptions!$F$13),(Assumptions!$F$13-Assumptions!$D$13)/3.29)*44</f>
        <v>16716663.843533715</v>
      </c>
      <c r="M298" s="6">
        <f ca="1">_xlfn.NORM.INV(RAND(),AVERAGE(Assumptions!$D$14,Assumptions!$F$14),(Assumptions!$F$14-Assumptions!$D$14)/3.29)*44</f>
        <v>6070441.4294029726</v>
      </c>
      <c r="N298" s="9">
        <f ca="1">_xlfn.NORM.INV(RAND(),AVERAGE(Assumptions!$D$16,Assumptions!$F$16),(Assumptions!$F$16-Assumptions!$D$16)/3.29)*44</f>
        <v>10777854.072489791</v>
      </c>
      <c r="O298" s="12">
        <f ca="1">_xlfn.NORM.INV(RAND(),AVERAGE(Assumptions!$D$15,Assumptions!$F$15),(Assumptions!$F$15-Assumptions!$D$15)/3.29)*44</f>
        <v>98911345.458471432</v>
      </c>
      <c r="P298" s="15">
        <f>Assumptions!$D$18</f>
        <v>14641750.345627395</v>
      </c>
      <c r="Q298" s="3">
        <f t="shared" ca="1" si="8"/>
        <v>32291348.891299754</v>
      </c>
      <c r="R298" s="6">
        <f t="shared" ca="1" si="9"/>
        <v>46933099.236927152</v>
      </c>
    </row>
    <row r="299" spans="1:18">
      <c r="A299" s="20">
        <v>298</v>
      </c>
      <c r="B299" s="3">
        <f ca="1">_xlfn.NORM.INV(RAND(),AVERAGE(Assumptions!$D$4,Assumptions!$F$4),(Assumptions!$F$4-Assumptions!$D$4)/3.29)*44</f>
        <v>1198533.9807750282</v>
      </c>
      <c r="C299" s="6">
        <f ca="1">_xlfn.NORM.INV(RAND(),AVERAGE(Assumptions!$D$5,Assumptions!$F$5),(Assumptions!$F$5-Assumptions!$D$5)/3.29)*44</f>
        <v>1674173.956974206</v>
      </c>
      <c r="D299" s="9">
        <f ca="1">_xlfn.NORM.INV(RAND(),AVERAGE(Assumptions!$D$6,Assumptions!$F$6),(Assumptions!$F$6-Assumptions!$D$6)/3.29)*RANDBETWEEN(2,5)</f>
        <v>8753428.3686163016</v>
      </c>
      <c r="E299" s="12">
        <f ca="1">_xlfn.NORM.INV(RAND(),AVERAGE(Assumptions!$D$17,Assumptions!$F$17),(Assumptions!$F$17-Assumptions!$D$17)/3.29)*8</f>
        <v>847373.25299815054</v>
      </c>
      <c r="F299" s="15">
        <f ca="1">_xlfn.NORM.INV(RAND(),AVERAGE(Assumptions!$D$7,Assumptions!$F$7),(Assumptions!$F$7-Assumptions!$D$7)/3.29)*RANDBETWEEN(1,3)</f>
        <v>6210983.2104272069</v>
      </c>
      <c r="G299" s="3">
        <f ca="1">_xlfn.NORM.INV(RAND(),AVERAGE(Assumptions!$D$8,Assumptions!$F$8),(Assumptions!$F$8-Assumptions!$D$8)/3.29)*44</f>
        <v>1407947.7004875953</v>
      </c>
      <c r="H299" s="6">
        <f ca="1">_xlfn.NORM.INV(RAND(),AVERAGE(Assumptions!$D$9,Assumptions!$F$9),(Assumptions!$F$9-Assumptions!$D$9)/3.29)*21</f>
        <v>5517755.1518236892</v>
      </c>
      <c r="I299" s="9">
        <f ca="1">_xlfn.NORM.INV(RAND(),AVERAGE(Assumptions!$D$10,Assumptions!$F$10),(Assumptions!$F$10-Assumptions!$D$10)/3.29)*21</f>
        <v>1206675.7289336892</v>
      </c>
      <c r="J299" s="12">
        <f ca="1">NORMINV(RAND(),AVERAGE(Assumptions!$D$11,Assumptions!$F$11),(Assumptions!$F$11-Assumptions!$D$11)/3.29)*44</f>
        <v>5332792.2880158154</v>
      </c>
      <c r="K299" s="15">
        <f ca="1">_xlfn.NORM.INV(RAND(),AVERAGE(Assumptions!$D$12,Assumptions!$F$12),(Assumptions!$F$12-Assumptions!$D$12)/3.29)*44</f>
        <v>9027392.4495574534</v>
      </c>
      <c r="L299" s="3">
        <f ca="1">_xlfn.NORM.INV(RAND(),AVERAGE(Assumptions!$D$13,Assumptions!$F$13),(Assumptions!$F$13-Assumptions!$D$13)/3.29)*44</f>
        <v>12344489.92387116</v>
      </c>
      <c r="M299" s="6">
        <f ca="1">_xlfn.NORM.INV(RAND(),AVERAGE(Assumptions!$D$14,Assumptions!$F$14),(Assumptions!$F$14-Assumptions!$D$14)/3.29)*44</f>
        <v>5190337.1323918607</v>
      </c>
      <c r="N299" s="9">
        <f ca="1">_xlfn.NORM.INV(RAND(),AVERAGE(Assumptions!$D$16,Assumptions!$F$16),(Assumptions!$F$16-Assumptions!$D$16)/3.29)*44</f>
        <v>16665568.482912229</v>
      </c>
      <c r="O299" s="12">
        <f ca="1">_xlfn.NORM.INV(RAND(),AVERAGE(Assumptions!$D$15,Assumptions!$F$15),(Assumptions!$F$15-Assumptions!$D$15)/3.29)*44</f>
        <v>94995166.82180877</v>
      </c>
      <c r="P299" s="15">
        <f>Assumptions!$D$18</f>
        <v>14641750.345627395</v>
      </c>
      <c r="Q299" s="3">
        <f t="shared" ca="1" si="8"/>
        <v>19617715.194024384</v>
      </c>
      <c r="R299" s="6">
        <f t="shared" ca="1" si="9"/>
        <v>34259465.539651781</v>
      </c>
    </row>
    <row r="300" spans="1:18">
      <c r="A300" s="20">
        <v>299</v>
      </c>
      <c r="B300" s="3">
        <f ca="1">_xlfn.NORM.INV(RAND(),AVERAGE(Assumptions!$D$4,Assumptions!$F$4),(Assumptions!$F$4-Assumptions!$D$4)/3.29)*44</f>
        <v>1132534.9913888418</v>
      </c>
      <c r="C300" s="6">
        <f ca="1">_xlfn.NORM.INV(RAND(),AVERAGE(Assumptions!$D$5,Assumptions!$F$5),(Assumptions!$F$5-Assumptions!$D$5)/3.29)*44</f>
        <v>1960222.5620473432</v>
      </c>
      <c r="D300" s="9">
        <f ca="1">_xlfn.NORM.INV(RAND(),AVERAGE(Assumptions!$D$6,Assumptions!$F$6),(Assumptions!$F$6-Assumptions!$D$6)/3.29)*RANDBETWEEN(2,5)</f>
        <v>1234243.5625349078</v>
      </c>
      <c r="E300" s="12">
        <f ca="1">_xlfn.NORM.INV(RAND(),AVERAGE(Assumptions!$D$17,Assumptions!$F$17),(Assumptions!$F$17-Assumptions!$D$17)/3.29)*8</f>
        <v>987922.4600792235</v>
      </c>
      <c r="F300" s="15">
        <f ca="1">_xlfn.NORM.INV(RAND(),AVERAGE(Assumptions!$D$7,Assumptions!$F$7),(Assumptions!$F$7-Assumptions!$D$7)/3.29)*RANDBETWEEN(1,3)</f>
        <v>10697794.050182505</v>
      </c>
      <c r="G300" s="3">
        <f ca="1">_xlfn.NORM.INV(RAND(),AVERAGE(Assumptions!$D$8,Assumptions!$F$8),(Assumptions!$F$8-Assumptions!$D$8)/3.29)*44</f>
        <v>1029648.2301957968</v>
      </c>
      <c r="H300" s="6">
        <f ca="1">_xlfn.NORM.INV(RAND(),AVERAGE(Assumptions!$D$9,Assumptions!$F$9),(Assumptions!$F$9-Assumptions!$D$9)/3.29)*21</f>
        <v>3158101.8733434267</v>
      </c>
      <c r="I300" s="9">
        <f ca="1">_xlfn.NORM.INV(RAND(),AVERAGE(Assumptions!$D$10,Assumptions!$F$10),(Assumptions!$F$10-Assumptions!$D$10)/3.29)*21</f>
        <v>823864.05639633478</v>
      </c>
      <c r="J300" s="12">
        <f ca="1">NORMINV(RAND(),AVERAGE(Assumptions!$D$11,Assumptions!$F$11),(Assumptions!$F$11-Assumptions!$D$11)/3.29)*44</f>
        <v>4461375.4524132777</v>
      </c>
      <c r="K300" s="15">
        <f ca="1">_xlfn.NORM.INV(RAND(),AVERAGE(Assumptions!$D$12,Assumptions!$F$12),(Assumptions!$F$12-Assumptions!$D$12)/3.29)*44</f>
        <v>8706349.0407193787</v>
      </c>
      <c r="L300" s="3">
        <f ca="1">_xlfn.NORM.INV(RAND(),AVERAGE(Assumptions!$D$13,Assumptions!$F$13),(Assumptions!$F$13-Assumptions!$D$13)/3.29)*44</f>
        <v>19703779.732188303</v>
      </c>
      <c r="M300" s="6">
        <f ca="1">_xlfn.NORM.INV(RAND(),AVERAGE(Assumptions!$D$14,Assumptions!$F$14),(Assumptions!$F$14-Assumptions!$D$14)/3.29)*44</f>
        <v>4405241.8777189115</v>
      </c>
      <c r="N300" s="9">
        <f ca="1">_xlfn.NORM.INV(RAND(),AVERAGE(Assumptions!$D$16,Assumptions!$F$16),(Assumptions!$F$16-Assumptions!$D$16)/3.29)*44</f>
        <v>16708486.132027362</v>
      </c>
      <c r="O300" s="12">
        <f ca="1">_xlfn.NORM.INV(RAND(),AVERAGE(Assumptions!$D$15,Assumptions!$F$15),(Assumptions!$F$15-Assumptions!$D$15)/3.29)*44</f>
        <v>115944235.3520163</v>
      </c>
      <c r="P300" s="15">
        <f>Assumptions!$D$18</f>
        <v>14641750.345627395</v>
      </c>
      <c r="Q300" s="3">
        <f t="shared" ca="1" si="8"/>
        <v>40934671.330780685</v>
      </c>
      <c r="R300" s="6">
        <f t="shared" ca="1" si="9"/>
        <v>55576421.676408082</v>
      </c>
    </row>
    <row r="301" spans="1:18">
      <c r="A301" s="20">
        <v>300</v>
      </c>
      <c r="B301" s="3">
        <f ca="1">_xlfn.NORM.INV(RAND(),AVERAGE(Assumptions!$D$4,Assumptions!$F$4),(Assumptions!$F$4-Assumptions!$D$4)/3.29)*44</f>
        <v>1202401.2697584692</v>
      </c>
      <c r="C301" s="6">
        <f ca="1">_xlfn.NORM.INV(RAND(),AVERAGE(Assumptions!$D$5,Assumptions!$F$5),(Assumptions!$F$5-Assumptions!$D$5)/3.29)*44</f>
        <v>1661597.9442064369</v>
      </c>
      <c r="D301" s="9">
        <f ca="1">_xlfn.NORM.INV(RAND(),AVERAGE(Assumptions!$D$6,Assumptions!$F$6),(Assumptions!$F$6-Assumptions!$D$6)/3.29)*RANDBETWEEN(2,5)</f>
        <v>4799401.8891384043</v>
      </c>
      <c r="E301" s="12">
        <f ca="1">_xlfn.NORM.INV(RAND(),AVERAGE(Assumptions!$D$17,Assumptions!$F$17),(Assumptions!$F$17-Assumptions!$D$17)/3.29)*8</f>
        <v>1054756.3795206714</v>
      </c>
      <c r="F301" s="15">
        <f ca="1">_xlfn.NORM.INV(RAND(),AVERAGE(Assumptions!$D$7,Assumptions!$F$7),(Assumptions!$F$7-Assumptions!$D$7)/3.29)*RANDBETWEEN(1,3)</f>
        <v>3289277.5399099123</v>
      </c>
      <c r="G301" s="3">
        <f ca="1">_xlfn.NORM.INV(RAND(),AVERAGE(Assumptions!$D$8,Assumptions!$F$8),(Assumptions!$F$8-Assumptions!$D$8)/3.29)*44</f>
        <v>1216980.6228020852</v>
      </c>
      <c r="H301" s="6">
        <f ca="1">_xlfn.NORM.INV(RAND(),AVERAGE(Assumptions!$D$9,Assumptions!$F$9),(Assumptions!$F$9-Assumptions!$D$9)/3.29)*21</f>
        <v>4363206.2387844743</v>
      </c>
      <c r="I301" s="9">
        <f ca="1">_xlfn.NORM.INV(RAND(),AVERAGE(Assumptions!$D$10,Assumptions!$F$10),(Assumptions!$F$10-Assumptions!$D$10)/3.29)*21</f>
        <v>1287308.9254438884</v>
      </c>
      <c r="J301" s="12">
        <f ca="1">NORMINV(RAND(),AVERAGE(Assumptions!$D$11,Assumptions!$F$11),(Assumptions!$F$11-Assumptions!$D$11)/3.29)*44</f>
        <v>2748397.2633970082</v>
      </c>
      <c r="K301" s="15">
        <f ca="1">_xlfn.NORM.INV(RAND(),AVERAGE(Assumptions!$D$12,Assumptions!$F$12),(Assumptions!$F$12-Assumptions!$D$12)/3.29)*44</f>
        <v>7758810.9804347651</v>
      </c>
      <c r="L301" s="3">
        <f ca="1">_xlfn.NORM.INV(RAND(),AVERAGE(Assumptions!$D$13,Assumptions!$F$13),(Assumptions!$F$13-Assumptions!$D$13)/3.29)*44</f>
        <v>11089911.098852029</v>
      </c>
      <c r="M301" s="6">
        <f ca="1">_xlfn.NORM.INV(RAND(),AVERAGE(Assumptions!$D$14,Assumptions!$F$14),(Assumptions!$F$14-Assumptions!$D$14)/3.29)*44</f>
        <v>6330109.6545290537</v>
      </c>
      <c r="N301" s="9">
        <f ca="1">_xlfn.NORM.INV(RAND(),AVERAGE(Assumptions!$D$16,Assumptions!$F$16),(Assumptions!$F$16-Assumptions!$D$16)/3.29)*44</f>
        <v>5036987.0492570186</v>
      </c>
      <c r="O301" s="12">
        <f ca="1">_xlfn.NORM.INV(RAND(),AVERAGE(Assumptions!$D$15,Assumptions!$F$15),(Assumptions!$F$15-Assumptions!$D$15)/3.29)*44</f>
        <v>49021146.878938153</v>
      </c>
      <c r="P301" s="15">
        <f>Assumptions!$D$18</f>
        <v>14641750.345627395</v>
      </c>
      <c r="Q301" s="3">
        <f t="shared" ca="1" si="8"/>
        <v>-2817999.9770960584</v>
      </c>
      <c r="R301" s="6">
        <f t="shared" ca="1" si="9"/>
        <v>11823750.368531337</v>
      </c>
    </row>
    <row r="302" spans="1:18">
      <c r="A302" s="20">
        <v>301</v>
      </c>
      <c r="B302" s="3">
        <f ca="1">_xlfn.NORM.INV(RAND(),AVERAGE(Assumptions!$D$4,Assumptions!$F$4),(Assumptions!$F$4-Assumptions!$D$4)/3.29)*44</f>
        <v>1242807.0681623423</v>
      </c>
      <c r="C302" s="6">
        <f ca="1">_xlfn.NORM.INV(RAND(),AVERAGE(Assumptions!$D$5,Assumptions!$F$5),(Assumptions!$F$5-Assumptions!$D$5)/3.29)*44</f>
        <v>2101032.4367814753</v>
      </c>
      <c r="D302" s="9">
        <f ca="1">_xlfn.NORM.INV(RAND(),AVERAGE(Assumptions!$D$6,Assumptions!$F$6),(Assumptions!$F$6-Assumptions!$D$6)/3.29)*RANDBETWEEN(2,5)</f>
        <v>1282125.9101075255</v>
      </c>
      <c r="E302" s="12">
        <f ca="1">_xlfn.NORM.INV(RAND(),AVERAGE(Assumptions!$D$17,Assumptions!$F$17),(Assumptions!$F$17-Assumptions!$D$17)/3.29)*8</f>
        <v>879168.16920999135</v>
      </c>
      <c r="F302" s="15">
        <f ca="1">_xlfn.NORM.INV(RAND(),AVERAGE(Assumptions!$D$7,Assumptions!$F$7),(Assumptions!$F$7-Assumptions!$D$7)/3.29)*RANDBETWEEN(1,3)</f>
        <v>5888096.208721417</v>
      </c>
      <c r="G302" s="3">
        <f ca="1">_xlfn.NORM.INV(RAND(),AVERAGE(Assumptions!$D$8,Assumptions!$F$8),(Assumptions!$F$8-Assumptions!$D$8)/3.29)*44</f>
        <v>1425285.7816705417</v>
      </c>
      <c r="H302" s="6">
        <f ca="1">_xlfn.NORM.INV(RAND(),AVERAGE(Assumptions!$D$9,Assumptions!$F$9),(Assumptions!$F$9-Assumptions!$D$9)/3.29)*21</f>
        <v>2998640.8605460157</v>
      </c>
      <c r="I302" s="9">
        <f ca="1">_xlfn.NORM.INV(RAND(),AVERAGE(Assumptions!$D$10,Assumptions!$F$10),(Assumptions!$F$10-Assumptions!$D$10)/3.29)*21</f>
        <v>611891.18157568702</v>
      </c>
      <c r="J302" s="12">
        <f ca="1">NORMINV(RAND(),AVERAGE(Assumptions!$D$11,Assumptions!$F$11),(Assumptions!$F$11-Assumptions!$D$11)/3.29)*44</f>
        <v>4484561.8819671711</v>
      </c>
      <c r="K302" s="15">
        <f ca="1">_xlfn.NORM.INV(RAND(),AVERAGE(Assumptions!$D$12,Assumptions!$F$12),(Assumptions!$F$12-Assumptions!$D$12)/3.29)*44</f>
        <v>6452629.1548850555</v>
      </c>
      <c r="L302" s="3">
        <f ca="1">_xlfn.NORM.INV(RAND(),AVERAGE(Assumptions!$D$13,Assumptions!$F$13),(Assumptions!$F$13-Assumptions!$D$13)/3.29)*44</f>
        <v>19196355.886937529</v>
      </c>
      <c r="M302" s="6">
        <f ca="1">_xlfn.NORM.INV(RAND(),AVERAGE(Assumptions!$D$14,Assumptions!$F$14),(Assumptions!$F$14-Assumptions!$D$14)/3.29)*44</f>
        <v>5265363.8096460812</v>
      </c>
      <c r="N302" s="9">
        <f ca="1">_xlfn.NORM.INV(RAND(),AVERAGE(Assumptions!$D$16,Assumptions!$F$16),(Assumptions!$F$16-Assumptions!$D$16)/3.29)*44</f>
        <v>8732439.3898123614</v>
      </c>
      <c r="O302" s="12">
        <f ca="1">_xlfn.NORM.INV(RAND(),AVERAGE(Assumptions!$D$15,Assumptions!$F$15),(Assumptions!$F$15-Assumptions!$D$15)/3.29)*44</f>
        <v>136632226.82639438</v>
      </c>
      <c r="P302" s="15">
        <f>Assumptions!$D$18</f>
        <v>14641750.345627395</v>
      </c>
      <c r="Q302" s="3">
        <f t="shared" ca="1" si="8"/>
        <v>76071829.086371183</v>
      </c>
      <c r="R302" s="6">
        <f t="shared" ca="1" si="9"/>
        <v>90713579.431998581</v>
      </c>
    </row>
    <row r="303" spans="1:18">
      <c r="A303" s="20">
        <v>302</v>
      </c>
      <c r="B303" s="3">
        <f ca="1">_xlfn.NORM.INV(RAND(),AVERAGE(Assumptions!$D$4,Assumptions!$F$4),(Assumptions!$F$4-Assumptions!$D$4)/3.29)*44</f>
        <v>1301990.6263078693</v>
      </c>
      <c r="C303" s="6">
        <f ca="1">_xlfn.NORM.INV(RAND(),AVERAGE(Assumptions!$D$5,Assumptions!$F$5),(Assumptions!$F$5-Assumptions!$D$5)/3.29)*44</f>
        <v>1679909.2241572423</v>
      </c>
      <c r="D303" s="9">
        <f ca="1">_xlfn.NORM.INV(RAND(),AVERAGE(Assumptions!$D$6,Assumptions!$F$6),(Assumptions!$F$6-Assumptions!$D$6)/3.29)*RANDBETWEEN(2,5)</f>
        <v>6242090.7857881282</v>
      </c>
      <c r="E303" s="12">
        <f ca="1">_xlfn.NORM.INV(RAND(),AVERAGE(Assumptions!$D$17,Assumptions!$F$17),(Assumptions!$F$17-Assumptions!$D$17)/3.29)*8</f>
        <v>1047006.8923932416</v>
      </c>
      <c r="F303" s="15">
        <f ca="1">_xlfn.NORM.INV(RAND(),AVERAGE(Assumptions!$D$7,Assumptions!$F$7),(Assumptions!$F$7-Assumptions!$D$7)/3.29)*RANDBETWEEN(1,3)</f>
        <v>6527451.3133141259</v>
      </c>
      <c r="G303" s="3">
        <f ca="1">_xlfn.NORM.INV(RAND(),AVERAGE(Assumptions!$D$8,Assumptions!$F$8),(Assumptions!$F$8-Assumptions!$D$8)/3.29)*44</f>
        <v>1006366.57772464</v>
      </c>
      <c r="H303" s="6">
        <f ca="1">_xlfn.NORM.INV(RAND(),AVERAGE(Assumptions!$D$9,Assumptions!$F$9),(Assumptions!$F$9-Assumptions!$D$9)/3.29)*21</f>
        <v>3536245.9778457773</v>
      </c>
      <c r="I303" s="9">
        <f ca="1">_xlfn.NORM.INV(RAND(),AVERAGE(Assumptions!$D$10,Assumptions!$F$10),(Assumptions!$F$10-Assumptions!$D$10)/3.29)*21</f>
        <v>1352355.3674715636</v>
      </c>
      <c r="J303" s="12">
        <f ca="1">NORMINV(RAND(),AVERAGE(Assumptions!$D$11,Assumptions!$F$11),(Assumptions!$F$11-Assumptions!$D$11)/3.29)*44</f>
        <v>3606920.6461264626</v>
      </c>
      <c r="K303" s="15">
        <f ca="1">_xlfn.NORM.INV(RAND(),AVERAGE(Assumptions!$D$12,Assumptions!$F$12),(Assumptions!$F$12-Assumptions!$D$12)/3.29)*44</f>
        <v>6311653.4891890297</v>
      </c>
      <c r="L303" s="3">
        <f ca="1">_xlfn.NORM.INV(RAND(),AVERAGE(Assumptions!$D$13,Assumptions!$F$13),(Assumptions!$F$13-Assumptions!$D$13)/3.29)*44</f>
        <v>11556419.065924071</v>
      </c>
      <c r="M303" s="6">
        <f ca="1">_xlfn.NORM.INV(RAND(),AVERAGE(Assumptions!$D$14,Assumptions!$F$14),(Assumptions!$F$14-Assumptions!$D$14)/3.29)*44</f>
        <v>5892848.37067525</v>
      </c>
      <c r="N303" s="9">
        <f ca="1">_xlfn.NORM.INV(RAND(),AVERAGE(Assumptions!$D$16,Assumptions!$F$16),(Assumptions!$F$16-Assumptions!$D$16)/3.29)*44</f>
        <v>7316808.584902388</v>
      </c>
      <c r="O303" s="12">
        <f ca="1">_xlfn.NORM.INV(RAND(),AVERAGE(Assumptions!$D$15,Assumptions!$F$15),(Assumptions!$F$15-Assumptions!$D$15)/3.29)*44</f>
        <v>114259890.29958782</v>
      </c>
      <c r="P303" s="15">
        <f>Assumptions!$D$18</f>
        <v>14641750.345627395</v>
      </c>
      <c r="Q303" s="3">
        <f t="shared" ca="1" si="8"/>
        <v>56881823.377768025</v>
      </c>
      <c r="R303" s="6">
        <f t="shared" ca="1" si="9"/>
        <v>71523573.723395422</v>
      </c>
    </row>
    <row r="304" spans="1:18">
      <c r="A304" s="20">
        <v>303</v>
      </c>
      <c r="B304" s="3">
        <f ca="1">_xlfn.NORM.INV(RAND(),AVERAGE(Assumptions!$D$4,Assumptions!$F$4),(Assumptions!$F$4-Assumptions!$D$4)/3.29)*44</f>
        <v>1199651.2274460394</v>
      </c>
      <c r="C304" s="6">
        <f ca="1">_xlfn.NORM.INV(RAND(),AVERAGE(Assumptions!$D$5,Assumptions!$F$5),(Assumptions!$F$5-Assumptions!$D$5)/3.29)*44</f>
        <v>1754272.5856111806</v>
      </c>
      <c r="D304" s="9">
        <f ca="1">_xlfn.NORM.INV(RAND(),AVERAGE(Assumptions!$D$6,Assumptions!$F$6),(Assumptions!$F$6-Assumptions!$D$6)/3.29)*RANDBETWEEN(2,5)</f>
        <v>8669568.9942218103</v>
      </c>
      <c r="E304" s="12">
        <f ca="1">_xlfn.NORM.INV(RAND(),AVERAGE(Assumptions!$D$17,Assumptions!$F$17),(Assumptions!$F$17-Assumptions!$D$17)/3.29)*8</f>
        <v>793748.80915091431</v>
      </c>
      <c r="F304" s="15">
        <f ca="1">_xlfn.NORM.INV(RAND(),AVERAGE(Assumptions!$D$7,Assumptions!$F$7),(Assumptions!$F$7-Assumptions!$D$7)/3.29)*RANDBETWEEN(1,3)</f>
        <v>4678472.3537459243</v>
      </c>
      <c r="G304" s="3">
        <f ca="1">_xlfn.NORM.INV(RAND(),AVERAGE(Assumptions!$D$8,Assumptions!$F$8),(Assumptions!$F$8-Assumptions!$D$8)/3.29)*44</f>
        <v>1364784.0165175307</v>
      </c>
      <c r="H304" s="6">
        <f ca="1">_xlfn.NORM.INV(RAND(),AVERAGE(Assumptions!$D$9,Assumptions!$F$9),(Assumptions!$F$9-Assumptions!$D$9)/3.29)*21</f>
        <v>5563376.3165224716</v>
      </c>
      <c r="I304" s="9">
        <f ca="1">_xlfn.NORM.INV(RAND(),AVERAGE(Assumptions!$D$10,Assumptions!$F$10),(Assumptions!$F$10-Assumptions!$D$10)/3.29)*21</f>
        <v>722212.48095492809</v>
      </c>
      <c r="J304" s="12">
        <f ca="1">NORMINV(RAND(),AVERAGE(Assumptions!$D$11,Assumptions!$F$11),(Assumptions!$F$11-Assumptions!$D$11)/3.29)*44</f>
        <v>1434942.0272258271</v>
      </c>
      <c r="K304" s="15">
        <f ca="1">_xlfn.NORM.INV(RAND(),AVERAGE(Assumptions!$D$12,Assumptions!$F$12),(Assumptions!$F$12-Assumptions!$D$12)/3.29)*44</f>
        <v>7487770.2656964576</v>
      </c>
      <c r="L304" s="3">
        <f ca="1">_xlfn.NORM.INV(RAND(),AVERAGE(Assumptions!$D$13,Assumptions!$F$13),(Assumptions!$F$13-Assumptions!$D$13)/3.29)*44</f>
        <v>10885281.274494184</v>
      </c>
      <c r="M304" s="6">
        <f ca="1">_xlfn.NORM.INV(RAND(),AVERAGE(Assumptions!$D$14,Assumptions!$F$14),(Assumptions!$F$14-Assumptions!$D$14)/3.29)*44</f>
        <v>5571804.235289678</v>
      </c>
      <c r="N304" s="9">
        <f ca="1">_xlfn.NORM.INV(RAND(),AVERAGE(Assumptions!$D$16,Assumptions!$F$16),(Assumptions!$F$16-Assumptions!$D$16)/3.29)*44</f>
        <v>4839255.8643927798</v>
      </c>
      <c r="O304" s="12">
        <f ca="1">_xlfn.NORM.INV(RAND(),AVERAGE(Assumptions!$D$15,Assumptions!$F$15),(Assumptions!$F$15-Assumptions!$D$15)/3.29)*44</f>
        <v>128476145.46971031</v>
      </c>
      <c r="P304" s="15">
        <f>Assumptions!$D$18</f>
        <v>14641750.345627395</v>
      </c>
      <c r="Q304" s="3">
        <f t="shared" ca="1" si="8"/>
        <v>73511005.018440574</v>
      </c>
      <c r="R304" s="6">
        <f t="shared" ca="1" si="9"/>
        <v>88152755.364067972</v>
      </c>
    </row>
    <row r="305" spans="1:18">
      <c r="A305" s="20">
        <v>304</v>
      </c>
      <c r="B305" s="3">
        <f ca="1">_xlfn.NORM.INV(RAND(),AVERAGE(Assumptions!$D$4,Assumptions!$F$4),(Assumptions!$F$4-Assumptions!$D$4)/3.29)*44</f>
        <v>1206758.0390727385</v>
      </c>
      <c r="C305" s="6">
        <f ca="1">_xlfn.NORM.INV(RAND(),AVERAGE(Assumptions!$D$5,Assumptions!$F$5),(Assumptions!$F$5-Assumptions!$D$5)/3.29)*44</f>
        <v>1672618.4436157972</v>
      </c>
      <c r="D305" s="9">
        <f ca="1">_xlfn.NORM.INV(RAND(),AVERAGE(Assumptions!$D$6,Assumptions!$F$6),(Assumptions!$F$6-Assumptions!$D$6)/3.29)*RANDBETWEEN(2,5)</f>
        <v>2750652.872694538</v>
      </c>
      <c r="E305" s="12">
        <f ca="1">_xlfn.NORM.INV(RAND(),AVERAGE(Assumptions!$D$17,Assumptions!$F$17),(Assumptions!$F$17-Assumptions!$D$17)/3.29)*8</f>
        <v>1028828.3772534188</v>
      </c>
      <c r="F305" s="15">
        <f ca="1">_xlfn.NORM.INV(RAND(),AVERAGE(Assumptions!$D$7,Assumptions!$F$7),(Assumptions!$F$7-Assumptions!$D$7)/3.29)*RANDBETWEEN(1,3)</f>
        <v>10757388.276897533</v>
      </c>
      <c r="G305" s="3">
        <f ca="1">_xlfn.NORM.INV(RAND(),AVERAGE(Assumptions!$D$8,Assumptions!$F$8),(Assumptions!$F$8-Assumptions!$D$8)/3.29)*44</f>
        <v>1260974.8338258252</v>
      </c>
      <c r="H305" s="6">
        <f ca="1">_xlfn.NORM.INV(RAND(),AVERAGE(Assumptions!$D$9,Assumptions!$F$9),(Assumptions!$F$9-Assumptions!$D$9)/3.29)*21</f>
        <v>3756870.6299413862</v>
      </c>
      <c r="I305" s="9">
        <f ca="1">_xlfn.NORM.INV(RAND(),AVERAGE(Assumptions!$D$10,Assumptions!$F$10),(Assumptions!$F$10-Assumptions!$D$10)/3.29)*21</f>
        <v>793941.81034795509</v>
      </c>
      <c r="J305" s="12">
        <f ca="1">NORMINV(RAND(),AVERAGE(Assumptions!$D$11,Assumptions!$F$11),(Assumptions!$F$11-Assumptions!$D$11)/3.29)*44</f>
        <v>3442478.9754400565</v>
      </c>
      <c r="K305" s="15">
        <f ca="1">_xlfn.NORM.INV(RAND(),AVERAGE(Assumptions!$D$12,Assumptions!$F$12),(Assumptions!$F$12-Assumptions!$D$12)/3.29)*44</f>
        <v>6527322.1064417055</v>
      </c>
      <c r="L305" s="3">
        <f ca="1">_xlfn.NORM.INV(RAND(),AVERAGE(Assumptions!$D$13,Assumptions!$F$13),(Assumptions!$F$13-Assumptions!$D$13)/3.29)*44</f>
        <v>13904329.877027439</v>
      </c>
      <c r="M305" s="6">
        <f ca="1">_xlfn.NORM.INV(RAND(),AVERAGE(Assumptions!$D$14,Assumptions!$F$14),(Assumptions!$F$14-Assumptions!$D$14)/3.29)*44</f>
        <v>3844432.5223212447</v>
      </c>
      <c r="N305" s="9">
        <f ca="1">_xlfn.NORM.INV(RAND(),AVERAGE(Assumptions!$D$16,Assumptions!$F$16),(Assumptions!$F$16-Assumptions!$D$16)/3.29)*44</f>
        <v>11309270.334925987</v>
      </c>
      <c r="O305" s="12">
        <f ca="1">_xlfn.NORM.INV(RAND(),AVERAGE(Assumptions!$D$15,Assumptions!$F$15),(Assumptions!$F$15-Assumptions!$D$15)/3.29)*44</f>
        <v>105909563.06975958</v>
      </c>
      <c r="P305" s="15">
        <f>Assumptions!$D$18</f>
        <v>14641750.345627395</v>
      </c>
      <c r="Q305" s="3">
        <f t="shared" ca="1" si="8"/>
        <v>43653695.969953947</v>
      </c>
      <c r="R305" s="6">
        <f t="shared" ca="1" si="9"/>
        <v>58295446.315581344</v>
      </c>
    </row>
    <row r="306" spans="1:18">
      <c r="A306" s="20">
        <v>305</v>
      </c>
      <c r="B306" s="3">
        <f ca="1">_xlfn.NORM.INV(RAND(),AVERAGE(Assumptions!$D$4,Assumptions!$F$4),(Assumptions!$F$4-Assumptions!$D$4)/3.29)*44</f>
        <v>1204500.4699945704</v>
      </c>
      <c r="C306" s="6">
        <f ca="1">_xlfn.NORM.INV(RAND(),AVERAGE(Assumptions!$D$5,Assumptions!$F$5),(Assumptions!$F$5-Assumptions!$D$5)/3.29)*44</f>
        <v>1856630.9347057529</v>
      </c>
      <c r="D306" s="9">
        <f ca="1">_xlfn.NORM.INV(RAND(),AVERAGE(Assumptions!$D$6,Assumptions!$F$6),(Assumptions!$F$6-Assumptions!$D$6)/3.29)*RANDBETWEEN(2,5)</f>
        <v>1615703.8599707284</v>
      </c>
      <c r="E306" s="12">
        <f ca="1">_xlfn.NORM.INV(RAND(),AVERAGE(Assumptions!$D$17,Assumptions!$F$17),(Assumptions!$F$17-Assumptions!$D$17)/3.29)*8</f>
        <v>1010454.8206002057</v>
      </c>
      <c r="F306" s="15">
        <f ca="1">_xlfn.NORM.INV(RAND(),AVERAGE(Assumptions!$D$7,Assumptions!$F$7),(Assumptions!$F$7-Assumptions!$D$7)/3.29)*RANDBETWEEN(1,3)</f>
        <v>7586052.8948237542</v>
      </c>
      <c r="G306" s="3">
        <f ca="1">_xlfn.NORM.INV(RAND(),AVERAGE(Assumptions!$D$8,Assumptions!$F$8),(Assumptions!$F$8-Assumptions!$D$8)/3.29)*44</f>
        <v>1124415.8621166896</v>
      </c>
      <c r="H306" s="6">
        <f ca="1">_xlfn.NORM.INV(RAND(),AVERAGE(Assumptions!$D$9,Assumptions!$F$9),(Assumptions!$F$9-Assumptions!$D$9)/3.29)*21</f>
        <v>3683662.8432369228</v>
      </c>
      <c r="I306" s="9">
        <f ca="1">_xlfn.NORM.INV(RAND(),AVERAGE(Assumptions!$D$10,Assumptions!$F$10),(Assumptions!$F$10-Assumptions!$D$10)/3.29)*21</f>
        <v>456585.31513382943</v>
      </c>
      <c r="J306" s="12">
        <f ca="1">NORMINV(RAND(),AVERAGE(Assumptions!$D$11,Assumptions!$F$11),(Assumptions!$F$11-Assumptions!$D$11)/3.29)*44</f>
        <v>1853343.6446951402</v>
      </c>
      <c r="K306" s="15">
        <f ca="1">_xlfn.NORM.INV(RAND(),AVERAGE(Assumptions!$D$12,Assumptions!$F$12),(Assumptions!$F$12-Assumptions!$D$12)/3.29)*44</f>
        <v>10468327.47132987</v>
      </c>
      <c r="L306" s="3">
        <f ca="1">_xlfn.NORM.INV(RAND(),AVERAGE(Assumptions!$D$13,Assumptions!$F$13),(Assumptions!$F$13-Assumptions!$D$13)/3.29)*44</f>
        <v>14160127.103828752</v>
      </c>
      <c r="M306" s="6">
        <f ca="1">_xlfn.NORM.INV(RAND(),AVERAGE(Assumptions!$D$14,Assumptions!$F$14),(Assumptions!$F$14-Assumptions!$D$14)/3.29)*44</f>
        <v>6131448.8128457358</v>
      </c>
      <c r="N306" s="9">
        <f ca="1">_xlfn.NORM.INV(RAND(),AVERAGE(Assumptions!$D$16,Assumptions!$F$16),(Assumptions!$F$16-Assumptions!$D$16)/3.29)*44</f>
        <v>9384870.8077718597</v>
      </c>
      <c r="O306" s="12">
        <f ca="1">_xlfn.NORM.INV(RAND(),AVERAGE(Assumptions!$D$15,Assumptions!$F$15),(Assumptions!$F$15-Assumptions!$D$15)/3.29)*44</f>
        <v>96800819.929941684</v>
      </c>
      <c r="P306" s="15">
        <f>Assumptions!$D$18</f>
        <v>14641750.345627395</v>
      </c>
      <c r="Q306" s="3">
        <f t="shared" ca="1" si="8"/>
        <v>36264695.088887878</v>
      </c>
      <c r="R306" s="6">
        <f t="shared" ca="1" si="9"/>
        <v>50906445.434515275</v>
      </c>
    </row>
    <row r="307" spans="1:18">
      <c r="A307" s="20">
        <v>306</v>
      </c>
      <c r="B307" s="3">
        <f ca="1">_xlfn.NORM.INV(RAND(),AVERAGE(Assumptions!$D$4,Assumptions!$F$4),(Assumptions!$F$4-Assumptions!$D$4)/3.29)*44</f>
        <v>1151002.8010996315</v>
      </c>
      <c r="C307" s="6">
        <f ca="1">_xlfn.NORM.INV(RAND(),AVERAGE(Assumptions!$D$5,Assumptions!$F$5),(Assumptions!$F$5-Assumptions!$D$5)/3.29)*44</f>
        <v>1786621.0099523659</v>
      </c>
      <c r="D307" s="9">
        <f ca="1">_xlfn.NORM.INV(RAND(),AVERAGE(Assumptions!$D$6,Assumptions!$F$6),(Assumptions!$F$6-Assumptions!$D$6)/3.29)*RANDBETWEEN(2,5)</f>
        <v>5878881.8864136832</v>
      </c>
      <c r="E307" s="12">
        <f ca="1">_xlfn.NORM.INV(RAND(),AVERAGE(Assumptions!$D$17,Assumptions!$F$17),(Assumptions!$F$17-Assumptions!$D$17)/3.29)*8</f>
        <v>962477.28957399423</v>
      </c>
      <c r="F307" s="15">
        <f ca="1">_xlfn.NORM.INV(RAND(),AVERAGE(Assumptions!$D$7,Assumptions!$F$7),(Assumptions!$F$7-Assumptions!$D$7)/3.29)*RANDBETWEEN(1,3)</f>
        <v>6947112.6606686767</v>
      </c>
      <c r="G307" s="3">
        <f ca="1">_xlfn.NORM.INV(RAND(),AVERAGE(Assumptions!$D$8,Assumptions!$F$8),(Assumptions!$F$8-Assumptions!$D$8)/3.29)*44</f>
        <v>1886065.086523707</v>
      </c>
      <c r="H307" s="6">
        <f ca="1">_xlfn.NORM.INV(RAND(),AVERAGE(Assumptions!$D$9,Assumptions!$F$9),(Assumptions!$F$9-Assumptions!$D$9)/3.29)*21</f>
        <v>5486257.5470073</v>
      </c>
      <c r="I307" s="9">
        <f ca="1">_xlfn.NORM.INV(RAND(),AVERAGE(Assumptions!$D$10,Assumptions!$F$10),(Assumptions!$F$10-Assumptions!$D$10)/3.29)*21</f>
        <v>765542.76171018567</v>
      </c>
      <c r="J307" s="12">
        <f ca="1">NORMINV(RAND(),AVERAGE(Assumptions!$D$11,Assumptions!$F$11),(Assumptions!$F$11-Assumptions!$D$11)/3.29)*44</f>
        <v>4434712.0614939593</v>
      </c>
      <c r="K307" s="15">
        <f ca="1">_xlfn.NORM.INV(RAND(),AVERAGE(Assumptions!$D$12,Assumptions!$F$12),(Assumptions!$F$12-Assumptions!$D$12)/3.29)*44</f>
        <v>7125610.2442134153</v>
      </c>
      <c r="L307" s="3">
        <f ca="1">_xlfn.NORM.INV(RAND(),AVERAGE(Assumptions!$D$13,Assumptions!$F$13),(Assumptions!$F$13-Assumptions!$D$13)/3.29)*44</f>
        <v>9460505.6343427356</v>
      </c>
      <c r="M307" s="6">
        <f ca="1">_xlfn.NORM.INV(RAND(),AVERAGE(Assumptions!$D$14,Assumptions!$F$14),(Assumptions!$F$14-Assumptions!$D$14)/3.29)*44</f>
        <v>5847887.6422498664</v>
      </c>
      <c r="N307" s="9">
        <f ca="1">_xlfn.NORM.INV(RAND(),AVERAGE(Assumptions!$D$16,Assumptions!$F$16),(Assumptions!$F$16-Assumptions!$D$16)/3.29)*44</f>
        <v>9299504.2324811127</v>
      </c>
      <c r="O307" s="12">
        <f ca="1">_xlfn.NORM.INV(RAND(),AVERAGE(Assumptions!$D$15,Assumptions!$F$15),(Assumptions!$F$15-Assumptions!$D$15)/3.29)*44</f>
        <v>33031180.445460372</v>
      </c>
      <c r="P307" s="15">
        <f>Assumptions!$D$18</f>
        <v>14641750.345627395</v>
      </c>
      <c r="Q307" s="3">
        <f t="shared" ca="1" si="8"/>
        <v>-28001000.41227027</v>
      </c>
      <c r="R307" s="6">
        <f t="shared" ca="1" si="9"/>
        <v>-13359250.066642875</v>
      </c>
    </row>
    <row r="308" spans="1:18">
      <c r="A308" s="20">
        <v>307</v>
      </c>
      <c r="B308" s="3">
        <f ca="1">_xlfn.NORM.INV(RAND(),AVERAGE(Assumptions!$D$4,Assumptions!$F$4),(Assumptions!$F$4-Assumptions!$D$4)/3.29)*44</f>
        <v>1147605.2609821255</v>
      </c>
      <c r="C308" s="6">
        <f ca="1">_xlfn.NORM.INV(RAND(),AVERAGE(Assumptions!$D$5,Assumptions!$F$5),(Assumptions!$F$5-Assumptions!$D$5)/3.29)*44</f>
        <v>1942894.4239293498</v>
      </c>
      <c r="D308" s="9">
        <f ca="1">_xlfn.NORM.INV(RAND(),AVERAGE(Assumptions!$D$6,Assumptions!$F$6),(Assumptions!$F$6-Assumptions!$D$6)/3.29)*RANDBETWEEN(2,5)</f>
        <v>972256.69298889767</v>
      </c>
      <c r="E308" s="12">
        <f ca="1">_xlfn.NORM.INV(RAND(),AVERAGE(Assumptions!$D$17,Assumptions!$F$17),(Assumptions!$F$17-Assumptions!$D$17)/3.29)*8</f>
        <v>1119950.2684640826</v>
      </c>
      <c r="F308" s="15">
        <f ca="1">_xlfn.NORM.INV(RAND(),AVERAGE(Assumptions!$D$7,Assumptions!$F$7),(Assumptions!$F$7-Assumptions!$D$7)/3.29)*RANDBETWEEN(1,3)</f>
        <v>12797416.704732906</v>
      </c>
      <c r="G308" s="3">
        <f ca="1">_xlfn.NORM.INV(RAND(),AVERAGE(Assumptions!$D$8,Assumptions!$F$8),(Assumptions!$F$8-Assumptions!$D$8)/3.29)*44</f>
        <v>1245316.0411280154</v>
      </c>
      <c r="H308" s="6">
        <f ca="1">_xlfn.NORM.INV(RAND(),AVERAGE(Assumptions!$D$9,Assumptions!$F$9),(Assumptions!$F$9-Assumptions!$D$9)/3.29)*21</f>
        <v>5157140.7298918329</v>
      </c>
      <c r="I308" s="9">
        <f ca="1">_xlfn.NORM.INV(RAND(),AVERAGE(Assumptions!$D$10,Assumptions!$F$10),(Assumptions!$F$10-Assumptions!$D$10)/3.29)*21</f>
        <v>894374.49266038334</v>
      </c>
      <c r="J308" s="12">
        <f ca="1">NORMINV(RAND(),AVERAGE(Assumptions!$D$11,Assumptions!$F$11),(Assumptions!$F$11-Assumptions!$D$11)/3.29)*44</f>
        <v>2606131.244429884</v>
      </c>
      <c r="K308" s="15">
        <f ca="1">_xlfn.NORM.INV(RAND(),AVERAGE(Assumptions!$D$12,Assumptions!$F$12),(Assumptions!$F$12-Assumptions!$D$12)/3.29)*44</f>
        <v>8673527.5562312268</v>
      </c>
      <c r="L308" s="3">
        <f ca="1">_xlfn.NORM.INV(RAND(),AVERAGE(Assumptions!$D$13,Assumptions!$F$13),(Assumptions!$F$13-Assumptions!$D$13)/3.29)*44</f>
        <v>8440306.6046715602</v>
      </c>
      <c r="M308" s="6">
        <f ca="1">_xlfn.NORM.INV(RAND(),AVERAGE(Assumptions!$D$14,Assumptions!$F$14),(Assumptions!$F$14-Assumptions!$D$14)/3.29)*44</f>
        <v>6320562.8324877815</v>
      </c>
      <c r="N308" s="9">
        <f ca="1">_xlfn.NORM.INV(RAND(),AVERAGE(Assumptions!$D$16,Assumptions!$F$16),(Assumptions!$F$16-Assumptions!$D$16)/3.29)*44</f>
        <v>5924511.1632299619</v>
      </c>
      <c r="O308" s="12">
        <f ca="1">_xlfn.NORM.INV(RAND(),AVERAGE(Assumptions!$D$15,Assumptions!$F$15),(Assumptions!$F$15-Assumptions!$D$15)/3.29)*44</f>
        <v>77357821.024925083</v>
      </c>
      <c r="P308" s="15">
        <f>Assumptions!$D$18</f>
        <v>14641750.345627395</v>
      </c>
      <c r="Q308" s="3">
        <f t="shared" ca="1" si="8"/>
        <v>20115827.00909707</v>
      </c>
      <c r="R308" s="6">
        <f t="shared" ca="1" si="9"/>
        <v>34757577.354724467</v>
      </c>
    </row>
    <row r="309" spans="1:18">
      <c r="A309" s="20">
        <v>308</v>
      </c>
      <c r="B309" s="3">
        <f ca="1">_xlfn.NORM.INV(RAND(),AVERAGE(Assumptions!$D$4,Assumptions!$F$4),(Assumptions!$F$4-Assumptions!$D$4)/3.29)*44</f>
        <v>1273413.3855456426</v>
      </c>
      <c r="C309" s="6">
        <f ca="1">_xlfn.NORM.INV(RAND(),AVERAGE(Assumptions!$D$5,Assumptions!$F$5),(Assumptions!$F$5-Assumptions!$D$5)/3.29)*44</f>
        <v>1777299.1740215949</v>
      </c>
      <c r="D309" s="9">
        <f ca="1">_xlfn.NORM.INV(RAND(),AVERAGE(Assumptions!$D$6,Assumptions!$F$6),(Assumptions!$F$6-Assumptions!$D$6)/3.29)*RANDBETWEEN(2,5)</f>
        <v>4732485.5505720936</v>
      </c>
      <c r="E309" s="12">
        <f ca="1">_xlfn.NORM.INV(RAND(),AVERAGE(Assumptions!$D$17,Assumptions!$F$17),(Assumptions!$F$17-Assumptions!$D$17)/3.29)*8</f>
        <v>976067.30624899908</v>
      </c>
      <c r="F309" s="15">
        <f ca="1">_xlfn.NORM.INV(RAND(),AVERAGE(Assumptions!$D$7,Assumptions!$F$7),(Assumptions!$F$7-Assumptions!$D$7)/3.29)*RANDBETWEEN(1,3)</f>
        <v>10917194.884126041</v>
      </c>
      <c r="G309" s="3">
        <f ca="1">_xlfn.NORM.INV(RAND(),AVERAGE(Assumptions!$D$8,Assumptions!$F$8),(Assumptions!$F$8-Assumptions!$D$8)/3.29)*44</f>
        <v>1279414.6942511299</v>
      </c>
      <c r="H309" s="6">
        <f ca="1">_xlfn.NORM.INV(RAND(),AVERAGE(Assumptions!$D$9,Assumptions!$F$9),(Assumptions!$F$9-Assumptions!$D$9)/3.29)*21</f>
        <v>4457096.095298213</v>
      </c>
      <c r="I309" s="9">
        <f ca="1">_xlfn.NORM.INV(RAND(),AVERAGE(Assumptions!$D$10,Assumptions!$F$10),(Assumptions!$F$10-Assumptions!$D$10)/3.29)*21</f>
        <v>1107345.3742811438</v>
      </c>
      <c r="J309" s="12">
        <f ca="1">NORMINV(RAND(),AVERAGE(Assumptions!$D$11,Assumptions!$F$11),(Assumptions!$F$11-Assumptions!$D$11)/3.29)*44</f>
        <v>3961974.026171336</v>
      </c>
      <c r="K309" s="15">
        <f ca="1">_xlfn.NORM.INV(RAND(),AVERAGE(Assumptions!$D$12,Assumptions!$F$12),(Assumptions!$F$12-Assumptions!$D$12)/3.29)*44</f>
        <v>8012332.108047938</v>
      </c>
      <c r="L309" s="3">
        <f ca="1">_xlfn.NORM.INV(RAND(),AVERAGE(Assumptions!$D$13,Assumptions!$F$13),(Assumptions!$F$13-Assumptions!$D$13)/3.29)*44</f>
        <v>11483138.416631734</v>
      </c>
      <c r="M309" s="6">
        <f ca="1">_xlfn.NORM.INV(RAND(),AVERAGE(Assumptions!$D$14,Assumptions!$F$14),(Assumptions!$F$14-Assumptions!$D$14)/3.29)*44</f>
        <v>4770480.1691463646</v>
      </c>
      <c r="N309" s="9">
        <f ca="1">_xlfn.NORM.INV(RAND(),AVERAGE(Assumptions!$D$16,Assumptions!$F$16),(Assumptions!$F$16-Assumptions!$D$16)/3.29)*44</f>
        <v>13572767.513048021</v>
      </c>
      <c r="O309" s="12">
        <f ca="1">_xlfn.NORM.INV(RAND(),AVERAGE(Assumptions!$D$15,Assumptions!$F$15),(Assumptions!$F$15-Assumptions!$D$15)/3.29)*44</f>
        <v>110258642.23237365</v>
      </c>
      <c r="P309" s="15">
        <f>Assumptions!$D$18</f>
        <v>14641750.345627395</v>
      </c>
      <c r="Q309" s="3">
        <f t="shared" ca="1" si="8"/>
        <v>41937633.534983411</v>
      </c>
      <c r="R309" s="6">
        <f t="shared" ca="1" si="9"/>
        <v>56579383.880610809</v>
      </c>
    </row>
    <row r="310" spans="1:18">
      <c r="A310" s="20">
        <v>309</v>
      </c>
      <c r="B310" s="3">
        <f ca="1">_xlfn.NORM.INV(RAND(),AVERAGE(Assumptions!$D$4,Assumptions!$F$4),(Assumptions!$F$4-Assumptions!$D$4)/3.29)*44</f>
        <v>1154263.9324854454</v>
      </c>
      <c r="C310" s="6">
        <f ca="1">_xlfn.NORM.INV(RAND(),AVERAGE(Assumptions!$D$5,Assumptions!$F$5),(Assumptions!$F$5-Assumptions!$D$5)/3.29)*44</f>
        <v>1854844.9771267781</v>
      </c>
      <c r="D310" s="9">
        <f ca="1">_xlfn.NORM.INV(RAND(),AVERAGE(Assumptions!$D$6,Assumptions!$F$6),(Assumptions!$F$6-Assumptions!$D$6)/3.29)*RANDBETWEEN(2,5)</f>
        <v>2212270.7016621511</v>
      </c>
      <c r="E310" s="12">
        <f ca="1">_xlfn.NORM.INV(RAND(),AVERAGE(Assumptions!$D$17,Assumptions!$F$17),(Assumptions!$F$17-Assumptions!$D$17)/3.29)*8</f>
        <v>1066797.9462815491</v>
      </c>
      <c r="F310" s="15">
        <f ca="1">_xlfn.NORM.INV(RAND(),AVERAGE(Assumptions!$D$7,Assumptions!$F$7),(Assumptions!$F$7-Assumptions!$D$7)/3.29)*RANDBETWEEN(1,3)</f>
        <v>7550864.7049442567</v>
      </c>
      <c r="G310" s="3">
        <f ca="1">_xlfn.NORM.INV(RAND(),AVERAGE(Assumptions!$D$8,Assumptions!$F$8),(Assumptions!$F$8-Assumptions!$D$8)/3.29)*44</f>
        <v>1017126.5695337708</v>
      </c>
      <c r="H310" s="6">
        <f ca="1">_xlfn.NORM.INV(RAND(),AVERAGE(Assumptions!$D$9,Assumptions!$F$9),(Assumptions!$F$9-Assumptions!$D$9)/3.29)*21</f>
        <v>5370932.3120126463</v>
      </c>
      <c r="I310" s="9">
        <f ca="1">_xlfn.NORM.INV(RAND(),AVERAGE(Assumptions!$D$10,Assumptions!$F$10),(Assumptions!$F$10-Assumptions!$D$10)/3.29)*21</f>
        <v>1104964.046389597</v>
      </c>
      <c r="J310" s="12">
        <f ca="1">NORMINV(RAND(),AVERAGE(Assumptions!$D$11,Assumptions!$F$11),(Assumptions!$F$11-Assumptions!$D$11)/3.29)*44</f>
        <v>4486832.7743882127</v>
      </c>
      <c r="K310" s="15">
        <f ca="1">_xlfn.NORM.INV(RAND(),AVERAGE(Assumptions!$D$12,Assumptions!$F$12),(Assumptions!$F$12-Assumptions!$D$12)/3.29)*44</f>
        <v>9538170.9877342395</v>
      </c>
      <c r="L310" s="3">
        <f ca="1">_xlfn.NORM.INV(RAND(),AVERAGE(Assumptions!$D$13,Assumptions!$F$13),(Assumptions!$F$13-Assumptions!$D$13)/3.29)*44</f>
        <v>12213572.61863446</v>
      </c>
      <c r="M310" s="6">
        <f ca="1">_xlfn.NORM.INV(RAND(),AVERAGE(Assumptions!$D$14,Assumptions!$F$14),(Assumptions!$F$14-Assumptions!$D$14)/3.29)*44</f>
        <v>4412127.2687637405</v>
      </c>
      <c r="N310" s="9">
        <f ca="1">_xlfn.NORM.INV(RAND(),AVERAGE(Assumptions!$D$16,Assumptions!$F$16),(Assumptions!$F$16-Assumptions!$D$16)/3.29)*44</f>
        <v>8918383.1190185398</v>
      </c>
      <c r="O310" s="12">
        <f ca="1">_xlfn.NORM.INV(RAND(),AVERAGE(Assumptions!$D$15,Assumptions!$F$15),(Assumptions!$F$15-Assumptions!$D$15)/3.29)*44</f>
        <v>75094812.70887877</v>
      </c>
      <c r="P310" s="15">
        <f>Assumptions!$D$18</f>
        <v>14641750.345627395</v>
      </c>
      <c r="Q310" s="3">
        <f t="shared" ca="1" si="8"/>
        <v>14193660.749903373</v>
      </c>
      <c r="R310" s="6">
        <f t="shared" ca="1" si="9"/>
        <v>28835411.095530771</v>
      </c>
    </row>
    <row r="311" spans="1:18">
      <c r="A311" s="20">
        <v>310</v>
      </c>
      <c r="B311" s="3">
        <f ca="1">_xlfn.NORM.INV(RAND(),AVERAGE(Assumptions!$D$4,Assumptions!$F$4),(Assumptions!$F$4-Assumptions!$D$4)/3.29)*44</f>
        <v>1336706.6695229465</v>
      </c>
      <c r="C311" s="6">
        <f ca="1">_xlfn.NORM.INV(RAND(),AVERAGE(Assumptions!$D$5,Assumptions!$F$5),(Assumptions!$F$5-Assumptions!$D$5)/3.29)*44</f>
        <v>1960198.9820256599</v>
      </c>
      <c r="D311" s="9">
        <f ca="1">_xlfn.NORM.INV(RAND(),AVERAGE(Assumptions!$D$6,Assumptions!$F$6),(Assumptions!$F$6-Assumptions!$D$6)/3.29)*RANDBETWEEN(2,5)</f>
        <v>3188079.0730805872</v>
      </c>
      <c r="E311" s="12">
        <f ca="1">_xlfn.NORM.INV(RAND(),AVERAGE(Assumptions!$D$17,Assumptions!$F$17),(Assumptions!$F$17-Assumptions!$D$17)/3.29)*8</f>
        <v>1010493.7879993954</v>
      </c>
      <c r="F311" s="15">
        <f ca="1">_xlfn.NORM.INV(RAND(),AVERAGE(Assumptions!$D$7,Assumptions!$F$7),(Assumptions!$F$7-Assumptions!$D$7)/3.29)*RANDBETWEEN(1,3)</f>
        <v>7523120.4350555185</v>
      </c>
      <c r="G311" s="3">
        <f ca="1">_xlfn.NORM.INV(RAND(),AVERAGE(Assumptions!$D$8,Assumptions!$F$8),(Assumptions!$F$8-Assumptions!$D$8)/3.29)*44</f>
        <v>1263768.7430650594</v>
      </c>
      <c r="H311" s="6">
        <f ca="1">_xlfn.NORM.INV(RAND(),AVERAGE(Assumptions!$D$9,Assumptions!$F$9),(Assumptions!$F$9-Assumptions!$D$9)/3.29)*21</f>
        <v>4415747.7819596995</v>
      </c>
      <c r="I311" s="9">
        <f ca="1">_xlfn.NORM.INV(RAND(),AVERAGE(Assumptions!$D$10,Assumptions!$F$10),(Assumptions!$F$10-Assumptions!$D$10)/3.29)*21</f>
        <v>1223642.1409793126</v>
      </c>
      <c r="J311" s="12">
        <f ca="1">NORMINV(RAND(),AVERAGE(Assumptions!$D$11,Assumptions!$F$11),(Assumptions!$F$11-Assumptions!$D$11)/3.29)*44</f>
        <v>3916707.5491104354</v>
      </c>
      <c r="K311" s="15">
        <f ca="1">_xlfn.NORM.INV(RAND(),AVERAGE(Assumptions!$D$12,Assumptions!$F$12),(Assumptions!$F$12-Assumptions!$D$12)/3.29)*44</f>
        <v>7258354.9297533846</v>
      </c>
      <c r="L311" s="3">
        <f ca="1">_xlfn.NORM.INV(RAND(),AVERAGE(Assumptions!$D$13,Assumptions!$F$13),(Assumptions!$F$13-Assumptions!$D$13)/3.29)*44</f>
        <v>6327714.7152168499</v>
      </c>
      <c r="M311" s="6">
        <f ca="1">_xlfn.NORM.INV(RAND(),AVERAGE(Assumptions!$D$14,Assumptions!$F$14),(Assumptions!$F$14-Assumptions!$D$14)/3.29)*44</f>
        <v>7844219.7602177868</v>
      </c>
      <c r="N311" s="9">
        <f ca="1">_xlfn.NORM.INV(RAND(),AVERAGE(Assumptions!$D$16,Assumptions!$F$16),(Assumptions!$F$16-Assumptions!$D$16)/3.29)*44</f>
        <v>13241215.492154682</v>
      </c>
      <c r="O311" s="12">
        <f ca="1">_xlfn.NORM.INV(RAND(),AVERAGE(Assumptions!$D$15,Assumptions!$F$15),(Assumptions!$F$15-Assumptions!$D$15)/3.29)*44</f>
        <v>101828559.7983598</v>
      </c>
      <c r="P311" s="15">
        <f>Assumptions!$D$18</f>
        <v>14641750.345627395</v>
      </c>
      <c r="Q311" s="3">
        <f t="shared" ca="1" si="8"/>
        <v>41318589.738218479</v>
      </c>
      <c r="R311" s="6">
        <f t="shared" ca="1" si="9"/>
        <v>55960340.083845876</v>
      </c>
    </row>
    <row r="312" spans="1:18">
      <c r="A312" s="20">
        <v>311</v>
      </c>
      <c r="B312" s="3">
        <f ca="1">_xlfn.NORM.INV(RAND(),AVERAGE(Assumptions!$D$4,Assumptions!$F$4),(Assumptions!$F$4-Assumptions!$D$4)/3.29)*44</f>
        <v>1158012.9751363853</v>
      </c>
      <c r="C312" s="6">
        <f ca="1">_xlfn.NORM.INV(RAND(),AVERAGE(Assumptions!$D$5,Assumptions!$F$5),(Assumptions!$F$5-Assumptions!$D$5)/3.29)*44</f>
        <v>1683858.9586874868</v>
      </c>
      <c r="D312" s="9">
        <f ca="1">_xlfn.NORM.INV(RAND(),AVERAGE(Assumptions!$D$6,Assumptions!$F$6),(Assumptions!$F$6-Assumptions!$D$6)/3.29)*RANDBETWEEN(2,5)</f>
        <v>3631977.6091554998</v>
      </c>
      <c r="E312" s="12">
        <f ca="1">_xlfn.NORM.INV(RAND(),AVERAGE(Assumptions!$D$17,Assumptions!$F$17),(Assumptions!$F$17-Assumptions!$D$17)/3.29)*8</f>
        <v>910034.04517248576</v>
      </c>
      <c r="F312" s="15">
        <f ca="1">_xlfn.NORM.INV(RAND(),AVERAGE(Assumptions!$D$7,Assumptions!$F$7),(Assumptions!$F$7-Assumptions!$D$7)/3.29)*RANDBETWEEN(1,3)</f>
        <v>3507057.2448707577</v>
      </c>
      <c r="G312" s="3">
        <f ca="1">_xlfn.NORM.INV(RAND(),AVERAGE(Assumptions!$D$8,Assumptions!$F$8),(Assumptions!$F$8-Assumptions!$D$8)/3.29)*44</f>
        <v>765622.15808747266</v>
      </c>
      <c r="H312" s="6">
        <f ca="1">_xlfn.NORM.INV(RAND(),AVERAGE(Assumptions!$D$9,Assumptions!$F$9),(Assumptions!$F$9-Assumptions!$D$9)/3.29)*21</f>
        <v>4898376.9020074466</v>
      </c>
      <c r="I312" s="9">
        <f ca="1">_xlfn.NORM.INV(RAND(),AVERAGE(Assumptions!$D$10,Assumptions!$F$10),(Assumptions!$F$10-Assumptions!$D$10)/3.29)*21</f>
        <v>1195691.0521420559</v>
      </c>
      <c r="J312" s="12">
        <f ca="1">NORMINV(RAND(),AVERAGE(Assumptions!$D$11,Assumptions!$F$11),(Assumptions!$F$11-Assumptions!$D$11)/3.29)*44</f>
        <v>2638253.0514030559</v>
      </c>
      <c r="K312" s="15">
        <f ca="1">_xlfn.NORM.INV(RAND(),AVERAGE(Assumptions!$D$12,Assumptions!$F$12),(Assumptions!$F$12-Assumptions!$D$12)/3.29)*44</f>
        <v>6751999.0958354408</v>
      </c>
      <c r="L312" s="3">
        <f ca="1">_xlfn.NORM.INV(RAND(),AVERAGE(Assumptions!$D$13,Assumptions!$F$13),(Assumptions!$F$13-Assumptions!$D$13)/3.29)*44</f>
        <v>8950888.9394256491</v>
      </c>
      <c r="M312" s="6">
        <f ca="1">_xlfn.NORM.INV(RAND(),AVERAGE(Assumptions!$D$14,Assumptions!$F$14),(Assumptions!$F$14-Assumptions!$D$14)/3.29)*44</f>
        <v>5879710.3749668319</v>
      </c>
      <c r="N312" s="9">
        <f ca="1">_xlfn.NORM.INV(RAND(),AVERAGE(Assumptions!$D$16,Assumptions!$F$16),(Assumptions!$F$16-Assumptions!$D$16)/3.29)*44</f>
        <v>14128346.168062963</v>
      </c>
      <c r="O312" s="12">
        <f ca="1">_xlfn.NORM.INV(RAND(),AVERAGE(Assumptions!$D$15,Assumptions!$F$15),(Assumptions!$F$15-Assumptions!$D$15)/3.29)*44</f>
        <v>191463905.88078555</v>
      </c>
      <c r="P312" s="15">
        <f>Assumptions!$D$18</f>
        <v>14641750.345627395</v>
      </c>
      <c r="Q312" s="3">
        <f t="shared" ca="1" si="8"/>
        <v>135364077.30583203</v>
      </c>
      <c r="R312" s="6">
        <f t="shared" ca="1" si="9"/>
        <v>150005827.65145943</v>
      </c>
    </row>
    <row r="313" spans="1:18">
      <c r="A313" s="20">
        <v>312</v>
      </c>
      <c r="B313" s="3">
        <f ca="1">_xlfn.NORM.INV(RAND(),AVERAGE(Assumptions!$D$4,Assumptions!$F$4),(Assumptions!$F$4-Assumptions!$D$4)/3.29)*44</f>
        <v>1246164.1249634607</v>
      </c>
      <c r="C313" s="6">
        <f ca="1">_xlfn.NORM.INV(RAND(),AVERAGE(Assumptions!$D$5,Assumptions!$F$5),(Assumptions!$F$5-Assumptions!$D$5)/3.29)*44</f>
        <v>1915941.6173349021</v>
      </c>
      <c r="D313" s="9">
        <f ca="1">_xlfn.NORM.INV(RAND(),AVERAGE(Assumptions!$D$6,Assumptions!$F$6),(Assumptions!$F$6-Assumptions!$D$6)/3.29)*RANDBETWEEN(2,5)</f>
        <v>3584670.8439896861</v>
      </c>
      <c r="E313" s="12">
        <f ca="1">_xlfn.NORM.INV(RAND(),AVERAGE(Assumptions!$D$17,Assumptions!$F$17),(Assumptions!$F$17-Assumptions!$D$17)/3.29)*8</f>
        <v>843921.2114321806</v>
      </c>
      <c r="F313" s="15">
        <f ca="1">_xlfn.NORM.INV(RAND(),AVERAGE(Assumptions!$D$7,Assumptions!$F$7),(Assumptions!$F$7-Assumptions!$D$7)/3.29)*RANDBETWEEN(1,3)</f>
        <v>7319534.4166536434</v>
      </c>
      <c r="G313" s="3">
        <f ca="1">_xlfn.NORM.INV(RAND(),AVERAGE(Assumptions!$D$8,Assumptions!$F$8),(Assumptions!$F$8-Assumptions!$D$8)/3.29)*44</f>
        <v>1378718.4461674441</v>
      </c>
      <c r="H313" s="6">
        <f ca="1">_xlfn.NORM.INV(RAND(),AVERAGE(Assumptions!$D$9,Assumptions!$F$9),(Assumptions!$F$9-Assumptions!$D$9)/3.29)*21</f>
        <v>5584642.9075502893</v>
      </c>
      <c r="I313" s="9">
        <f ca="1">_xlfn.NORM.INV(RAND(),AVERAGE(Assumptions!$D$10,Assumptions!$F$10),(Assumptions!$F$10-Assumptions!$D$10)/3.29)*21</f>
        <v>1470621.438337866</v>
      </c>
      <c r="J313" s="12">
        <f ca="1">NORMINV(RAND(),AVERAGE(Assumptions!$D$11,Assumptions!$F$11),(Assumptions!$F$11-Assumptions!$D$11)/3.29)*44</f>
        <v>5067906.4356847806</v>
      </c>
      <c r="K313" s="15">
        <f ca="1">_xlfn.NORM.INV(RAND(),AVERAGE(Assumptions!$D$12,Assumptions!$F$12),(Assumptions!$F$12-Assumptions!$D$12)/3.29)*44</f>
        <v>7970509.1483629644</v>
      </c>
      <c r="L313" s="3">
        <f ca="1">_xlfn.NORM.INV(RAND(),AVERAGE(Assumptions!$D$13,Assumptions!$F$13),(Assumptions!$F$13-Assumptions!$D$13)/3.29)*44</f>
        <v>18234941.791410729</v>
      </c>
      <c r="M313" s="6">
        <f ca="1">_xlfn.NORM.INV(RAND(),AVERAGE(Assumptions!$D$14,Assumptions!$F$14),(Assumptions!$F$14-Assumptions!$D$14)/3.29)*44</f>
        <v>5741822.4608222665</v>
      </c>
      <c r="N313" s="9">
        <f ca="1">_xlfn.NORM.INV(RAND(),AVERAGE(Assumptions!$D$16,Assumptions!$F$16),(Assumptions!$F$16-Assumptions!$D$16)/3.29)*44</f>
        <v>8428563.1132143363</v>
      </c>
      <c r="O313" s="12">
        <f ca="1">_xlfn.NORM.INV(RAND(),AVERAGE(Assumptions!$D$15,Assumptions!$F$15),(Assumptions!$F$15-Assumptions!$D$15)/3.29)*44</f>
        <v>91658672.170057803</v>
      </c>
      <c r="P313" s="15">
        <f>Assumptions!$D$18</f>
        <v>14641750.345627395</v>
      </c>
      <c r="Q313" s="3">
        <f t="shared" ca="1" si="8"/>
        <v>22870714.214133248</v>
      </c>
      <c r="R313" s="6">
        <f t="shared" ca="1" si="9"/>
        <v>37512464.559760645</v>
      </c>
    </row>
    <row r="314" spans="1:18">
      <c r="A314" s="20">
        <v>313</v>
      </c>
      <c r="B314" s="3">
        <f ca="1">_xlfn.NORM.INV(RAND(),AVERAGE(Assumptions!$D$4,Assumptions!$F$4),(Assumptions!$F$4-Assumptions!$D$4)/3.29)*44</f>
        <v>1239244.0630917242</v>
      </c>
      <c r="C314" s="6">
        <f ca="1">_xlfn.NORM.INV(RAND(),AVERAGE(Assumptions!$D$5,Assumptions!$F$5),(Assumptions!$F$5-Assumptions!$D$5)/3.29)*44</f>
        <v>1648567.8834607895</v>
      </c>
      <c r="D314" s="9">
        <f ca="1">_xlfn.NORM.INV(RAND(),AVERAGE(Assumptions!$D$6,Assumptions!$F$6),(Assumptions!$F$6-Assumptions!$D$6)/3.29)*RANDBETWEEN(2,5)</f>
        <v>2157313.5684319125</v>
      </c>
      <c r="E314" s="12">
        <f ca="1">_xlfn.NORM.INV(RAND(),AVERAGE(Assumptions!$D$17,Assumptions!$F$17),(Assumptions!$F$17-Assumptions!$D$17)/3.29)*8</f>
        <v>927333.79326030612</v>
      </c>
      <c r="F314" s="15">
        <f ca="1">_xlfn.NORM.INV(RAND(),AVERAGE(Assumptions!$D$7,Assumptions!$F$7),(Assumptions!$F$7-Assumptions!$D$7)/3.29)*RANDBETWEEN(1,3)</f>
        <v>5754702.9941980392</v>
      </c>
      <c r="G314" s="3">
        <f ca="1">_xlfn.NORM.INV(RAND(),AVERAGE(Assumptions!$D$8,Assumptions!$F$8),(Assumptions!$F$8-Assumptions!$D$8)/3.29)*44</f>
        <v>791392.57426993723</v>
      </c>
      <c r="H314" s="6">
        <f ca="1">_xlfn.NORM.INV(RAND(),AVERAGE(Assumptions!$D$9,Assumptions!$F$9),(Assumptions!$F$9-Assumptions!$D$9)/3.29)*21</f>
        <v>4314163.6880839914</v>
      </c>
      <c r="I314" s="9">
        <f ca="1">_xlfn.NORM.INV(RAND(),AVERAGE(Assumptions!$D$10,Assumptions!$F$10),(Assumptions!$F$10-Assumptions!$D$10)/3.29)*21</f>
        <v>883285.35506616044</v>
      </c>
      <c r="J314" s="12">
        <f ca="1">NORMINV(RAND(),AVERAGE(Assumptions!$D$11,Assumptions!$F$11),(Assumptions!$F$11-Assumptions!$D$11)/3.29)*44</f>
        <v>4019073.9479220975</v>
      </c>
      <c r="K314" s="15">
        <f ca="1">_xlfn.NORM.INV(RAND(),AVERAGE(Assumptions!$D$12,Assumptions!$F$12),(Assumptions!$F$12-Assumptions!$D$12)/3.29)*44</f>
        <v>11382588.551761614</v>
      </c>
      <c r="L314" s="3">
        <f ca="1">_xlfn.NORM.INV(RAND(),AVERAGE(Assumptions!$D$13,Assumptions!$F$13),(Assumptions!$F$13-Assumptions!$D$13)/3.29)*44</f>
        <v>17306212.14578402</v>
      </c>
      <c r="M314" s="6">
        <f ca="1">_xlfn.NORM.INV(RAND(),AVERAGE(Assumptions!$D$14,Assumptions!$F$14),(Assumptions!$F$14-Assumptions!$D$14)/3.29)*44</f>
        <v>6589273.2419035509</v>
      </c>
      <c r="N314" s="9">
        <f ca="1">_xlfn.NORM.INV(RAND(),AVERAGE(Assumptions!$D$16,Assumptions!$F$16),(Assumptions!$F$16-Assumptions!$D$16)/3.29)*44</f>
        <v>10443608.550105015</v>
      </c>
      <c r="O314" s="12">
        <f ca="1">_xlfn.NORM.INV(RAND(),AVERAGE(Assumptions!$D$15,Assumptions!$F$15),(Assumptions!$F$15-Assumptions!$D$15)/3.29)*44</f>
        <v>45983551.654379062</v>
      </c>
      <c r="P314" s="15">
        <f>Assumptions!$D$18</f>
        <v>14641750.345627395</v>
      </c>
      <c r="Q314" s="3">
        <f t="shared" ca="1" si="8"/>
        <v>-21473208.702960081</v>
      </c>
      <c r="R314" s="6">
        <f t="shared" ca="1" si="9"/>
        <v>-6831458.357332686</v>
      </c>
    </row>
    <row r="315" spans="1:18">
      <c r="A315" s="20">
        <v>314</v>
      </c>
      <c r="B315" s="3">
        <f ca="1">_xlfn.NORM.INV(RAND(),AVERAGE(Assumptions!$D$4,Assumptions!$F$4),(Assumptions!$F$4-Assumptions!$D$4)/3.29)*44</f>
        <v>1165346.8717465622</v>
      </c>
      <c r="C315" s="6">
        <f ca="1">_xlfn.NORM.INV(RAND(),AVERAGE(Assumptions!$D$5,Assumptions!$F$5),(Assumptions!$F$5-Assumptions!$D$5)/3.29)*44</f>
        <v>1859979.0269159474</v>
      </c>
      <c r="D315" s="9">
        <f ca="1">_xlfn.NORM.INV(RAND(),AVERAGE(Assumptions!$D$6,Assumptions!$F$6),(Assumptions!$F$6-Assumptions!$D$6)/3.29)*RANDBETWEEN(2,5)</f>
        <v>2468584.4211746845</v>
      </c>
      <c r="E315" s="12">
        <f ca="1">_xlfn.NORM.INV(RAND(),AVERAGE(Assumptions!$D$17,Assumptions!$F$17),(Assumptions!$F$17-Assumptions!$D$17)/3.29)*8</f>
        <v>1024683.3155148261</v>
      </c>
      <c r="F315" s="15">
        <f ca="1">_xlfn.NORM.INV(RAND(),AVERAGE(Assumptions!$D$7,Assumptions!$F$7),(Assumptions!$F$7-Assumptions!$D$7)/3.29)*RANDBETWEEN(1,3)</f>
        <v>3566955.9969586628</v>
      </c>
      <c r="G315" s="3">
        <f ca="1">_xlfn.NORM.INV(RAND(),AVERAGE(Assumptions!$D$8,Assumptions!$F$8),(Assumptions!$F$8-Assumptions!$D$8)/3.29)*44</f>
        <v>1103474.7786544689</v>
      </c>
      <c r="H315" s="6">
        <f ca="1">_xlfn.NORM.INV(RAND(),AVERAGE(Assumptions!$D$9,Assumptions!$F$9),(Assumptions!$F$9-Assumptions!$D$9)/3.29)*21</f>
        <v>4904771.1595414868</v>
      </c>
      <c r="I315" s="9">
        <f ca="1">_xlfn.NORM.INV(RAND(),AVERAGE(Assumptions!$D$10,Assumptions!$F$10),(Assumptions!$F$10-Assumptions!$D$10)/3.29)*21</f>
        <v>1058592.3513556705</v>
      </c>
      <c r="J315" s="12">
        <f ca="1">NORMINV(RAND(),AVERAGE(Assumptions!$D$11,Assumptions!$F$11),(Assumptions!$F$11-Assumptions!$D$11)/3.29)*44</f>
        <v>1023195.9338755461</v>
      </c>
      <c r="K315" s="15">
        <f ca="1">_xlfn.NORM.INV(RAND(),AVERAGE(Assumptions!$D$12,Assumptions!$F$12),(Assumptions!$F$12-Assumptions!$D$12)/3.29)*44</f>
        <v>8489329.2742091808</v>
      </c>
      <c r="L315" s="3">
        <f ca="1">_xlfn.NORM.INV(RAND(),AVERAGE(Assumptions!$D$13,Assumptions!$F$13),(Assumptions!$F$13-Assumptions!$D$13)/3.29)*44</f>
        <v>13375261.968555648</v>
      </c>
      <c r="M315" s="6">
        <f ca="1">_xlfn.NORM.INV(RAND(),AVERAGE(Assumptions!$D$14,Assumptions!$F$14),(Assumptions!$F$14-Assumptions!$D$14)/3.29)*44</f>
        <v>5719696.6959291762</v>
      </c>
      <c r="N315" s="9">
        <f ca="1">_xlfn.NORM.INV(RAND(),AVERAGE(Assumptions!$D$16,Assumptions!$F$16),(Assumptions!$F$16-Assumptions!$D$16)/3.29)*44</f>
        <v>9545814.8332691249</v>
      </c>
      <c r="O315" s="12">
        <f ca="1">_xlfn.NORM.INV(RAND(),AVERAGE(Assumptions!$D$15,Assumptions!$F$15),(Assumptions!$F$15-Assumptions!$D$15)/3.29)*44</f>
        <v>70953921.627481997</v>
      </c>
      <c r="P315" s="15">
        <f>Assumptions!$D$18</f>
        <v>14641750.345627395</v>
      </c>
      <c r="Q315" s="3">
        <f t="shared" ca="1" si="8"/>
        <v>15648234.999781005</v>
      </c>
      <c r="R315" s="6">
        <f t="shared" ca="1" si="9"/>
        <v>30289985.345408402</v>
      </c>
    </row>
    <row r="316" spans="1:18">
      <c r="A316" s="20">
        <v>315</v>
      </c>
      <c r="B316" s="3">
        <f ca="1">_xlfn.NORM.INV(RAND(),AVERAGE(Assumptions!$D$4,Assumptions!$F$4),(Assumptions!$F$4-Assumptions!$D$4)/3.29)*44</f>
        <v>1234778.8744326241</v>
      </c>
      <c r="C316" s="6">
        <f ca="1">_xlfn.NORM.INV(RAND(),AVERAGE(Assumptions!$D$5,Assumptions!$F$5),(Assumptions!$F$5-Assumptions!$D$5)/3.29)*44</f>
        <v>1822486.7207480408</v>
      </c>
      <c r="D316" s="9">
        <f ca="1">_xlfn.NORM.INV(RAND(),AVERAGE(Assumptions!$D$6,Assumptions!$F$6),(Assumptions!$F$6-Assumptions!$D$6)/3.29)*RANDBETWEEN(2,5)</f>
        <v>4832949.8342808671</v>
      </c>
      <c r="E316" s="12">
        <f ca="1">_xlfn.NORM.INV(RAND(),AVERAGE(Assumptions!$D$17,Assumptions!$F$17),(Assumptions!$F$17-Assumptions!$D$17)/3.29)*8</f>
        <v>974573.4130552616</v>
      </c>
      <c r="F316" s="15">
        <f ca="1">_xlfn.NORM.INV(RAND(),AVERAGE(Assumptions!$D$7,Assumptions!$F$7),(Assumptions!$F$7-Assumptions!$D$7)/3.29)*RANDBETWEEN(1,3)</f>
        <v>7126887.6255392404</v>
      </c>
      <c r="G316" s="3">
        <f ca="1">_xlfn.NORM.INV(RAND(),AVERAGE(Assumptions!$D$8,Assumptions!$F$8),(Assumptions!$F$8-Assumptions!$D$8)/3.29)*44</f>
        <v>1317091.9533589471</v>
      </c>
      <c r="H316" s="6">
        <f ca="1">_xlfn.NORM.INV(RAND(),AVERAGE(Assumptions!$D$9,Assumptions!$F$9),(Assumptions!$F$9-Assumptions!$D$9)/3.29)*21</f>
        <v>5173170.0455349358</v>
      </c>
      <c r="I316" s="9">
        <f ca="1">_xlfn.NORM.INV(RAND(),AVERAGE(Assumptions!$D$10,Assumptions!$F$10),(Assumptions!$F$10-Assumptions!$D$10)/3.29)*21</f>
        <v>862244.27647882525</v>
      </c>
      <c r="J316" s="12">
        <f ca="1">NORMINV(RAND(),AVERAGE(Assumptions!$D$11,Assumptions!$F$11),(Assumptions!$F$11-Assumptions!$D$11)/3.29)*44</f>
        <v>2184614.0866279975</v>
      </c>
      <c r="K316" s="15">
        <f ca="1">_xlfn.NORM.INV(RAND(),AVERAGE(Assumptions!$D$12,Assumptions!$F$12),(Assumptions!$F$12-Assumptions!$D$12)/3.29)*44</f>
        <v>9026176.4124222137</v>
      </c>
      <c r="L316" s="3">
        <f ca="1">_xlfn.NORM.INV(RAND(),AVERAGE(Assumptions!$D$13,Assumptions!$F$13),(Assumptions!$F$13-Assumptions!$D$13)/3.29)*44</f>
        <v>11835915.301859345</v>
      </c>
      <c r="M316" s="6">
        <f ca="1">_xlfn.NORM.INV(RAND(),AVERAGE(Assumptions!$D$14,Assumptions!$F$14),(Assumptions!$F$14-Assumptions!$D$14)/3.29)*44</f>
        <v>5014474.3303574417</v>
      </c>
      <c r="N316" s="9">
        <f ca="1">_xlfn.NORM.INV(RAND(),AVERAGE(Assumptions!$D$16,Assumptions!$F$16),(Assumptions!$F$16-Assumptions!$D$16)/3.29)*44</f>
        <v>9754400.4711991977</v>
      </c>
      <c r="O316" s="12">
        <f ca="1">_xlfn.NORM.INV(RAND(),AVERAGE(Assumptions!$D$15,Assumptions!$F$15),(Assumptions!$F$15-Assumptions!$D$15)/3.29)*44</f>
        <v>116914454.52114278</v>
      </c>
      <c r="P316" s="15">
        <f>Assumptions!$D$18</f>
        <v>14641750.345627395</v>
      </c>
      <c r="Q316" s="3">
        <f t="shared" ca="1" si="8"/>
        <v>55754691.175247833</v>
      </c>
      <c r="R316" s="6">
        <f t="shared" ca="1" si="9"/>
        <v>70396441.52087523</v>
      </c>
    </row>
    <row r="317" spans="1:18">
      <c r="A317" s="20">
        <v>316</v>
      </c>
      <c r="B317" s="3">
        <f ca="1">_xlfn.NORM.INV(RAND(),AVERAGE(Assumptions!$D$4,Assumptions!$F$4),(Assumptions!$F$4-Assumptions!$D$4)/3.29)*44</f>
        <v>1303714.0452437378</v>
      </c>
      <c r="C317" s="6">
        <f ca="1">_xlfn.NORM.INV(RAND(),AVERAGE(Assumptions!$D$5,Assumptions!$F$5),(Assumptions!$F$5-Assumptions!$D$5)/3.29)*44</f>
        <v>1790655.4882969819</v>
      </c>
      <c r="D317" s="9">
        <f ca="1">_xlfn.NORM.INV(RAND(),AVERAGE(Assumptions!$D$6,Assumptions!$F$6),(Assumptions!$F$6-Assumptions!$D$6)/3.29)*RANDBETWEEN(2,5)</f>
        <v>4023790.9091533679</v>
      </c>
      <c r="E317" s="12">
        <f ca="1">_xlfn.NORM.INV(RAND(),AVERAGE(Assumptions!$D$17,Assumptions!$F$17),(Assumptions!$F$17-Assumptions!$D$17)/3.29)*8</f>
        <v>1145314.993573454</v>
      </c>
      <c r="F317" s="15">
        <f ca="1">_xlfn.NORM.INV(RAND(),AVERAGE(Assumptions!$D$7,Assumptions!$F$7),(Assumptions!$F$7-Assumptions!$D$7)/3.29)*RANDBETWEEN(1,3)</f>
        <v>3582245.4331890047</v>
      </c>
      <c r="G317" s="3">
        <f ca="1">_xlfn.NORM.INV(RAND(),AVERAGE(Assumptions!$D$8,Assumptions!$F$8),(Assumptions!$F$8-Assumptions!$D$8)/3.29)*44</f>
        <v>877254.31569775089</v>
      </c>
      <c r="H317" s="6">
        <f ca="1">_xlfn.NORM.INV(RAND(),AVERAGE(Assumptions!$D$9,Assumptions!$F$9),(Assumptions!$F$9-Assumptions!$D$9)/3.29)*21</f>
        <v>3185876.0175164193</v>
      </c>
      <c r="I317" s="9">
        <f ca="1">_xlfn.NORM.INV(RAND(),AVERAGE(Assumptions!$D$10,Assumptions!$F$10),(Assumptions!$F$10-Assumptions!$D$10)/3.29)*21</f>
        <v>871918.48465389619</v>
      </c>
      <c r="J317" s="12">
        <f ca="1">NORMINV(RAND(),AVERAGE(Assumptions!$D$11,Assumptions!$F$11),(Assumptions!$F$11-Assumptions!$D$11)/3.29)*44</f>
        <v>4318773.6911558034</v>
      </c>
      <c r="K317" s="15">
        <f ca="1">_xlfn.NORM.INV(RAND(),AVERAGE(Assumptions!$D$12,Assumptions!$F$12),(Assumptions!$F$12-Assumptions!$D$12)/3.29)*44</f>
        <v>7747413.2279370343</v>
      </c>
      <c r="L317" s="3">
        <f ca="1">_xlfn.NORM.INV(RAND(),AVERAGE(Assumptions!$D$13,Assumptions!$F$13),(Assumptions!$F$13-Assumptions!$D$13)/3.29)*44</f>
        <v>14885563.960681517</v>
      </c>
      <c r="M317" s="6">
        <f ca="1">_xlfn.NORM.INV(RAND(),AVERAGE(Assumptions!$D$14,Assumptions!$F$14),(Assumptions!$F$14-Assumptions!$D$14)/3.29)*44</f>
        <v>6552123.0554639902</v>
      </c>
      <c r="N317" s="9">
        <f ca="1">_xlfn.NORM.INV(RAND(),AVERAGE(Assumptions!$D$16,Assumptions!$F$16),(Assumptions!$F$16-Assumptions!$D$16)/3.29)*44</f>
        <v>12781540.043528577</v>
      </c>
      <c r="O317" s="12">
        <f ca="1">_xlfn.NORM.INV(RAND(),AVERAGE(Assumptions!$D$15,Assumptions!$F$15),(Assumptions!$F$15-Assumptions!$D$15)/3.29)*44</f>
        <v>88154454.038124993</v>
      </c>
      <c r="P317" s="15">
        <f>Assumptions!$D$18</f>
        <v>14641750.345627395</v>
      </c>
      <c r="Q317" s="3">
        <f t="shared" ca="1" si="8"/>
        <v>25088270.372033454</v>
      </c>
      <c r="R317" s="6">
        <f t="shared" ca="1" si="9"/>
        <v>39730020.717660852</v>
      </c>
    </row>
    <row r="318" spans="1:18">
      <c r="A318" s="20">
        <v>317</v>
      </c>
      <c r="B318" s="3">
        <f ca="1">_xlfn.NORM.INV(RAND(),AVERAGE(Assumptions!$D$4,Assumptions!$F$4),(Assumptions!$F$4-Assumptions!$D$4)/3.29)*44</f>
        <v>1247508.8709039432</v>
      </c>
      <c r="C318" s="6">
        <f ca="1">_xlfn.NORM.INV(RAND(),AVERAGE(Assumptions!$D$5,Assumptions!$F$5),(Assumptions!$F$5-Assumptions!$D$5)/3.29)*44</f>
        <v>1890049.4280648262</v>
      </c>
      <c r="D318" s="9">
        <f ca="1">_xlfn.NORM.INV(RAND(),AVERAGE(Assumptions!$D$6,Assumptions!$F$6),(Assumptions!$F$6-Assumptions!$D$6)/3.29)*RANDBETWEEN(2,5)</f>
        <v>2900633.8381610401</v>
      </c>
      <c r="E318" s="12">
        <f ca="1">_xlfn.NORM.INV(RAND(),AVERAGE(Assumptions!$D$17,Assumptions!$F$17),(Assumptions!$F$17-Assumptions!$D$17)/3.29)*8</f>
        <v>924995.46859341604</v>
      </c>
      <c r="F318" s="15">
        <f ca="1">_xlfn.NORM.INV(RAND(),AVERAGE(Assumptions!$D$7,Assumptions!$F$7),(Assumptions!$F$7-Assumptions!$D$7)/3.29)*RANDBETWEEN(1,3)</f>
        <v>3244342.2279560054</v>
      </c>
      <c r="G318" s="3">
        <f ca="1">_xlfn.NORM.INV(RAND(),AVERAGE(Assumptions!$D$8,Assumptions!$F$8),(Assumptions!$F$8-Assumptions!$D$8)/3.29)*44</f>
        <v>809765.2068892821</v>
      </c>
      <c r="H318" s="6">
        <f ca="1">_xlfn.NORM.INV(RAND(),AVERAGE(Assumptions!$D$9,Assumptions!$F$9),(Assumptions!$F$9-Assumptions!$D$9)/3.29)*21</f>
        <v>3010450.5711454572</v>
      </c>
      <c r="I318" s="9">
        <f ca="1">_xlfn.NORM.INV(RAND(),AVERAGE(Assumptions!$D$10,Assumptions!$F$10),(Assumptions!$F$10-Assumptions!$D$10)/3.29)*21</f>
        <v>907298.7774224123</v>
      </c>
      <c r="J318" s="12">
        <f ca="1">NORMINV(RAND(),AVERAGE(Assumptions!$D$11,Assumptions!$F$11),(Assumptions!$F$11-Assumptions!$D$11)/3.29)*44</f>
        <v>4988718.200192539</v>
      </c>
      <c r="K318" s="15">
        <f ca="1">_xlfn.NORM.INV(RAND(),AVERAGE(Assumptions!$D$12,Assumptions!$F$12),(Assumptions!$F$12-Assumptions!$D$12)/3.29)*44</f>
        <v>8995073.9025279358</v>
      </c>
      <c r="L318" s="3">
        <f ca="1">_xlfn.NORM.INV(RAND(),AVERAGE(Assumptions!$D$13,Assumptions!$F$13),(Assumptions!$F$13-Assumptions!$D$13)/3.29)*44</f>
        <v>10291551.417594995</v>
      </c>
      <c r="M318" s="6">
        <f ca="1">_xlfn.NORM.INV(RAND(),AVERAGE(Assumptions!$D$14,Assumptions!$F$14),(Assumptions!$F$14-Assumptions!$D$14)/3.29)*44</f>
        <v>4554452.2189500201</v>
      </c>
      <c r="N318" s="9">
        <f ca="1">_xlfn.NORM.INV(RAND(),AVERAGE(Assumptions!$D$16,Assumptions!$F$16),(Assumptions!$F$16-Assumptions!$D$16)/3.29)*44</f>
        <v>9641504.3627547417</v>
      </c>
      <c r="O318" s="12">
        <f ca="1">_xlfn.NORM.INV(RAND(),AVERAGE(Assumptions!$D$15,Assumptions!$F$15),(Assumptions!$F$15-Assumptions!$D$15)/3.29)*44</f>
        <v>60768920.289203912</v>
      </c>
      <c r="P318" s="15">
        <f>Assumptions!$D$18</f>
        <v>14641750.345627395</v>
      </c>
      <c r="Q318" s="3">
        <f t="shared" ca="1" si="8"/>
        <v>7362575.7980472967</v>
      </c>
      <c r="R318" s="6">
        <f t="shared" ca="1" si="9"/>
        <v>22004326.143674694</v>
      </c>
    </row>
    <row r="319" spans="1:18">
      <c r="A319" s="20">
        <v>318</v>
      </c>
      <c r="B319" s="3">
        <f ca="1">_xlfn.NORM.INV(RAND(),AVERAGE(Assumptions!$D$4,Assumptions!$F$4),(Assumptions!$F$4-Assumptions!$D$4)/3.29)*44</f>
        <v>1230046.6833140205</v>
      </c>
      <c r="C319" s="6">
        <f ca="1">_xlfn.NORM.INV(RAND(),AVERAGE(Assumptions!$D$5,Assumptions!$F$5),(Assumptions!$F$5-Assumptions!$D$5)/3.29)*44</f>
        <v>1822335.1472990082</v>
      </c>
      <c r="D319" s="9">
        <f ca="1">_xlfn.NORM.INV(RAND(),AVERAGE(Assumptions!$D$6,Assumptions!$F$6),(Assumptions!$F$6-Assumptions!$D$6)/3.29)*RANDBETWEEN(2,5)</f>
        <v>6887448.6554163406</v>
      </c>
      <c r="E319" s="12">
        <f ca="1">_xlfn.NORM.INV(RAND(),AVERAGE(Assumptions!$D$17,Assumptions!$F$17),(Assumptions!$F$17-Assumptions!$D$17)/3.29)*8</f>
        <v>1077947.5836575106</v>
      </c>
      <c r="F319" s="15">
        <f ca="1">_xlfn.NORM.INV(RAND(),AVERAGE(Assumptions!$D$7,Assumptions!$F$7),(Assumptions!$F$7-Assumptions!$D$7)/3.29)*RANDBETWEEN(1,3)</f>
        <v>3018961.9021470067</v>
      </c>
      <c r="G319" s="3">
        <f ca="1">_xlfn.NORM.INV(RAND(),AVERAGE(Assumptions!$D$8,Assumptions!$F$8),(Assumptions!$F$8-Assumptions!$D$8)/3.29)*44</f>
        <v>958697.63660476217</v>
      </c>
      <c r="H319" s="6">
        <f ca="1">_xlfn.NORM.INV(RAND(),AVERAGE(Assumptions!$D$9,Assumptions!$F$9),(Assumptions!$F$9-Assumptions!$D$9)/3.29)*21</f>
        <v>4451125.7206071736</v>
      </c>
      <c r="I319" s="9">
        <f ca="1">_xlfn.NORM.INV(RAND(),AVERAGE(Assumptions!$D$10,Assumptions!$F$10),(Assumptions!$F$10-Assumptions!$D$10)/3.29)*21</f>
        <v>622791.45485878165</v>
      </c>
      <c r="J319" s="12">
        <f ca="1">NORMINV(RAND(),AVERAGE(Assumptions!$D$11,Assumptions!$F$11),(Assumptions!$F$11-Assumptions!$D$11)/3.29)*44</f>
        <v>3017339.503387454</v>
      </c>
      <c r="K319" s="15">
        <f ca="1">_xlfn.NORM.INV(RAND(),AVERAGE(Assumptions!$D$12,Assumptions!$F$12),(Assumptions!$F$12-Assumptions!$D$12)/3.29)*44</f>
        <v>7329262.6568633169</v>
      </c>
      <c r="L319" s="3">
        <f ca="1">_xlfn.NORM.INV(RAND(),AVERAGE(Assumptions!$D$13,Assumptions!$F$13),(Assumptions!$F$13-Assumptions!$D$13)/3.29)*44</f>
        <v>10341067.588660102</v>
      </c>
      <c r="M319" s="6">
        <f ca="1">_xlfn.NORM.INV(RAND(),AVERAGE(Assumptions!$D$14,Assumptions!$F$14),(Assumptions!$F$14-Assumptions!$D$14)/3.29)*44</f>
        <v>6075177.2546478985</v>
      </c>
      <c r="N319" s="9">
        <f ca="1">_xlfn.NORM.INV(RAND(),AVERAGE(Assumptions!$D$16,Assumptions!$F$16),(Assumptions!$F$16-Assumptions!$D$16)/3.29)*44</f>
        <v>12958009.179724179</v>
      </c>
      <c r="O319" s="12">
        <f ca="1">_xlfn.NORM.INV(RAND(),AVERAGE(Assumptions!$D$15,Assumptions!$F$15),(Assumptions!$F$15-Assumptions!$D$15)/3.29)*44</f>
        <v>144286898.40259829</v>
      </c>
      <c r="P319" s="15">
        <f>Assumptions!$D$18</f>
        <v>14641750.345627395</v>
      </c>
      <c r="Q319" s="3">
        <f t="shared" ca="1" si="8"/>
        <v>84496687.435410738</v>
      </c>
      <c r="R319" s="6">
        <f t="shared" ca="1" si="9"/>
        <v>99138437.781038135</v>
      </c>
    </row>
    <row r="320" spans="1:18">
      <c r="A320" s="20">
        <v>319</v>
      </c>
      <c r="B320" s="3">
        <f ca="1">_xlfn.NORM.INV(RAND(),AVERAGE(Assumptions!$D$4,Assumptions!$F$4),(Assumptions!$F$4-Assumptions!$D$4)/3.29)*44</f>
        <v>1095990.8804016791</v>
      </c>
      <c r="C320" s="6">
        <f ca="1">_xlfn.NORM.INV(RAND(),AVERAGE(Assumptions!$D$5,Assumptions!$F$5),(Assumptions!$F$5-Assumptions!$D$5)/3.29)*44</f>
        <v>1862473.5071525634</v>
      </c>
      <c r="D320" s="9">
        <f ca="1">_xlfn.NORM.INV(RAND(),AVERAGE(Assumptions!$D$6,Assumptions!$F$6),(Assumptions!$F$6-Assumptions!$D$6)/3.29)*RANDBETWEEN(2,5)</f>
        <v>927943.51746975211</v>
      </c>
      <c r="E320" s="12">
        <f ca="1">_xlfn.NORM.INV(RAND(),AVERAGE(Assumptions!$D$17,Assumptions!$F$17),(Assumptions!$F$17-Assumptions!$D$17)/3.29)*8</f>
        <v>1042745.1036718307</v>
      </c>
      <c r="F320" s="15">
        <f ca="1">_xlfn.NORM.INV(RAND(),AVERAGE(Assumptions!$D$7,Assumptions!$F$7),(Assumptions!$F$7-Assumptions!$D$7)/3.29)*RANDBETWEEN(1,3)</f>
        <v>3849051.5194278834</v>
      </c>
      <c r="G320" s="3">
        <f ca="1">_xlfn.NORM.INV(RAND(),AVERAGE(Assumptions!$D$8,Assumptions!$F$8),(Assumptions!$F$8-Assumptions!$D$8)/3.29)*44</f>
        <v>1340937.1508437039</v>
      </c>
      <c r="H320" s="6">
        <f ca="1">_xlfn.NORM.INV(RAND(),AVERAGE(Assumptions!$D$9,Assumptions!$F$9),(Assumptions!$F$9-Assumptions!$D$9)/3.29)*21</f>
        <v>5213663.448269899</v>
      </c>
      <c r="I320" s="9">
        <f ca="1">_xlfn.NORM.INV(RAND(),AVERAGE(Assumptions!$D$10,Assumptions!$F$10),(Assumptions!$F$10-Assumptions!$D$10)/3.29)*21</f>
        <v>1083028.8183993695</v>
      </c>
      <c r="J320" s="12">
        <f ca="1">NORMINV(RAND(),AVERAGE(Assumptions!$D$11,Assumptions!$F$11),(Assumptions!$F$11-Assumptions!$D$11)/3.29)*44</f>
        <v>3369894.128425716</v>
      </c>
      <c r="K320" s="15">
        <f ca="1">_xlfn.NORM.INV(RAND(),AVERAGE(Assumptions!$D$12,Assumptions!$F$12),(Assumptions!$F$12-Assumptions!$D$12)/3.29)*44</f>
        <v>8598630.8626797069</v>
      </c>
      <c r="L320" s="3">
        <f ca="1">_xlfn.NORM.INV(RAND(),AVERAGE(Assumptions!$D$13,Assumptions!$F$13),(Assumptions!$F$13-Assumptions!$D$13)/3.29)*44</f>
        <v>16428463.325640626</v>
      </c>
      <c r="M320" s="6">
        <f ca="1">_xlfn.NORM.INV(RAND(),AVERAGE(Assumptions!$D$14,Assumptions!$F$14),(Assumptions!$F$14-Assumptions!$D$14)/3.29)*44</f>
        <v>6969563.4695273703</v>
      </c>
      <c r="N320" s="9">
        <f ca="1">_xlfn.NORM.INV(RAND(),AVERAGE(Assumptions!$D$16,Assumptions!$F$16),(Assumptions!$F$16-Assumptions!$D$16)/3.29)*44</f>
        <v>3453577.5434425939</v>
      </c>
      <c r="O320" s="12">
        <f ca="1">_xlfn.NORM.INV(RAND(),AVERAGE(Assumptions!$D$15,Assumptions!$F$15),(Assumptions!$F$15-Assumptions!$D$15)/3.29)*44</f>
        <v>86246620.863334402</v>
      </c>
      <c r="P320" s="15">
        <f>Assumptions!$D$18</f>
        <v>14641750.345627395</v>
      </c>
      <c r="Q320" s="3">
        <f t="shared" ca="1" si="8"/>
        <v>31010657.587981701</v>
      </c>
      <c r="R320" s="6">
        <f t="shared" ca="1" si="9"/>
        <v>45652407.933609098</v>
      </c>
    </row>
    <row r="321" spans="1:18">
      <c r="A321" s="20">
        <v>320</v>
      </c>
      <c r="B321" s="3">
        <f ca="1">_xlfn.NORM.INV(RAND(),AVERAGE(Assumptions!$D$4,Assumptions!$F$4),(Assumptions!$F$4-Assumptions!$D$4)/3.29)*44</f>
        <v>1241474.6782432673</v>
      </c>
      <c r="C321" s="6">
        <f ca="1">_xlfn.NORM.INV(RAND(),AVERAGE(Assumptions!$D$5,Assumptions!$F$5),(Assumptions!$F$5-Assumptions!$D$5)/3.29)*44</f>
        <v>1836779.7653273095</v>
      </c>
      <c r="D321" s="9">
        <f ca="1">_xlfn.NORM.INV(RAND(),AVERAGE(Assumptions!$D$6,Assumptions!$F$6),(Assumptions!$F$6-Assumptions!$D$6)/3.29)*RANDBETWEEN(2,5)</f>
        <v>2517556.1990079051</v>
      </c>
      <c r="E321" s="12">
        <f ca="1">_xlfn.NORM.INV(RAND(),AVERAGE(Assumptions!$D$17,Assumptions!$F$17),(Assumptions!$F$17-Assumptions!$D$17)/3.29)*8</f>
        <v>903393.09455213277</v>
      </c>
      <c r="F321" s="15">
        <f ca="1">_xlfn.NORM.INV(RAND(),AVERAGE(Assumptions!$D$7,Assumptions!$F$7),(Assumptions!$F$7-Assumptions!$D$7)/3.29)*RANDBETWEEN(1,3)</f>
        <v>2706741.2493691519</v>
      </c>
      <c r="G321" s="3">
        <f ca="1">_xlfn.NORM.INV(RAND(),AVERAGE(Assumptions!$D$8,Assumptions!$F$8),(Assumptions!$F$8-Assumptions!$D$8)/3.29)*44</f>
        <v>1150642.6357273425</v>
      </c>
      <c r="H321" s="6">
        <f ca="1">_xlfn.NORM.INV(RAND(),AVERAGE(Assumptions!$D$9,Assumptions!$F$9),(Assumptions!$F$9-Assumptions!$D$9)/3.29)*21</f>
        <v>5542519.6501629632</v>
      </c>
      <c r="I321" s="9">
        <f ca="1">_xlfn.NORM.INV(RAND(),AVERAGE(Assumptions!$D$10,Assumptions!$F$10),(Assumptions!$F$10-Assumptions!$D$10)/3.29)*21</f>
        <v>1054930.8581725592</v>
      </c>
      <c r="J321" s="12">
        <f ca="1">NORMINV(RAND(),AVERAGE(Assumptions!$D$11,Assumptions!$F$11),(Assumptions!$F$11-Assumptions!$D$11)/3.29)*44</f>
        <v>3455134.7805905007</v>
      </c>
      <c r="K321" s="15">
        <f ca="1">_xlfn.NORM.INV(RAND(),AVERAGE(Assumptions!$D$12,Assumptions!$F$12),(Assumptions!$F$12-Assumptions!$D$12)/3.29)*44</f>
        <v>11089209.211124208</v>
      </c>
      <c r="L321" s="3">
        <f ca="1">_xlfn.NORM.INV(RAND(),AVERAGE(Assumptions!$D$13,Assumptions!$F$13),(Assumptions!$F$13-Assumptions!$D$13)/3.29)*44</f>
        <v>15891215.499660971</v>
      </c>
      <c r="M321" s="6">
        <f ca="1">_xlfn.NORM.INV(RAND(),AVERAGE(Assumptions!$D$14,Assumptions!$F$14),(Assumptions!$F$14-Assumptions!$D$14)/3.29)*44</f>
        <v>6747606.8669840218</v>
      </c>
      <c r="N321" s="9">
        <f ca="1">_xlfn.NORM.INV(RAND(),AVERAGE(Assumptions!$D$16,Assumptions!$F$16),(Assumptions!$F$16-Assumptions!$D$16)/3.29)*44</f>
        <v>13331943.668132951</v>
      </c>
      <c r="O321" s="12">
        <f ca="1">_xlfn.NORM.INV(RAND(),AVERAGE(Assumptions!$D$15,Assumptions!$F$15),(Assumptions!$F$15-Assumptions!$D$15)/3.29)*44</f>
        <v>204788316.2824887</v>
      </c>
      <c r="P321" s="15">
        <f>Assumptions!$D$18</f>
        <v>14641750.345627395</v>
      </c>
      <c r="Q321" s="3">
        <f t="shared" ca="1" si="8"/>
        <v>137319168.12543342</v>
      </c>
      <c r="R321" s="6">
        <f t="shared" ca="1" si="9"/>
        <v>151960918.47106081</v>
      </c>
    </row>
    <row r="322" spans="1:18">
      <c r="A322" s="20">
        <v>321</v>
      </c>
      <c r="B322" s="3">
        <f ca="1">_xlfn.NORM.INV(RAND(),AVERAGE(Assumptions!$D$4,Assumptions!$F$4),(Assumptions!$F$4-Assumptions!$D$4)/3.29)*44</f>
        <v>1195640.0568761632</v>
      </c>
      <c r="C322" s="6">
        <f ca="1">_xlfn.NORM.INV(RAND(),AVERAGE(Assumptions!$D$5,Assumptions!$F$5),(Assumptions!$F$5-Assumptions!$D$5)/3.29)*44</f>
        <v>1624475.7667758674</v>
      </c>
      <c r="D322" s="9">
        <f ca="1">_xlfn.NORM.INV(RAND(),AVERAGE(Assumptions!$D$6,Assumptions!$F$6),(Assumptions!$F$6-Assumptions!$D$6)/3.29)*RANDBETWEEN(2,5)</f>
        <v>47957.765992750414</v>
      </c>
      <c r="E322" s="12">
        <f ca="1">_xlfn.NORM.INV(RAND(),AVERAGE(Assumptions!$D$17,Assumptions!$F$17),(Assumptions!$F$17-Assumptions!$D$17)/3.29)*8</f>
        <v>858551.75791127654</v>
      </c>
      <c r="F322" s="15">
        <f ca="1">_xlfn.NORM.INV(RAND(),AVERAGE(Assumptions!$D$7,Assumptions!$F$7),(Assumptions!$F$7-Assumptions!$D$7)/3.29)*RANDBETWEEN(1,3)</f>
        <v>6568285.5435670447</v>
      </c>
      <c r="G322" s="3">
        <f ca="1">_xlfn.NORM.INV(RAND(),AVERAGE(Assumptions!$D$8,Assumptions!$F$8),(Assumptions!$F$8-Assumptions!$D$8)/3.29)*44</f>
        <v>1080513.6779573348</v>
      </c>
      <c r="H322" s="6">
        <f ca="1">_xlfn.NORM.INV(RAND(),AVERAGE(Assumptions!$D$9,Assumptions!$F$9),(Assumptions!$F$9-Assumptions!$D$9)/3.29)*21</f>
        <v>2605985.061100299</v>
      </c>
      <c r="I322" s="9">
        <f ca="1">_xlfn.NORM.INV(RAND(),AVERAGE(Assumptions!$D$10,Assumptions!$F$10),(Assumptions!$F$10-Assumptions!$D$10)/3.29)*21</f>
        <v>971123.11930718471</v>
      </c>
      <c r="J322" s="12">
        <f ca="1">NORMINV(RAND(),AVERAGE(Assumptions!$D$11,Assumptions!$F$11),(Assumptions!$F$11-Assumptions!$D$11)/3.29)*44</f>
        <v>1453630.4679455855</v>
      </c>
      <c r="K322" s="15">
        <f ca="1">_xlfn.NORM.INV(RAND(),AVERAGE(Assumptions!$D$12,Assumptions!$F$12),(Assumptions!$F$12-Assumptions!$D$12)/3.29)*44</f>
        <v>7307750.6239502328</v>
      </c>
      <c r="L322" s="3">
        <f ca="1">_xlfn.NORM.INV(RAND(),AVERAGE(Assumptions!$D$13,Assumptions!$F$13),(Assumptions!$F$13-Assumptions!$D$13)/3.29)*44</f>
        <v>8408683.468428826</v>
      </c>
      <c r="M322" s="6">
        <f ca="1">_xlfn.NORM.INV(RAND(),AVERAGE(Assumptions!$D$14,Assumptions!$F$14),(Assumptions!$F$14-Assumptions!$D$14)/3.29)*44</f>
        <v>5384261.6784665398</v>
      </c>
      <c r="N322" s="9">
        <f ca="1">_xlfn.NORM.INV(RAND(),AVERAGE(Assumptions!$D$16,Assumptions!$F$16),(Assumptions!$F$16-Assumptions!$D$16)/3.29)*44</f>
        <v>10244238.089640701</v>
      </c>
      <c r="O322" s="12">
        <f ca="1">_xlfn.NORM.INV(RAND(),AVERAGE(Assumptions!$D$15,Assumptions!$F$15),(Assumptions!$F$15-Assumptions!$D$15)/3.29)*44</f>
        <v>101636963.16742305</v>
      </c>
      <c r="P322" s="15">
        <f>Assumptions!$D$18</f>
        <v>14641750.345627395</v>
      </c>
      <c r="Q322" s="3">
        <f t="shared" ca="1" si="8"/>
        <v>53885866.089503251</v>
      </c>
      <c r="R322" s="6">
        <f t="shared" ca="1" si="9"/>
        <v>68527616.435130641</v>
      </c>
    </row>
    <row r="323" spans="1:18">
      <c r="A323" s="20">
        <v>322</v>
      </c>
      <c r="B323" s="3">
        <f ca="1">_xlfn.NORM.INV(RAND(),AVERAGE(Assumptions!$D$4,Assumptions!$F$4),(Assumptions!$F$4-Assumptions!$D$4)/3.29)*44</f>
        <v>1248264.9015715392</v>
      </c>
      <c r="C323" s="6">
        <f ca="1">_xlfn.NORM.INV(RAND(),AVERAGE(Assumptions!$D$5,Assumptions!$F$5),(Assumptions!$F$5-Assumptions!$D$5)/3.29)*44</f>
        <v>1761697.0593743962</v>
      </c>
      <c r="D323" s="9">
        <f ca="1">_xlfn.NORM.INV(RAND(),AVERAGE(Assumptions!$D$6,Assumptions!$F$6),(Assumptions!$F$6-Assumptions!$D$6)/3.29)*RANDBETWEEN(2,5)</f>
        <v>9539406.9190470353</v>
      </c>
      <c r="E323" s="12">
        <f ca="1">_xlfn.NORM.INV(RAND(),AVERAGE(Assumptions!$D$17,Assumptions!$F$17),(Assumptions!$F$17-Assumptions!$D$17)/3.29)*8</f>
        <v>935619.46107487264</v>
      </c>
      <c r="F323" s="15">
        <f ca="1">_xlfn.NORM.INV(RAND(),AVERAGE(Assumptions!$D$7,Assumptions!$F$7),(Assumptions!$F$7-Assumptions!$D$7)/3.29)*RANDBETWEEN(1,3)</f>
        <v>7558501.129085945</v>
      </c>
      <c r="G323" s="3">
        <f ca="1">_xlfn.NORM.INV(RAND(),AVERAGE(Assumptions!$D$8,Assumptions!$F$8),(Assumptions!$F$8-Assumptions!$D$8)/3.29)*44</f>
        <v>1819437.3707089485</v>
      </c>
      <c r="H323" s="6">
        <f ca="1">_xlfn.NORM.INV(RAND(),AVERAGE(Assumptions!$D$9,Assumptions!$F$9),(Assumptions!$F$9-Assumptions!$D$9)/3.29)*21</f>
        <v>4247844.9407987371</v>
      </c>
      <c r="I323" s="9">
        <f ca="1">_xlfn.NORM.INV(RAND(),AVERAGE(Assumptions!$D$10,Assumptions!$F$10),(Assumptions!$F$10-Assumptions!$D$10)/3.29)*21</f>
        <v>1074598.2077129283</v>
      </c>
      <c r="J323" s="12">
        <f ca="1">NORMINV(RAND(),AVERAGE(Assumptions!$D$11,Assumptions!$F$11),(Assumptions!$F$11-Assumptions!$D$11)/3.29)*44</f>
        <v>4357063.084667719</v>
      </c>
      <c r="K323" s="15">
        <f ca="1">_xlfn.NORM.INV(RAND(),AVERAGE(Assumptions!$D$12,Assumptions!$F$12),(Assumptions!$F$12-Assumptions!$D$12)/3.29)*44</f>
        <v>8583906.6073191408</v>
      </c>
      <c r="L323" s="3">
        <f ca="1">_xlfn.NORM.INV(RAND(),AVERAGE(Assumptions!$D$13,Assumptions!$F$13),(Assumptions!$F$13-Assumptions!$D$13)/3.29)*44</f>
        <v>5576713.674975466</v>
      </c>
      <c r="M323" s="6">
        <f ca="1">_xlfn.NORM.INV(RAND(),AVERAGE(Assumptions!$D$14,Assumptions!$F$14),(Assumptions!$F$14-Assumptions!$D$14)/3.29)*44</f>
        <v>6761767.0768617447</v>
      </c>
      <c r="N323" s="9">
        <f ca="1">_xlfn.NORM.INV(RAND(),AVERAGE(Assumptions!$D$16,Assumptions!$F$16),(Assumptions!$F$16-Assumptions!$D$16)/3.29)*44</f>
        <v>16810208.756812159</v>
      </c>
      <c r="O323" s="12">
        <f ca="1">_xlfn.NORM.INV(RAND(),AVERAGE(Assumptions!$D$15,Assumptions!$F$15),(Assumptions!$F$15-Assumptions!$D$15)/3.29)*44</f>
        <v>25761633.162349857</v>
      </c>
      <c r="P323" s="15">
        <f>Assumptions!$D$18</f>
        <v>14641750.345627395</v>
      </c>
      <c r="Q323" s="3">
        <f t="shared" ref="Q323:Q386" ca="1" si="10">O323-(B323+C323+D323+F323+G323+H323+I323+J323+K323+L323+M323+N323+E323)</f>
        <v>-44513396.02766078</v>
      </c>
      <c r="R323" s="6">
        <f t="shared" ref="R323:R386" ca="1" si="11">Q323+P323</f>
        <v>-29871645.682033382</v>
      </c>
    </row>
    <row r="324" spans="1:18">
      <c r="A324" s="20">
        <v>323</v>
      </c>
      <c r="B324" s="3">
        <f ca="1">_xlfn.NORM.INV(RAND(),AVERAGE(Assumptions!$D$4,Assumptions!$F$4),(Assumptions!$F$4-Assumptions!$D$4)/3.29)*44</f>
        <v>1076587.4497020582</v>
      </c>
      <c r="C324" s="6">
        <f ca="1">_xlfn.NORM.INV(RAND(),AVERAGE(Assumptions!$D$5,Assumptions!$F$5),(Assumptions!$F$5-Assumptions!$D$5)/3.29)*44</f>
        <v>1977227.0402685273</v>
      </c>
      <c r="D324" s="9">
        <f ca="1">_xlfn.NORM.INV(RAND(),AVERAGE(Assumptions!$D$6,Assumptions!$F$6),(Assumptions!$F$6-Assumptions!$D$6)/3.29)*RANDBETWEEN(2,5)</f>
        <v>3980247.5673734918</v>
      </c>
      <c r="E324" s="12">
        <f ca="1">_xlfn.NORM.INV(RAND(),AVERAGE(Assumptions!$D$17,Assumptions!$F$17),(Assumptions!$F$17-Assumptions!$D$17)/3.29)*8</f>
        <v>878715.44978558121</v>
      </c>
      <c r="F324" s="15">
        <f ca="1">_xlfn.NORM.INV(RAND(),AVERAGE(Assumptions!$D$7,Assumptions!$F$7),(Assumptions!$F$7-Assumptions!$D$7)/3.29)*RANDBETWEEN(1,3)</f>
        <v>8732429.3520900887</v>
      </c>
      <c r="G324" s="3">
        <f ca="1">_xlfn.NORM.INV(RAND(),AVERAGE(Assumptions!$D$8,Assumptions!$F$8),(Assumptions!$F$8-Assumptions!$D$8)/3.29)*44</f>
        <v>1724073.0518992667</v>
      </c>
      <c r="H324" s="6">
        <f ca="1">_xlfn.NORM.INV(RAND(),AVERAGE(Assumptions!$D$9,Assumptions!$F$9),(Assumptions!$F$9-Assumptions!$D$9)/3.29)*21</f>
        <v>4100675.2608810593</v>
      </c>
      <c r="I324" s="9">
        <f ca="1">_xlfn.NORM.INV(RAND(),AVERAGE(Assumptions!$D$10,Assumptions!$F$10),(Assumptions!$F$10-Assumptions!$D$10)/3.29)*21</f>
        <v>1150504.5594135348</v>
      </c>
      <c r="J324" s="12">
        <f ca="1">NORMINV(RAND(),AVERAGE(Assumptions!$D$11,Assumptions!$F$11),(Assumptions!$F$11-Assumptions!$D$11)/3.29)*44</f>
        <v>4046910.1830274365</v>
      </c>
      <c r="K324" s="15">
        <f ca="1">_xlfn.NORM.INV(RAND(),AVERAGE(Assumptions!$D$12,Assumptions!$F$12),(Assumptions!$F$12-Assumptions!$D$12)/3.29)*44</f>
        <v>8899840.427455049</v>
      </c>
      <c r="L324" s="3">
        <f ca="1">_xlfn.NORM.INV(RAND(),AVERAGE(Assumptions!$D$13,Assumptions!$F$13),(Assumptions!$F$13-Assumptions!$D$13)/3.29)*44</f>
        <v>15020852.021356747</v>
      </c>
      <c r="M324" s="6">
        <f ca="1">_xlfn.NORM.INV(RAND(),AVERAGE(Assumptions!$D$14,Assumptions!$F$14),(Assumptions!$F$14-Assumptions!$D$14)/3.29)*44</f>
        <v>6812575.9667159123</v>
      </c>
      <c r="N324" s="9">
        <f ca="1">_xlfn.NORM.INV(RAND(),AVERAGE(Assumptions!$D$16,Assumptions!$F$16),(Assumptions!$F$16-Assumptions!$D$16)/3.29)*44</f>
        <v>14259244.563052148</v>
      </c>
      <c r="O324" s="12">
        <f ca="1">_xlfn.NORM.INV(RAND(),AVERAGE(Assumptions!$D$15,Assumptions!$F$15),(Assumptions!$F$15-Assumptions!$D$15)/3.29)*44</f>
        <v>14543668.924004601</v>
      </c>
      <c r="P324" s="15">
        <f>Assumptions!$D$18</f>
        <v>14641750.345627395</v>
      </c>
      <c r="Q324" s="3">
        <f t="shared" ca="1" si="10"/>
        <v>-58116213.969016284</v>
      </c>
      <c r="R324" s="6">
        <f t="shared" ca="1" si="11"/>
        <v>-43474463.623388886</v>
      </c>
    </row>
    <row r="325" spans="1:18">
      <c r="A325" s="20">
        <v>324</v>
      </c>
      <c r="B325" s="3">
        <f ca="1">_xlfn.NORM.INV(RAND(),AVERAGE(Assumptions!$D$4,Assumptions!$F$4),(Assumptions!$F$4-Assumptions!$D$4)/3.29)*44</f>
        <v>1324426.3633891286</v>
      </c>
      <c r="C325" s="6">
        <f ca="1">_xlfn.NORM.INV(RAND(),AVERAGE(Assumptions!$D$5,Assumptions!$F$5),(Assumptions!$F$5-Assumptions!$D$5)/3.29)*44</f>
        <v>1939007.0793878397</v>
      </c>
      <c r="D325" s="9">
        <f ca="1">_xlfn.NORM.INV(RAND(),AVERAGE(Assumptions!$D$6,Assumptions!$F$6),(Assumptions!$F$6-Assumptions!$D$6)/3.29)*RANDBETWEEN(2,5)</f>
        <v>2714916.3099038498</v>
      </c>
      <c r="E325" s="12">
        <f ca="1">_xlfn.NORM.INV(RAND(),AVERAGE(Assumptions!$D$17,Assumptions!$F$17),(Assumptions!$F$17-Assumptions!$D$17)/3.29)*8</f>
        <v>1205676.2317120875</v>
      </c>
      <c r="F325" s="15">
        <f ca="1">_xlfn.NORM.INV(RAND(),AVERAGE(Assumptions!$D$7,Assumptions!$F$7),(Assumptions!$F$7-Assumptions!$D$7)/3.29)*RANDBETWEEN(1,3)</f>
        <v>5564469.212625497</v>
      </c>
      <c r="G325" s="3">
        <f ca="1">_xlfn.NORM.INV(RAND(),AVERAGE(Assumptions!$D$8,Assumptions!$F$8),(Assumptions!$F$8-Assumptions!$D$8)/3.29)*44</f>
        <v>1348427.0097293169</v>
      </c>
      <c r="H325" s="6">
        <f ca="1">_xlfn.NORM.INV(RAND(),AVERAGE(Assumptions!$D$9,Assumptions!$F$9),(Assumptions!$F$9-Assumptions!$D$9)/3.29)*21</f>
        <v>4602235.628331908</v>
      </c>
      <c r="I325" s="9">
        <f ca="1">_xlfn.NORM.INV(RAND(),AVERAGE(Assumptions!$D$10,Assumptions!$F$10),(Assumptions!$F$10-Assumptions!$D$10)/3.29)*21</f>
        <v>917714.33208121767</v>
      </c>
      <c r="J325" s="12">
        <f ca="1">NORMINV(RAND(),AVERAGE(Assumptions!$D$11,Assumptions!$F$11),(Assumptions!$F$11-Assumptions!$D$11)/3.29)*44</f>
        <v>2856175.8233190067</v>
      </c>
      <c r="K325" s="15">
        <f ca="1">_xlfn.NORM.INV(RAND(),AVERAGE(Assumptions!$D$12,Assumptions!$F$12),(Assumptions!$F$12-Assumptions!$D$12)/3.29)*44</f>
        <v>10086444.533436397</v>
      </c>
      <c r="L325" s="3">
        <f ca="1">_xlfn.NORM.INV(RAND(),AVERAGE(Assumptions!$D$13,Assumptions!$F$13),(Assumptions!$F$13-Assumptions!$D$13)/3.29)*44</f>
        <v>16190727.622618591</v>
      </c>
      <c r="M325" s="6">
        <f ca="1">_xlfn.NORM.INV(RAND(),AVERAGE(Assumptions!$D$14,Assumptions!$F$14),(Assumptions!$F$14-Assumptions!$D$14)/3.29)*44</f>
        <v>4913243.8413562868</v>
      </c>
      <c r="N325" s="9">
        <f ca="1">_xlfn.NORM.INV(RAND(),AVERAGE(Assumptions!$D$16,Assumptions!$F$16),(Assumptions!$F$16-Assumptions!$D$16)/3.29)*44</f>
        <v>7265316.1589331171</v>
      </c>
      <c r="O325" s="12">
        <f ca="1">_xlfn.NORM.INV(RAND(),AVERAGE(Assumptions!$D$15,Assumptions!$F$15),(Assumptions!$F$15-Assumptions!$D$15)/3.29)*44</f>
        <v>67112813.116863325</v>
      </c>
      <c r="P325" s="15">
        <f>Assumptions!$D$18</f>
        <v>14641750.345627395</v>
      </c>
      <c r="Q325" s="3">
        <f t="shared" ca="1" si="10"/>
        <v>6184032.9700390771</v>
      </c>
      <c r="R325" s="6">
        <f t="shared" ca="1" si="11"/>
        <v>20825783.315666474</v>
      </c>
    </row>
    <row r="326" spans="1:18">
      <c r="A326" s="20">
        <v>325</v>
      </c>
      <c r="B326" s="3">
        <f ca="1">_xlfn.NORM.INV(RAND(),AVERAGE(Assumptions!$D$4,Assumptions!$F$4),(Assumptions!$F$4-Assumptions!$D$4)/3.29)*44</f>
        <v>1212853.6626787134</v>
      </c>
      <c r="C326" s="6">
        <f ca="1">_xlfn.NORM.INV(RAND(),AVERAGE(Assumptions!$D$5,Assumptions!$F$5),(Assumptions!$F$5-Assumptions!$D$5)/3.29)*44</f>
        <v>1825948.0419100712</v>
      </c>
      <c r="D326" s="9">
        <f ca="1">_xlfn.NORM.INV(RAND(),AVERAGE(Assumptions!$D$6,Assumptions!$F$6),(Assumptions!$F$6-Assumptions!$D$6)/3.29)*RANDBETWEEN(2,5)</f>
        <v>2804113.7876934689</v>
      </c>
      <c r="E326" s="12">
        <f ca="1">_xlfn.NORM.INV(RAND(),AVERAGE(Assumptions!$D$17,Assumptions!$F$17),(Assumptions!$F$17-Assumptions!$D$17)/3.29)*8</f>
        <v>942601.67824198434</v>
      </c>
      <c r="F326" s="15">
        <f ca="1">_xlfn.NORM.INV(RAND(),AVERAGE(Assumptions!$D$7,Assumptions!$F$7),(Assumptions!$F$7-Assumptions!$D$7)/3.29)*RANDBETWEEN(1,3)</f>
        <v>7111682.8838993143</v>
      </c>
      <c r="G326" s="3">
        <f ca="1">_xlfn.NORM.INV(RAND(),AVERAGE(Assumptions!$D$8,Assumptions!$F$8),(Assumptions!$F$8-Assumptions!$D$8)/3.29)*44</f>
        <v>1141264.5612310744</v>
      </c>
      <c r="H326" s="6">
        <f ca="1">_xlfn.NORM.INV(RAND(),AVERAGE(Assumptions!$D$9,Assumptions!$F$9),(Assumptions!$F$9-Assumptions!$D$9)/3.29)*21</f>
        <v>4425905.6563402945</v>
      </c>
      <c r="I326" s="9">
        <f ca="1">_xlfn.NORM.INV(RAND(),AVERAGE(Assumptions!$D$10,Assumptions!$F$10),(Assumptions!$F$10-Assumptions!$D$10)/3.29)*21</f>
        <v>884470.43550849229</v>
      </c>
      <c r="J326" s="12">
        <f ca="1">NORMINV(RAND(),AVERAGE(Assumptions!$D$11,Assumptions!$F$11),(Assumptions!$F$11-Assumptions!$D$11)/3.29)*44</f>
        <v>3963639.8120724717</v>
      </c>
      <c r="K326" s="15">
        <f ca="1">_xlfn.NORM.INV(RAND(),AVERAGE(Assumptions!$D$12,Assumptions!$F$12),(Assumptions!$F$12-Assumptions!$D$12)/3.29)*44</f>
        <v>5785893.7365028346</v>
      </c>
      <c r="L326" s="3">
        <f ca="1">_xlfn.NORM.INV(RAND(),AVERAGE(Assumptions!$D$13,Assumptions!$F$13),(Assumptions!$F$13-Assumptions!$D$13)/3.29)*44</f>
        <v>11426063.181623444</v>
      </c>
      <c r="M326" s="6">
        <f ca="1">_xlfn.NORM.INV(RAND(),AVERAGE(Assumptions!$D$14,Assumptions!$F$14),(Assumptions!$F$14-Assumptions!$D$14)/3.29)*44</f>
        <v>8038460.7569987755</v>
      </c>
      <c r="N326" s="9">
        <f ca="1">_xlfn.NORM.INV(RAND(),AVERAGE(Assumptions!$D$16,Assumptions!$F$16),(Assumptions!$F$16-Assumptions!$D$16)/3.29)*44</f>
        <v>11398447.657413431</v>
      </c>
      <c r="O326" s="12">
        <f ca="1">_xlfn.NORM.INV(RAND(),AVERAGE(Assumptions!$D$15,Assumptions!$F$15),(Assumptions!$F$15-Assumptions!$D$15)/3.29)*44</f>
        <v>164057727.43187571</v>
      </c>
      <c r="P326" s="15">
        <f>Assumptions!$D$18</f>
        <v>14641750.345627395</v>
      </c>
      <c r="Q326" s="3">
        <f t="shared" ca="1" si="10"/>
        <v>103096381.57976133</v>
      </c>
      <c r="R326" s="6">
        <f t="shared" ca="1" si="11"/>
        <v>117738131.92538872</v>
      </c>
    </row>
    <row r="327" spans="1:18">
      <c r="A327" s="20">
        <v>326</v>
      </c>
      <c r="B327" s="3">
        <f ca="1">_xlfn.NORM.INV(RAND(),AVERAGE(Assumptions!$D$4,Assumptions!$F$4),(Assumptions!$F$4-Assumptions!$D$4)/3.29)*44</f>
        <v>1115116.6836532946</v>
      </c>
      <c r="C327" s="6">
        <f ca="1">_xlfn.NORM.INV(RAND(),AVERAGE(Assumptions!$D$5,Assumptions!$F$5),(Assumptions!$F$5-Assumptions!$D$5)/3.29)*44</f>
        <v>1900599.3448411778</v>
      </c>
      <c r="D327" s="9">
        <f ca="1">_xlfn.NORM.INV(RAND(),AVERAGE(Assumptions!$D$6,Assumptions!$F$6),(Assumptions!$F$6-Assumptions!$D$6)/3.29)*RANDBETWEEN(2,5)</f>
        <v>648807.87682040152</v>
      </c>
      <c r="E327" s="12">
        <f ca="1">_xlfn.NORM.INV(RAND(),AVERAGE(Assumptions!$D$17,Assumptions!$F$17),(Assumptions!$F$17-Assumptions!$D$17)/3.29)*8</f>
        <v>904009.40976115467</v>
      </c>
      <c r="F327" s="15">
        <f ca="1">_xlfn.NORM.INV(RAND(),AVERAGE(Assumptions!$D$7,Assumptions!$F$7),(Assumptions!$F$7-Assumptions!$D$7)/3.29)*RANDBETWEEN(1,3)</f>
        <v>4449143.6615699772</v>
      </c>
      <c r="G327" s="3">
        <f ca="1">_xlfn.NORM.INV(RAND(),AVERAGE(Assumptions!$D$8,Assumptions!$F$8),(Assumptions!$F$8-Assumptions!$D$8)/3.29)*44</f>
        <v>1219023.2159611851</v>
      </c>
      <c r="H327" s="6">
        <f ca="1">_xlfn.NORM.INV(RAND(),AVERAGE(Assumptions!$D$9,Assumptions!$F$9),(Assumptions!$F$9-Assumptions!$D$9)/3.29)*21</f>
        <v>3433096.9704557355</v>
      </c>
      <c r="I327" s="9">
        <f ca="1">_xlfn.NORM.INV(RAND(),AVERAGE(Assumptions!$D$10,Assumptions!$F$10),(Assumptions!$F$10-Assumptions!$D$10)/3.29)*21</f>
        <v>466209.66989429662</v>
      </c>
      <c r="J327" s="12">
        <f ca="1">NORMINV(RAND(),AVERAGE(Assumptions!$D$11,Assumptions!$F$11),(Assumptions!$F$11-Assumptions!$D$11)/3.29)*44</f>
        <v>2531665.2725067851</v>
      </c>
      <c r="K327" s="15">
        <f ca="1">_xlfn.NORM.INV(RAND(),AVERAGE(Assumptions!$D$12,Assumptions!$F$12),(Assumptions!$F$12-Assumptions!$D$12)/3.29)*44</f>
        <v>8696376.3862527963</v>
      </c>
      <c r="L327" s="3">
        <f ca="1">_xlfn.NORM.INV(RAND(),AVERAGE(Assumptions!$D$13,Assumptions!$F$13),(Assumptions!$F$13-Assumptions!$D$13)/3.29)*44</f>
        <v>8101094.4738985486</v>
      </c>
      <c r="M327" s="6">
        <f ca="1">_xlfn.NORM.INV(RAND(),AVERAGE(Assumptions!$D$14,Assumptions!$F$14),(Assumptions!$F$14-Assumptions!$D$14)/3.29)*44</f>
        <v>6570248.5137531236</v>
      </c>
      <c r="N327" s="9">
        <f ca="1">_xlfn.NORM.INV(RAND(),AVERAGE(Assumptions!$D$16,Assumptions!$F$16),(Assumptions!$F$16-Assumptions!$D$16)/3.29)*44</f>
        <v>8862873.5483206343</v>
      </c>
      <c r="O327" s="12">
        <f ca="1">_xlfn.NORM.INV(RAND(),AVERAGE(Assumptions!$D$15,Assumptions!$F$15),(Assumptions!$F$15-Assumptions!$D$15)/3.29)*44</f>
        <v>45080059.21592591</v>
      </c>
      <c r="P327" s="15">
        <f>Assumptions!$D$18</f>
        <v>14641750.345627395</v>
      </c>
      <c r="Q327" s="3">
        <f t="shared" ca="1" si="10"/>
        <v>-3818205.8117631972</v>
      </c>
      <c r="R327" s="6">
        <f t="shared" ca="1" si="11"/>
        <v>10823544.533864198</v>
      </c>
    </row>
    <row r="328" spans="1:18">
      <c r="A328" s="20">
        <v>327</v>
      </c>
      <c r="B328" s="3">
        <f ca="1">_xlfn.NORM.INV(RAND(),AVERAGE(Assumptions!$D$4,Assumptions!$F$4),(Assumptions!$F$4-Assumptions!$D$4)/3.29)*44</f>
        <v>1176917.9339962772</v>
      </c>
      <c r="C328" s="6">
        <f ca="1">_xlfn.NORM.INV(RAND(),AVERAGE(Assumptions!$D$5,Assumptions!$F$5),(Assumptions!$F$5-Assumptions!$D$5)/3.29)*44</f>
        <v>1955943.2151493258</v>
      </c>
      <c r="D328" s="9">
        <f ca="1">_xlfn.NORM.INV(RAND(),AVERAGE(Assumptions!$D$6,Assumptions!$F$6),(Assumptions!$F$6-Assumptions!$D$6)/3.29)*RANDBETWEEN(2,5)</f>
        <v>2956489.9380015675</v>
      </c>
      <c r="E328" s="12">
        <f ca="1">_xlfn.NORM.INV(RAND(),AVERAGE(Assumptions!$D$17,Assumptions!$F$17),(Assumptions!$F$17-Assumptions!$D$17)/3.29)*8</f>
        <v>1019775.4132805337</v>
      </c>
      <c r="F328" s="15">
        <f ca="1">_xlfn.NORM.INV(RAND(),AVERAGE(Assumptions!$D$7,Assumptions!$F$7),(Assumptions!$F$7-Assumptions!$D$7)/3.29)*RANDBETWEEN(1,3)</f>
        <v>2033628.6538662103</v>
      </c>
      <c r="G328" s="3">
        <f ca="1">_xlfn.NORM.INV(RAND(),AVERAGE(Assumptions!$D$8,Assumptions!$F$8),(Assumptions!$F$8-Assumptions!$D$8)/3.29)*44</f>
        <v>805572.08553567925</v>
      </c>
      <c r="H328" s="6">
        <f ca="1">_xlfn.NORM.INV(RAND(),AVERAGE(Assumptions!$D$9,Assumptions!$F$9),(Assumptions!$F$9-Assumptions!$D$9)/3.29)*21</f>
        <v>2194023.4272117433</v>
      </c>
      <c r="I328" s="9">
        <f ca="1">_xlfn.NORM.INV(RAND(),AVERAGE(Assumptions!$D$10,Assumptions!$F$10),(Assumptions!$F$10-Assumptions!$D$10)/3.29)*21</f>
        <v>1186785.8910037177</v>
      </c>
      <c r="J328" s="12">
        <f ca="1">NORMINV(RAND(),AVERAGE(Assumptions!$D$11,Assumptions!$F$11),(Assumptions!$F$11-Assumptions!$D$11)/3.29)*44</f>
        <v>3582611.894448285</v>
      </c>
      <c r="K328" s="15">
        <f ca="1">_xlfn.NORM.INV(RAND(),AVERAGE(Assumptions!$D$12,Assumptions!$F$12),(Assumptions!$F$12-Assumptions!$D$12)/3.29)*44</f>
        <v>8365970.2054481022</v>
      </c>
      <c r="L328" s="3">
        <f ca="1">_xlfn.NORM.INV(RAND(),AVERAGE(Assumptions!$D$13,Assumptions!$F$13),(Assumptions!$F$13-Assumptions!$D$13)/3.29)*44</f>
        <v>4818535.9063116452</v>
      </c>
      <c r="M328" s="6">
        <f ca="1">_xlfn.NORM.INV(RAND(),AVERAGE(Assumptions!$D$14,Assumptions!$F$14),(Assumptions!$F$14-Assumptions!$D$14)/3.29)*44</f>
        <v>4912055.819840041</v>
      </c>
      <c r="N328" s="9">
        <f ca="1">_xlfn.NORM.INV(RAND(),AVERAGE(Assumptions!$D$16,Assumptions!$F$16),(Assumptions!$F$16-Assumptions!$D$16)/3.29)*44</f>
        <v>11994862.099888088</v>
      </c>
      <c r="O328" s="12">
        <f ca="1">_xlfn.NORM.INV(RAND(),AVERAGE(Assumptions!$D$15,Assumptions!$F$15),(Assumptions!$F$15-Assumptions!$D$15)/3.29)*44</f>
        <v>124263650.82965654</v>
      </c>
      <c r="P328" s="15">
        <f>Assumptions!$D$18</f>
        <v>14641750.345627395</v>
      </c>
      <c r="Q328" s="3">
        <f t="shared" ca="1" si="10"/>
        <v>77260478.345675319</v>
      </c>
      <c r="R328" s="6">
        <f t="shared" ca="1" si="11"/>
        <v>91902228.691302717</v>
      </c>
    </row>
    <row r="329" spans="1:18">
      <c r="A329" s="20">
        <v>328</v>
      </c>
      <c r="B329" s="3">
        <f ca="1">_xlfn.NORM.INV(RAND(),AVERAGE(Assumptions!$D$4,Assumptions!$F$4),(Assumptions!$F$4-Assumptions!$D$4)/3.29)*44</f>
        <v>1307224.2642635892</v>
      </c>
      <c r="C329" s="6">
        <f ca="1">_xlfn.NORM.INV(RAND(),AVERAGE(Assumptions!$D$5,Assumptions!$F$5),(Assumptions!$F$5-Assumptions!$D$5)/3.29)*44</f>
        <v>1992744.5830681727</v>
      </c>
      <c r="D329" s="9">
        <f ca="1">_xlfn.NORM.INV(RAND(),AVERAGE(Assumptions!$D$6,Assumptions!$F$6),(Assumptions!$F$6-Assumptions!$D$6)/3.29)*RANDBETWEEN(2,5)</f>
        <v>3643495.468706511</v>
      </c>
      <c r="E329" s="12">
        <f ca="1">_xlfn.NORM.INV(RAND(),AVERAGE(Assumptions!$D$17,Assumptions!$F$17),(Assumptions!$F$17-Assumptions!$D$17)/3.29)*8</f>
        <v>1000893.1028364582</v>
      </c>
      <c r="F329" s="15">
        <f ca="1">_xlfn.NORM.INV(RAND(),AVERAGE(Assumptions!$D$7,Assumptions!$F$7),(Assumptions!$F$7-Assumptions!$D$7)/3.29)*RANDBETWEEN(1,3)</f>
        <v>6573062.8327571396</v>
      </c>
      <c r="G329" s="3">
        <f ca="1">_xlfn.NORM.INV(RAND(),AVERAGE(Assumptions!$D$8,Assumptions!$F$8),(Assumptions!$F$8-Assumptions!$D$8)/3.29)*44</f>
        <v>1264569.6151903765</v>
      </c>
      <c r="H329" s="6">
        <f ca="1">_xlfn.NORM.INV(RAND(),AVERAGE(Assumptions!$D$9,Assumptions!$F$9),(Assumptions!$F$9-Assumptions!$D$9)/3.29)*21</f>
        <v>2268936.1811907822</v>
      </c>
      <c r="I329" s="9">
        <f ca="1">_xlfn.NORM.INV(RAND(),AVERAGE(Assumptions!$D$10,Assumptions!$F$10),(Assumptions!$F$10-Assumptions!$D$10)/3.29)*21</f>
        <v>1129720.1408050614</v>
      </c>
      <c r="J329" s="12">
        <f ca="1">NORMINV(RAND(),AVERAGE(Assumptions!$D$11,Assumptions!$F$11),(Assumptions!$F$11-Assumptions!$D$11)/3.29)*44</f>
        <v>2109654.7808959326</v>
      </c>
      <c r="K329" s="15">
        <f ca="1">_xlfn.NORM.INV(RAND(),AVERAGE(Assumptions!$D$12,Assumptions!$F$12),(Assumptions!$F$12-Assumptions!$D$12)/3.29)*44</f>
        <v>9280289.9468472879</v>
      </c>
      <c r="L329" s="3">
        <f ca="1">_xlfn.NORM.INV(RAND(),AVERAGE(Assumptions!$D$13,Assumptions!$F$13),(Assumptions!$F$13-Assumptions!$D$13)/3.29)*44</f>
        <v>9750094.9147750027</v>
      </c>
      <c r="M329" s="6">
        <f ca="1">_xlfn.NORM.INV(RAND(),AVERAGE(Assumptions!$D$14,Assumptions!$F$14),(Assumptions!$F$14-Assumptions!$D$14)/3.29)*44</f>
        <v>4814230.0323120374</v>
      </c>
      <c r="N329" s="9">
        <f ca="1">_xlfn.NORM.INV(RAND(),AVERAGE(Assumptions!$D$16,Assumptions!$F$16),(Assumptions!$F$16-Assumptions!$D$16)/3.29)*44</f>
        <v>6145838.5441879556</v>
      </c>
      <c r="O329" s="12">
        <f ca="1">_xlfn.NORM.INV(RAND(),AVERAGE(Assumptions!$D$15,Assumptions!$F$15),(Assumptions!$F$15-Assumptions!$D$15)/3.29)*44</f>
        <v>78691153.876079649</v>
      </c>
      <c r="P329" s="15">
        <f>Assumptions!$D$18</f>
        <v>14641750.345627395</v>
      </c>
      <c r="Q329" s="3">
        <f t="shared" ca="1" si="10"/>
        <v>27410399.468243338</v>
      </c>
      <c r="R329" s="6">
        <f t="shared" ca="1" si="11"/>
        <v>42052149.813870735</v>
      </c>
    </row>
    <row r="330" spans="1:18">
      <c r="A330" s="20">
        <v>329</v>
      </c>
      <c r="B330" s="3">
        <f ca="1">_xlfn.NORM.INV(RAND(),AVERAGE(Assumptions!$D$4,Assumptions!$F$4),(Assumptions!$F$4-Assumptions!$D$4)/3.29)*44</f>
        <v>1234022.8143485026</v>
      </c>
      <c r="C330" s="6">
        <f ca="1">_xlfn.NORM.INV(RAND(),AVERAGE(Assumptions!$D$5,Assumptions!$F$5),(Assumptions!$F$5-Assumptions!$D$5)/3.29)*44</f>
        <v>1756256.6330627969</v>
      </c>
      <c r="D330" s="9">
        <f ca="1">_xlfn.NORM.INV(RAND(),AVERAGE(Assumptions!$D$6,Assumptions!$F$6),(Assumptions!$F$6-Assumptions!$D$6)/3.29)*RANDBETWEEN(2,5)</f>
        <v>6142223.3441650281</v>
      </c>
      <c r="E330" s="12">
        <f ca="1">_xlfn.NORM.INV(RAND(),AVERAGE(Assumptions!$D$17,Assumptions!$F$17),(Assumptions!$F$17-Assumptions!$D$17)/3.29)*8</f>
        <v>852302.29696088494</v>
      </c>
      <c r="F330" s="15">
        <f ca="1">_xlfn.NORM.INV(RAND(),AVERAGE(Assumptions!$D$7,Assumptions!$F$7),(Assumptions!$F$7-Assumptions!$D$7)/3.29)*RANDBETWEEN(1,3)</f>
        <v>7257368.7694981815</v>
      </c>
      <c r="G330" s="3">
        <f ca="1">_xlfn.NORM.INV(RAND(),AVERAGE(Assumptions!$D$8,Assumptions!$F$8),(Assumptions!$F$8-Assumptions!$D$8)/3.29)*44</f>
        <v>735537.74220814428</v>
      </c>
      <c r="H330" s="6">
        <f ca="1">_xlfn.NORM.INV(RAND(),AVERAGE(Assumptions!$D$9,Assumptions!$F$9),(Assumptions!$F$9-Assumptions!$D$9)/3.29)*21</f>
        <v>5011898.130919938</v>
      </c>
      <c r="I330" s="9">
        <f ca="1">_xlfn.NORM.INV(RAND(),AVERAGE(Assumptions!$D$10,Assumptions!$F$10),(Assumptions!$F$10-Assumptions!$D$10)/3.29)*21</f>
        <v>991174.70792132313</v>
      </c>
      <c r="J330" s="12">
        <f ca="1">NORMINV(RAND(),AVERAGE(Assumptions!$D$11,Assumptions!$F$11),(Assumptions!$F$11-Assumptions!$D$11)/3.29)*44</f>
        <v>3947710.4173995787</v>
      </c>
      <c r="K330" s="15">
        <f ca="1">_xlfn.NORM.INV(RAND(),AVERAGE(Assumptions!$D$12,Assumptions!$F$12),(Assumptions!$F$12-Assumptions!$D$12)/3.29)*44</f>
        <v>9271809.3106191363</v>
      </c>
      <c r="L330" s="3">
        <f ca="1">_xlfn.NORM.INV(RAND(),AVERAGE(Assumptions!$D$13,Assumptions!$F$13),(Assumptions!$F$13-Assumptions!$D$13)/3.29)*44</f>
        <v>17023111.941055547</v>
      </c>
      <c r="M330" s="6">
        <f ca="1">_xlfn.NORM.INV(RAND(),AVERAGE(Assumptions!$D$14,Assumptions!$F$14),(Assumptions!$F$14-Assumptions!$D$14)/3.29)*44</f>
        <v>4711170.6360721905</v>
      </c>
      <c r="N330" s="9">
        <f ca="1">_xlfn.NORM.INV(RAND(),AVERAGE(Assumptions!$D$16,Assumptions!$F$16),(Assumptions!$F$16-Assumptions!$D$16)/3.29)*44</f>
        <v>8069233.7352794902</v>
      </c>
      <c r="O330" s="12">
        <f ca="1">_xlfn.NORM.INV(RAND(),AVERAGE(Assumptions!$D$15,Assumptions!$F$15),(Assumptions!$F$15-Assumptions!$D$15)/3.29)*44</f>
        <v>141114751.13488579</v>
      </c>
      <c r="P330" s="15">
        <f>Assumptions!$D$18</f>
        <v>14641750.345627395</v>
      </c>
      <c r="Q330" s="3">
        <f t="shared" ca="1" si="10"/>
        <v>74110930.655375049</v>
      </c>
      <c r="R330" s="6">
        <f t="shared" ca="1" si="11"/>
        <v>88752681.001002446</v>
      </c>
    </row>
    <row r="331" spans="1:18">
      <c r="A331" s="20">
        <v>330</v>
      </c>
      <c r="B331" s="3">
        <f ca="1">_xlfn.NORM.INV(RAND(),AVERAGE(Assumptions!$D$4,Assumptions!$F$4),(Assumptions!$F$4-Assumptions!$D$4)/3.29)*44</f>
        <v>1149439.9542633989</v>
      </c>
      <c r="C331" s="6">
        <f ca="1">_xlfn.NORM.INV(RAND(),AVERAGE(Assumptions!$D$5,Assumptions!$F$5),(Assumptions!$F$5-Assumptions!$D$5)/3.29)*44</f>
        <v>1923346.6645149114</v>
      </c>
      <c r="D331" s="9">
        <f ca="1">_xlfn.NORM.INV(RAND(),AVERAGE(Assumptions!$D$6,Assumptions!$F$6),(Assumptions!$F$6-Assumptions!$D$6)/3.29)*RANDBETWEEN(2,5)</f>
        <v>7817042.1076368839</v>
      </c>
      <c r="E331" s="12">
        <f ca="1">_xlfn.NORM.INV(RAND(),AVERAGE(Assumptions!$D$17,Assumptions!$F$17),(Assumptions!$F$17-Assumptions!$D$17)/3.29)*8</f>
        <v>1211252.0794625343</v>
      </c>
      <c r="F331" s="15">
        <f ca="1">_xlfn.NORM.INV(RAND(),AVERAGE(Assumptions!$D$7,Assumptions!$F$7),(Assumptions!$F$7-Assumptions!$D$7)/3.29)*RANDBETWEEN(1,3)</f>
        <v>5590934.1674092468</v>
      </c>
      <c r="G331" s="3">
        <f ca="1">_xlfn.NORM.INV(RAND(),AVERAGE(Assumptions!$D$8,Assumptions!$F$8),(Assumptions!$F$8-Assumptions!$D$8)/3.29)*44</f>
        <v>857214.75032469502</v>
      </c>
      <c r="H331" s="6">
        <f ca="1">_xlfn.NORM.INV(RAND(),AVERAGE(Assumptions!$D$9,Assumptions!$F$9),(Assumptions!$F$9-Assumptions!$D$9)/3.29)*21</f>
        <v>5285732.0663047386</v>
      </c>
      <c r="I331" s="9">
        <f ca="1">_xlfn.NORM.INV(RAND(),AVERAGE(Assumptions!$D$10,Assumptions!$F$10),(Assumptions!$F$10-Assumptions!$D$10)/3.29)*21</f>
        <v>898553.92459995975</v>
      </c>
      <c r="J331" s="12">
        <f ca="1">NORMINV(RAND(),AVERAGE(Assumptions!$D$11,Assumptions!$F$11),(Assumptions!$F$11-Assumptions!$D$11)/3.29)*44</f>
        <v>2185573.0087012993</v>
      </c>
      <c r="K331" s="15">
        <f ca="1">_xlfn.NORM.INV(RAND(),AVERAGE(Assumptions!$D$12,Assumptions!$F$12),(Assumptions!$F$12-Assumptions!$D$12)/3.29)*44</f>
        <v>9219299.1088531762</v>
      </c>
      <c r="L331" s="3">
        <f ca="1">_xlfn.NORM.INV(RAND(),AVERAGE(Assumptions!$D$13,Assumptions!$F$13),(Assumptions!$F$13-Assumptions!$D$13)/3.29)*44</f>
        <v>9483851.4784472398</v>
      </c>
      <c r="M331" s="6">
        <f ca="1">_xlfn.NORM.INV(RAND(),AVERAGE(Assumptions!$D$14,Assumptions!$F$14),(Assumptions!$F$14-Assumptions!$D$14)/3.29)*44</f>
        <v>5774510.99094564</v>
      </c>
      <c r="N331" s="9">
        <f ca="1">_xlfn.NORM.INV(RAND(),AVERAGE(Assumptions!$D$16,Assumptions!$F$16),(Assumptions!$F$16-Assumptions!$D$16)/3.29)*44</f>
        <v>11593732.085276416</v>
      </c>
      <c r="O331" s="12">
        <f ca="1">_xlfn.NORM.INV(RAND(),AVERAGE(Assumptions!$D$15,Assumptions!$F$15),(Assumptions!$F$15-Assumptions!$D$15)/3.29)*44</f>
        <v>110877346.87864964</v>
      </c>
      <c r="P331" s="15">
        <f>Assumptions!$D$18</f>
        <v>14641750.345627395</v>
      </c>
      <c r="Q331" s="3">
        <f t="shared" ca="1" si="10"/>
        <v>47886864.491909489</v>
      </c>
      <c r="R331" s="6">
        <f t="shared" ca="1" si="11"/>
        <v>62528614.837536886</v>
      </c>
    </row>
    <row r="332" spans="1:18">
      <c r="A332" s="20">
        <v>331</v>
      </c>
      <c r="B332" s="3">
        <f ca="1">_xlfn.NORM.INV(RAND(),AVERAGE(Assumptions!$D$4,Assumptions!$F$4),(Assumptions!$F$4-Assumptions!$D$4)/3.29)*44</f>
        <v>1250423.5560918306</v>
      </c>
      <c r="C332" s="6">
        <f ca="1">_xlfn.NORM.INV(RAND(),AVERAGE(Assumptions!$D$5,Assumptions!$F$5),(Assumptions!$F$5-Assumptions!$D$5)/3.29)*44</f>
        <v>1633172.8279614781</v>
      </c>
      <c r="D332" s="9">
        <f ca="1">_xlfn.NORM.INV(RAND(),AVERAGE(Assumptions!$D$6,Assumptions!$F$6),(Assumptions!$F$6-Assumptions!$D$6)/3.29)*RANDBETWEEN(2,5)</f>
        <v>2637834.6471853545</v>
      </c>
      <c r="E332" s="12">
        <f ca="1">_xlfn.NORM.INV(RAND(),AVERAGE(Assumptions!$D$17,Assumptions!$F$17),(Assumptions!$F$17-Assumptions!$D$17)/3.29)*8</f>
        <v>940351.19975422637</v>
      </c>
      <c r="F332" s="15">
        <f ca="1">_xlfn.NORM.INV(RAND(),AVERAGE(Assumptions!$D$7,Assumptions!$F$7),(Assumptions!$F$7-Assumptions!$D$7)/3.29)*RANDBETWEEN(1,3)</f>
        <v>7528845.7395918444</v>
      </c>
      <c r="G332" s="3">
        <f ca="1">_xlfn.NORM.INV(RAND(),AVERAGE(Assumptions!$D$8,Assumptions!$F$8),(Assumptions!$F$8-Assumptions!$D$8)/3.29)*44</f>
        <v>870547.00833772146</v>
      </c>
      <c r="H332" s="6">
        <f ca="1">_xlfn.NORM.INV(RAND(),AVERAGE(Assumptions!$D$9,Assumptions!$F$9),(Assumptions!$F$9-Assumptions!$D$9)/3.29)*21</f>
        <v>4117285.681608195</v>
      </c>
      <c r="I332" s="9">
        <f ca="1">_xlfn.NORM.INV(RAND(),AVERAGE(Assumptions!$D$10,Assumptions!$F$10),(Assumptions!$F$10-Assumptions!$D$10)/3.29)*21</f>
        <v>756289.03606467706</v>
      </c>
      <c r="J332" s="12">
        <f ca="1">NORMINV(RAND(),AVERAGE(Assumptions!$D$11,Assumptions!$F$11),(Assumptions!$F$11-Assumptions!$D$11)/3.29)*44</f>
        <v>3399743.265657844</v>
      </c>
      <c r="K332" s="15">
        <f ca="1">_xlfn.NORM.INV(RAND(),AVERAGE(Assumptions!$D$12,Assumptions!$F$12),(Assumptions!$F$12-Assumptions!$D$12)/3.29)*44</f>
        <v>10886591.078579521</v>
      </c>
      <c r="L332" s="3">
        <f ca="1">_xlfn.NORM.INV(RAND(),AVERAGE(Assumptions!$D$13,Assumptions!$F$13),(Assumptions!$F$13-Assumptions!$D$13)/3.29)*44</f>
        <v>24492381.470517848</v>
      </c>
      <c r="M332" s="6">
        <f ca="1">_xlfn.NORM.INV(RAND(),AVERAGE(Assumptions!$D$14,Assumptions!$F$14),(Assumptions!$F$14-Assumptions!$D$14)/3.29)*44</f>
        <v>7576197.23767123</v>
      </c>
      <c r="N332" s="9">
        <f ca="1">_xlfn.NORM.INV(RAND(),AVERAGE(Assumptions!$D$16,Assumptions!$F$16),(Assumptions!$F$16-Assumptions!$D$16)/3.29)*44</f>
        <v>21493985.501217164</v>
      </c>
      <c r="O332" s="12">
        <f ca="1">_xlfn.NORM.INV(RAND(),AVERAGE(Assumptions!$D$15,Assumptions!$F$15),(Assumptions!$F$15-Assumptions!$D$15)/3.29)*44</f>
        <v>70115062.989969403</v>
      </c>
      <c r="P332" s="15">
        <f>Assumptions!$D$18</f>
        <v>14641750.345627395</v>
      </c>
      <c r="Q332" s="3">
        <f t="shared" ca="1" si="10"/>
        <v>-17468585.260269538</v>
      </c>
      <c r="R332" s="6">
        <f t="shared" ca="1" si="11"/>
        <v>-2826834.9146421421</v>
      </c>
    </row>
    <row r="333" spans="1:18">
      <c r="A333" s="20">
        <v>332</v>
      </c>
      <c r="B333" s="3">
        <f ca="1">_xlfn.NORM.INV(RAND(),AVERAGE(Assumptions!$D$4,Assumptions!$F$4),(Assumptions!$F$4-Assumptions!$D$4)/3.29)*44</f>
        <v>1276188.9072611674</v>
      </c>
      <c r="C333" s="6">
        <f ca="1">_xlfn.NORM.INV(RAND(),AVERAGE(Assumptions!$D$5,Assumptions!$F$5),(Assumptions!$F$5-Assumptions!$D$5)/3.29)*44</f>
        <v>1623544.9601525248</v>
      </c>
      <c r="D333" s="9">
        <f ca="1">_xlfn.NORM.INV(RAND(),AVERAGE(Assumptions!$D$6,Assumptions!$F$6),(Assumptions!$F$6-Assumptions!$D$6)/3.29)*RANDBETWEEN(2,5)</f>
        <v>3008322.2666581208</v>
      </c>
      <c r="E333" s="12">
        <f ca="1">_xlfn.NORM.INV(RAND(),AVERAGE(Assumptions!$D$17,Assumptions!$F$17),(Assumptions!$F$17-Assumptions!$D$17)/3.29)*8</f>
        <v>1091955.0477466923</v>
      </c>
      <c r="F333" s="15">
        <f ca="1">_xlfn.NORM.INV(RAND(),AVERAGE(Assumptions!$D$7,Assumptions!$F$7),(Assumptions!$F$7-Assumptions!$D$7)/3.29)*RANDBETWEEN(1,3)</f>
        <v>6660166.0124561116</v>
      </c>
      <c r="G333" s="3">
        <f ca="1">_xlfn.NORM.INV(RAND(),AVERAGE(Assumptions!$D$8,Assumptions!$F$8),(Assumptions!$F$8-Assumptions!$D$8)/3.29)*44</f>
        <v>1282929.2644969341</v>
      </c>
      <c r="H333" s="6">
        <f ca="1">_xlfn.NORM.INV(RAND(),AVERAGE(Assumptions!$D$9,Assumptions!$F$9),(Assumptions!$F$9-Assumptions!$D$9)/3.29)*21</f>
        <v>5130114.5877370499</v>
      </c>
      <c r="I333" s="9">
        <f ca="1">_xlfn.NORM.INV(RAND(),AVERAGE(Assumptions!$D$10,Assumptions!$F$10),(Assumptions!$F$10-Assumptions!$D$10)/3.29)*21</f>
        <v>738710.66274814424</v>
      </c>
      <c r="J333" s="12">
        <f ca="1">NORMINV(RAND(),AVERAGE(Assumptions!$D$11,Assumptions!$F$11),(Assumptions!$F$11-Assumptions!$D$11)/3.29)*44</f>
        <v>2174658.053432689</v>
      </c>
      <c r="K333" s="15">
        <f ca="1">_xlfn.NORM.INV(RAND(),AVERAGE(Assumptions!$D$12,Assumptions!$F$12),(Assumptions!$F$12-Assumptions!$D$12)/3.29)*44</f>
        <v>10149823.078184446</v>
      </c>
      <c r="L333" s="3">
        <f ca="1">_xlfn.NORM.INV(RAND(),AVERAGE(Assumptions!$D$13,Assumptions!$F$13),(Assumptions!$F$13-Assumptions!$D$13)/3.29)*44</f>
        <v>13823478.508293839</v>
      </c>
      <c r="M333" s="6">
        <f ca="1">_xlfn.NORM.INV(RAND(),AVERAGE(Assumptions!$D$14,Assumptions!$F$14),(Assumptions!$F$14-Assumptions!$D$14)/3.29)*44</f>
        <v>5327291.8821691722</v>
      </c>
      <c r="N333" s="9">
        <f ca="1">_xlfn.NORM.INV(RAND(),AVERAGE(Assumptions!$D$16,Assumptions!$F$16),(Assumptions!$F$16-Assumptions!$D$16)/3.29)*44</f>
        <v>7705720.2278236784</v>
      </c>
      <c r="O333" s="12">
        <f ca="1">_xlfn.NORM.INV(RAND(),AVERAGE(Assumptions!$D$15,Assumptions!$F$15),(Assumptions!$F$15-Assumptions!$D$15)/3.29)*44</f>
        <v>58296489.428469427</v>
      </c>
      <c r="P333" s="15">
        <f>Assumptions!$D$18</f>
        <v>14641750.345627395</v>
      </c>
      <c r="Q333" s="3">
        <f t="shared" ca="1" si="10"/>
        <v>-1696414.0306911469</v>
      </c>
      <c r="R333" s="6">
        <f t="shared" ca="1" si="11"/>
        <v>12945336.314936249</v>
      </c>
    </row>
    <row r="334" spans="1:18">
      <c r="A334" s="20">
        <v>333</v>
      </c>
      <c r="B334" s="3">
        <f ca="1">_xlfn.NORM.INV(RAND(),AVERAGE(Assumptions!$D$4,Assumptions!$F$4),(Assumptions!$F$4-Assumptions!$D$4)/3.29)*44</f>
        <v>1245562.3450950969</v>
      </c>
      <c r="C334" s="6">
        <f ca="1">_xlfn.NORM.INV(RAND(),AVERAGE(Assumptions!$D$5,Assumptions!$F$5),(Assumptions!$F$5-Assumptions!$D$5)/3.29)*44</f>
        <v>1945040.0347204308</v>
      </c>
      <c r="D334" s="9">
        <f ca="1">_xlfn.NORM.INV(RAND(),AVERAGE(Assumptions!$D$6,Assumptions!$F$6),(Assumptions!$F$6-Assumptions!$D$6)/3.29)*RANDBETWEEN(2,5)</f>
        <v>3674991.9307355098</v>
      </c>
      <c r="E334" s="12">
        <f ca="1">_xlfn.NORM.INV(RAND(),AVERAGE(Assumptions!$D$17,Assumptions!$F$17),(Assumptions!$F$17-Assumptions!$D$17)/3.29)*8</f>
        <v>1052930.1996721833</v>
      </c>
      <c r="F334" s="15">
        <f ca="1">_xlfn.NORM.INV(RAND(),AVERAGE(Assumptions!$D$7,Assumptions!$F$7),(Assumptions!$F$7-Assumptions!$D$7)/3.29)*RANDBETWEEN(1,3)</f>
        <v>4048672.4799238984</v>
      </c>
      <c r="G334" s="3">
        <f ca="1">_xlfn.NORM.INV(RAND(),AVERAGE(Assumptions!$D$8,Assumptions!$F$8),(Assumptions!$F$8-Assumptions!$D$8)/3.29)*44</f>
        <v>896791.26019246457</v>
      </c>
      <c r="H334" s="6">
        <f ca="1">_xlfn.NORM.INV(RAND(),AVERAGE(Assumptions!$D$9,Assumptions!$F$9),(Assumptions!$F$9-Assumptions!$D$9)/3.29)*21</f>
        <v>4212957.1150079658</v>
      </c>
      <c r="I334" s="9">
        <f ca="1">_xlfn.NORM.INV(RAND(),AVERAGE(Assumptions!$D$10,Assumptions!$F$10),(Assumptions!$F$10-Assumptions!$D$10)/3.29)*21</f>
        <v>1145569.9771500435</v>
      </c>
      <c r="J334" s="12">
        <f ca="1">NORMINV(RAND(),AVERAGE(Assumptions!$D$11,Assumptions!$F$11),(Assumptions!$F$11-Assumptions!$D$11)/3.29)*44</f>
        <v>1956343.6222900748</v>
      </c>
      <c r="K334" s="15">
        <f ca="1">_xlfn.NORM.INV(RAND(),AVERAGE(Assumptions!$D$12,Assumptions!$F$12),(Assumptions!$F$12-Assumptions!$D$12)/3.29)*44</f>
        <v>9890028.8925094791</v>
      </c>
      <c r="L334" s="3">
        <f ca="1">_xlfn.NORM.INV(RAND(),AVERAGE(Assumptions!$D$13,Assumptions!$F$13),(Assumptions!$F$13-Assumptions!$D$13)/3.29)*44</f>
        <v>24161491.057929717</v>
      </c>
      <c r="M334" s="6">
        <f ca="1">_xlfn.NORM.INV(RAND(),AVERAGE(Assumptions!$D$14,Assumptions!$F$14),(Assumptions!$F$14-Assumptions!$D$14)/3.29)*44</f>
        <v>7571679.2950975597</v>
      </c>
      <c r="N334" s="9">
        <f ca="1">_xlfn.NORM.INV(RAND(),AVERAGE(Assumptions!$D$16,Assumptions!$F$16),(Assumptions!$F$16-Assumptions!$D$16)/3.29)*44</f>
        <v>9855597.6336411797</v>
      </c>
      <c r="O334" s="12">
        <f ca="1">_xlfn.NORM.INV(RAND(),AVERAGE(Assumptions!$D$15,Assumptions!$F$15),(Assumptions!$F$15-Assumptions!$D$15)/3.29)*44</f>
        <v>101712988.93065608</v>
      </c>
      <c r="P334" s="15">
        <f>Assumptions!$D$18</f>
        <v>14641750.345627395</v>
      </c>
      <c r="Q334" s="3">
        <f t="shared" ca="1" si="10"/>
        <v>30055333.086690471</v>
      </c>
      <c r="R334" s="6">
        <f t="shared" ca="1" si="11"/>
        <v>44697083.432317868</v>
      </c>
    </row>
    <row r="335" spans="1:18">
      <c r="A335" s="20">
        <v>334</v>
      </c>
      <c r="B335" s="3">
        <f ca="1">_xlfn.NORM.INV(RAND(),AVERAGE(Assumptions!$D$4,Assumptions!$F$4),(Assumptions!$F$4-Assumptions!$D$4)/3.29)*44</f>
        <v>1177846.7193478239</v>
      </c>
      <c r="C335" s="6">
        <f ca="1">_xlfn.NORM.INV(RAND(),AVERAGE(Assumptions!$D$5,Assumptions!$F$5),(Assumptions!$F$5-Assumptions!$D$5)/3.29)*44</f>
        <v>1740332.5703585292</v>
      </c>
      <c r="D335" s="9">
        <f ca="1">_xlfn.NORM.INV(RAND(),AVERAGE(Assumptions!$D$6,Assumptions!$F$6),(Assumptions!$F$6-Assumptions!$D$6)/3.29)*RANDBETWEEN(2,5)</f>
        <v>6424296.0040329583</v>
      </c>
      <c r="E335" s="12">
        <f ca="1">_xlfn.NORM.INV(RAND(),AVERAGE(Assumptions!$D$17,Assumptions!$F$17),(Assumptions!$F$17-Assumptions!$D$17)/3.29)*8</f>
        <v>783492.36313587567</v>
      </c>
      <c r="F335" s="15">
        <f ca="1">_xlfn.NORM.INV(RAND(),AVERAGE(Assumptions!$D$7,Assumptions!$F$7),(Assumptions!$F$7-Assumptions!$D$7)/3.29)*RANDBETWEEN(1,3)</f>
        <v>4251543.6259316336</v>
      </c>
      <c r="G335" s="3">
        <f ca="1">_xlfn.NORM.INV(RAND(),AVERAGE(Assumptions!$D$8,Assumptions!$F$8),(Assumptions!$F$8-Assumptions!$D$8)/3.29)*44</f>
        <v>1080661.0649410889</v>
      </c>
      <c r="H335" s="6">
        <f ca="1">_xlfn.NORM.INV(RAND(),AVERAGE(Assumptions!$D$9,Assumptions!$F$9),(Assumptions!$F$9-Assumptions!$D$9)/3.29)*21</f>
        <v>2884649.0870384006</v>
      </c>
      <c r="I335" s="9">
        <f ca="1">_xlfn.NORM.INV(RAND(),AVERAGE(Assumptions!$D$10,Assumptions!$F$10),(Assumptions!$F$10-Assumptions!$D$10)/3.29)*21</f>
        <v>462249.06514987926</v>
      </c>
      <c r="J335" s="12">
        <f ca="1">NORMINV(RAND(),AVERAGE(Assumptions!$D$11,Assumptions!$F$11),(Assumptions!$F$11-Assumptions!$D$11)/3.29)*44</f>
        <v>4167042.2130780709</v>
      </c>
      <c r="K335" s="15">
        <f ca="1">_xlfn.NORM.INV(RAND(),AVERAGE(Assumptions!$D$12,Assumptions!$F$12),(Assumptions!$F$12-Assumptions!$D$12)/3.29)*44</f>
        <v>7669046.9460203871</v>
      </c>
      <c r="L335" s="3">
        <f ca="1">_xlfn.NORM.INV(RAND(),AVERAGE(Assumptions!$D$13,Assumptions!$F$13),(Assumptions!$F$13-Assumptions!$D$13)/3.29)*44</f>
        <v>6541171.5587581806</v>
      </c>
      <c r="M335" s="6">
        <f ca="1">_xlfn.NORM.INV(RAND(),AVERAGE(Assumptions!$D$14,Assumptions!$F$14),(Assumptions!$F$14-Assumptions!$D$14)/3.29)*44</f>
        <v>5723706.0634362772</v>
      </c>
      <c r="N335" s="9">
        <f ca="1">_xlfn.NORM.INV(RAND(),AVERAGE(Assumptions!$D$16,Assumptions!$F$16),(Assumptions!$F$16-Assumptions!$D$16)/3.29)*44</f>
        <v>6538768.5047408752</v>
      </c>
      <c r="O335" s="12">
        <f ca="1">_xlfn.NORM.INV(RAND(),AVERAGE(Assumptions!$D$15,Assumptions!$F$15),(Assumptions!$F$15-Assumptions!$D$15)/3.29)*44</f>
        <v>203616380.62063253</v>
      </c>
      <c r="P335" s="15">
        <f>Assumptions!$D$18</f>
        <v>14641750.345627395</v>
      </c>
      <c r="Q335" s="3">
        <f t="shared" ca="1" si="10"/>
        <v>154171574.83466256</v>
      </c>
      <c r="R335" s="6">
        <f t="shared" ca="1" si="11"/>
        <v>168813325.18028995</v>
      </c>
    </row>
    <row r="336" spans="1:18">
      <c r="A336" s="20">
        <v>335</v>
      </c>
      <c r="B336" s="3">
        <f ca="1">_xlfn.NORM.INV(RAND(),AVERAGE(Assumptions!$D$4,Assumptions!$F$4),(Assumptions!$F$4-Assumptions!$D$4)/3.29)*44</f>
        <v>1221393.4345701658</v>
      </c>
      <c r="C336" s="6">
        <f ca="1">_xlfn.NORM.INV(RAND(),AVERAGE(Assumptions!$D$5,Assumptions!$F$5),(Assumptions!$F$5-Assumptions!$D$5)/3.29)*44</f>
        <v>1941993.3465050091</v>
      </c>
      <c r="D336" s="9">
        <f ca="1">_xlfn.NORM.INV(RAND(),AVERAGE(Assumptions!$D$6,Assumptions!$F$6),(Assumptions!$F$6-Assumptions!$D$6)/3.29)*RANDBETWEEN(2,5)</f>
        <v>1828582.241951311</v>
      </c>
      <c r="E336" s="12">
        <f ca="1">_xlfn.NORM.INV(RAND(),AVERAGE(Assumptions!$D$17,Assumptions!$F$17),(Assumptions!$F$17-Assumptions!$D$17)/3.29)*8</f>
        <v>1080078.2563407545</v>
      </c>
      <c r="F336" s="15">
        <f ca="1">_xlfn.NORM.INV(RAND(),AVERAGE(Assumptions!$D$7,Assumptions!$F$7),(Assumptions!$F$7-Assumptions!$D$7)/3.29)*RANDBETWEEN(1,3)</f>
        <v>5124876.3100171927</v>
      </c>
      <c r="G336" s="3">
        <f ca="1">_xlfn.NORM.INV(RAND(),AVERAGE(Assumptions!$D$8,Assumptions!$F$8),(Assumptions!$F$8-Assumptions!$D$8)/3.29)*44</f>
        <v>774472.12373991543</v>
      </c>
      <c r="H336" s="6">
        <f ca="1">_xlfn.NORM.INV(RAND(),AVERAGE(Assumptions!$D$9,Assumptions!$F$9),(Assumptions!$F$9-Assumptions!$D$9)/3.29)*21</f>
        <v>3178120.3260429562</v>
      </c>
      <c r="I336" s="9">
        <f ca="1">_xlfn.NORM.INV(RAND(),AVERAGE(Assumptions!$D$10,Assumptions!$F$10),(Assumptions!$F$10-Assumptions!$D$10)/3.29)*21</f>
        <v>939367.44476229895</v>
      </c>
      <c r="J336" s="12">
        <f ca="1">NORMINV(RAND(),AVERAGE(Assumptions!$D$11,Assumptions!$F$11),(Assumptions!$F$11-Assumptions!$D$11)/3.29)*44</f>
        <v>4568369.5697937813</v>
      </c>
      <c r="K336" s="15">
        <f ca="1">_xlfn.NORM.INV(RAND(),AVERAGE(Assumptions!$D$12,Assumptions!$F$12),(Assumptions!$F$12-Assumptions!$D$12)/3.29)*44</f>
        <v>7773046.4619840793</v>
      </c>
      <c r="L336" s="3">
        <f ca="1">_xlfn.NORM.INV(RAND(),AVERAGE(Assumptions!$D$13,Assumptions!$F$13),(Assumptions!$F$13-Assumptions!$D$13)/3.29)*44</f>
        <v>29639041.714986499</v>
      </c>
      <c r="M336" s="6">
        <f ca="1">_xlfn.NORM.INV(RAND(),AVERAGE(Assumptions!$D$14,Assumptions!$F$14),(Assumptions!$F$14-Assumptions!$D$14)/3.29)*44</f>
        <v>5762260.0672670761</v>
      </c>
      <c r="N336" s="9">
        <f ca="1">_xlfn.NORM.INV(RAND(),AVERAGE(Assumptions!$D$16,Assumptions!$F$16),(Assumptions!$F$16-Assumptions!$D$16)/3.29)*44</f>
        <v>12308697.967193613</v>
      </c>
      <c r="O336" s="12">
        <f ca="1">_xlfn.NORM.INV(RAND(),AVERAGE(Assumptions!$D$15,Assumptions!$F$15),(Assumptions!$F$15-Assumptions!$D$15)/3.29)*44</f>
        <v>72653686.715907574</v>
      </c>
      <c r="P336" s="15">
        <f>Assumptions!$D$18</f>
        <v>14641750.345627395</v>
      </c>
      <c r="Q336" s="3">
        <f t="shared" ca="1" si="10"/>
        <v>-3486612.549247086</v>
      </c>
      <c r="R336" s="6">
        <f t="shared" ca="1" si="11"/>
        <v>11155137.796380309</v>
      </c>
    </row>
    <row r="337" spans="1:18">
      <c r="A337" s="20">
        <v>336</v>
      </c>
      <c r="B337" s="3">
        <f ca="1">_xlfn.NORM.INV(RAND(),AVERAGE(Assumptions!$D$4,Assumptions!$F$4),(Assumptions!$F$4-Assumptions!$D$4)/3.29)*44</f>
        <v>1155211.3309279741</v>
      </c>
      <c r="C337" s="6">
        <f ca="1">_xlfn.NORM.INV(RAND(),AVERAGE(Assumptions!$D$5,Assumptions!$F$5),(Assumptions!$F$5-Assumptions!$D$5)/3.29)*44</f>
        <v>1699282.3382747301</v>
      </c>
      <c r="D337" s="9">
        <f ca="1">_xlfn.NORM.INV(RAND(),AVERAGE(Assumptions!$D$6,Assumptions!$F$6),(Assumptions!$F$6-Assumptions!$D$6)/3.29)*RANDBETWEEN(2,5)</f>
        <v>4983178.1438155081</v>
      </c>
      <c r="E337" s="12">
        <f ca="1">_xlfn.NORM.INV(RAND(),AVERAGE(Assumptions!$D$17,Assumptions!$F$17),(Assumptions!$F$17-Assumptions!$D$17)/3.29)*8</f>
        <v>904151.49849527318</v>
      </c>
      <c r="F337" s="15">
        <f ca="1">_xlfn.NORM.INV(RAND(),AVERAGE(Assumptions!$D$7,Assumptions!$F$7),(Assumptions!$F$7-Assumptions!$D$7)/3.29)*RANDBETWEEN(1,3)</f>
        <v>3421047.8246492785</v>
      </c>
      <c r="G337" s="3">
        <f ca="1">_xlfn.NORM.INV(RAND(),AVERAGE(Assumptions!$D$8,Assumptions!$F$8),(Assumptions!$F$8-Assumptions!$D$8)/3.29)*44</f>
        <v>1787167.6995847151</v>
      </c>
      <c r="H337" s="6">
        <f ca="1">_xlfn.NORM.INV(RAND(),AVERAGE(Assumptions!$D$9,Assumptions!$F$9),(Assumptions!$F$9-Assumptions!$D$9)/3.29)*21</f>
        <v>1869994.3350743419</v>
      </c>
      <c r="I337" s="9">
        <f ca="1">_xlfn.NORM.INV(RAND(),AVERAGE(Assumptions!$D$10,Assumptions!$F$10),(Assumptions!$F$10-Assumptions!$D$10)/3.29)*21</f>
        <v>694846.99765181576</v>
      </c>
      <c r="J337" s="12">
        <f ca="1">NORMINV(RAND(),AVERAGE(Assumptions!$D$11,Assumptions!$F$11),(Assumptions!$F$11-Assumptions!$D$11)/3.29)*44</f>
        <v>4677329.2161647184</v>
      </c>
      <c r="K337" s="15">
        <f ca="1">_xlfn.NORM.INV(RAND(),AVERAGE(Assumptions!$D$12,Assumptions!$F$12),(Assumptions!$F$12-Assumptions!$D$12)/3.29)*44</f>
        <v>8102970.6809913656</v>
      </c>
      <c r="L337" s="3">
        <f ca="1">_xlfn.NORM.INV(RAND(),AVERAGE(Assumptions!$D$13,Assumptions!$F$13),(Assumptions!$F$13-Assumptions!$D$13)/3.29)*44</f>
        <v>14725501.4000152</v>
      </c>
      <c r="M337" s="6">
        <f ca="1">_xlfn.NORM.INV(RAND(),AVERAGE(Assumptions!$D$14,Assumptions!$F$14),(Assumptions!$F$14-Assumptions!$D$14)/3.29)*44</f>
        <v>7671202.8310112497</v>
      </c>
      <c r="N337" s="9">
        <f ca="1">_xlfn.NORM.INV(RAND(),AVERAGE(Assumptions!$D$16,Assumptions!$F$16),(Assumptions!$F$16-Assumptions!$D$16)/3.29)*44</f>
        <v>4087573.1924555404</v>
      </c>
      <c r="O337" s="12">
        <f ca="1">_xlfn.NORM.INV(RAND(),AVERAGE(Assumptions!$D$15,Assumptions!$F$15),(Assumptions!$F$15-Assumptions!$D$15)/3.29)*44</f>
        <v>107010050.55516972</v>
      </c>
      <c r="P337" s="15">
        <f>Assumptions!$D$18</f>
        <v>14641750.345627395</v>
      </c>
      <c r="Q337" s="3">
        <f t="shared" ca="1" si="10"/>
        <v>51230593.06605801</v>
      </c>
      <c r="R337" s="6">
        <f t="shared" ca="1" si="11"/>
        <v>65872343.411685407</v>
      </c>
    </row>
    <row r="338" spans="1:18">
      <c r="A338" s="20">
        <v>337</v>
      </c>
      <c r="B338" s="3">
        <f ca="1">_xlfn.NORM.INV(RAND(),AVERAGE(Assumptions!$D$4,Assumptions!$F$4),(Assumptions!$F$4-Assumptions!$D$4)/3.29)*44</f>
        <v>1194064.9988438678</v>
      </c>
      <c r="C338" s="6">
        <f ca="1">_xlfn.NORM.INV(RAND(),AVERAGE(Assumptions!$D$5,Assumptions!$F$5),(Assumptions!$F$5-Assumptions!$D$5)/3.29)*44</f>
        <v>1936374.5843586049</v>
      </c>
      <c r="D338" s="9">
        <f ca="1">_xlfn.NORM.INV(RAND(),AVERAGE(Assumptions!$D$6,Assumptions!$F$6),(Assumptions!$F$6-Assumptions!$D$6)/3.29)*RANDBETWEEN(2,5)</f>
        <v>8799372.0770558901</v>
      </c>
      <c r="E338" s="12">
        <f ca="1">_xlfn.NORM.INV(RAND(),AVERAGE(Assumptions!$D$17,Assumptions!$F$17),(Assumptions!$F$17-Assumptions!$D$17)/3.29)*8</f>
        <v>985438.07350898231</v>
      </c>
      <c r="F338" s="15">
        <f ca="1">_xlfn.NORM.INV(RAND(),AVERAGE(Assumptions!$D$7,Assumptions!$F$7),(Assumptions!$F$7-Assumptions!$D$7)/3.29)*RANDBETWEEN(1,3)</f>
        <v>8266130.8575124126</v>
      </c>
      <c r="G338" s="3">
        <f ca="1">_xlfn.NORM.INV(RAND(),AVERAGE(Assumptions!$D$8,Assumptions!$F$8),(Assumptions!$F$8-Assumptions!$D$8)/3.29)*44</f>
        <v>1099770.3272407479</v>
      </c>
      <c r="H338" s="6">
        <f ca="1">_xlfn.NORM.INV(RAND(),AVERAGE(Assumptions!$D$9,Assumptions!$F$9),(Assumptions!$F$9-Assumptions!$D$9)/3.29)*21</f>
        <v>2858562.9154569167</v>
      </c>
      <c r="I338" s="9">
        <f ca="1">_xlfn.NORM.INV(RAND(),AVERAGE(Assumptions!$D$10,Assumptions!$F$10),(Assumptions!$F$10-Assumptions!$D$10)/3.29)*21</f>
        <v>976149.31127274269</v>
      </c>
      <c r="J338" s="12">
        <f ca="1">NORMINV(RAND(),AVERAGE(Assumptions!$D$11,Assumptions!$F$11),(Assumptions!$F$11-Assumptions!$D$11)/3.29)*44</f>
        <v>2113744.1230068356</v>
      </c>
      <c r="K338" s="15">
        <f ca="1">_xlfn.NORM.INV(RAND(),AVERAGE(Assumptions!$D$12,Assumptions!$F$12),(Assumptions!$F$12-Assumptions!$D$12)/3.29)*44</f>
        <v>8474949.9464849588</v>
      </c>
      <c r="L338" s="3">
        <f ca="1">_xlfn.NORM.INV(RAND(),AVERAGE(Assumptions!$D$13,Assumptions!$F$13),(Assumptions!$F$13-Assumptions!$D$13)/3.29)*44</f>
        <v>11046496.491014412</v>
      </c>
      <c r="M338" s="6">
        <f ca="1">_xlfn.NORM.INV(RAND(),AVERAGE(Assumptions!$D$14,Assumptions!$F$14),(Assumptions!$F$14-Assumptions!$D$14)/3.29)*44</f>
        <v>4223991.5739669213</v>
      </c>
      <c r="N338" s="9">
        <f ca="1">_xlfn.NORM.INV(RAND(),AVERAGE(Assumptions!$D$16,Assumptions!$F$16),(Assumptions!$F$16-Assumptions!$D$16)/3.29)*44</f>
        <v>20780233.240010951</v>
      </c>
      <c r="O338" s="12">
        <f ca="1">_xlfn.NORM.INV(RAND(),AVERAGE(Assumptions!$D$15,Assumptions!$F$15),(Assumptions!$F$15-Assumptions!$D$15)/3.29)*44</f>
        <v>92877785.677957118</v>
      </c>
      <c r="P338" s="15">
        <f>Assumptions!$D$18</f>
        <v>14641750.345627395</v>
      </c>
      <c r="Q338" s="3">
        <f t="shared" ca="1" si="10"/>
        <v>20122507.158222884</v>
      </c>
      <c r="R338" s="6">
        <f t="shared" ca="1" si="11"/>
        <v>34764257.503850281</v>
      </c>
    </row>
    <row r="339" spans="1:18">
      <c r="A339" s="20">
        <v>338</v>
      </c>
      <c r="B339" s="3">
        <f ca="1">_xlfn.NORM.INV(RAND(),AVERAGE(Assumptions!$D$4,Assumptions!$F$4),(Assumptions!$F$4-Assumptions!$D$4)/3.29)*44</f>
        <v>1285684.1792980225</v>
      </c>
      <c r="C339" s="6">
        <f ca="1">_xlfn.NORM.INV(RAND(),AVERAGE(Assumptions!$D$5,Assumptions!$F$5),(Assumptions!$F$5-Assumptions!$D$5)/3.29)*44</f>
        <v>1644017.2691402431</v>
      </c>
      <c r="D339" s="9">
        <f ca="1">_xlfn.NORM.INV(RAND(),AVERAGE(Assumptions!$D$6,Assumptions!$F$6),(Assumptions!$F$6-Assumptions!$D$6)/3.29)*RANDBETWEEN(2,5)</f>
        <v>2631172.5472606695</v>
      </c>
      <c r="E339" s="12">
        <f ca="1">_xlfn.NORM.INV(RAND(),AVERAGE(Assumptions!$D$17,Assumptions!$F$17),(Assumptions!$F$17-Assumptions!$D$17)/3.29)*8</f>
        <v>1020140.6127936946</v>
      </c>
      <c r="F339" s="15">
        <f ca="1">_xlfn.NORM.INV(RAND(),AVERAGE(Assumptions!$D$7,Assumptions!$F$7),(Assumptions!$F$7-Assumptions!$D$7)/3.29)*RANDBETWEEN(1,3)</f>
        <v>3444761.358328524</v>
      </c>
      <c r="G339" s="3">
        <f ca="1">_xlfn.NORM.INV(RAND(),AVERAGE(Assumptions!$D$8,Assumptions!$F$8),(Assumptions!$F$8-Assumptions!$D$8)/3.29)*44</f>
        <v>1266990.820822784</v>
      </c>
      <c r="H339" s="6">
        <f ca="1">_xlfn.NORM.INV(RAND(),AVERAGE(Assumptions!$D$9,Assumptions!$F$9),(Assumptions!$F$9-Assumptions!$D$9)/3.29)*21</f>
        <v>4411820.16969347</v>
      </c>
      <c r="I339" s="9">
        <f ca="1">_xlfn.NORM.INV(RAND(),AVERAGE(Assumptions!$D$10,Assumptions!$F$10),(Assumptions!$F$10-Assumptions!$D$10)/3.29)*21</f>
        <v>830500.95191547228</v>
      </c>
      <c r="J339" s="12">
        <f ca="1">NORMINV(RAND(),AVERAGE(Assumptions!$D$11,Assumptions!$F$11),(Assumptions!$F$11-Assumptions!$D$11)/3.29)*44</f>
        <v>2751415.4429399176</v>
      </c>
      <c r="K339" s="15">
        <f ca="1">_xlfn.NORM.INV(RAND(),AVERAGE(Assumptions!$D$12,Assumptions!$F$12),(Assumptions!$F$12-Assumptions!$D$12)/3.29)*44</f>
        <v>6829643.7711653206</v>
      </c>
      <c r="L339" s="3">
        <f ca="1">_xlfn.NORM.INV(RAND(),AVERAGE(Assumptions!$D$13,Assumptions!$F$13),(Assumptions!$F$13-Assumptions!$D$13)/3.29)*44</f>
        <v>14958587.629031233</v>
      </c>
      <c r="M339" s="6">
        <f ca="1">_xlfn.NORM.INV(RAND(),AVERAGE(Assumptions!$D$14,Assumptions!$F$14),(Assumptions!$F$14-Assumptions!$D$14)/3.29)*44</f>
        <v>4893682.1842060676</v>
      </c>
      <c r="N339" s="9">
        <f ca="1">_xlfn.NORM.INV(RAND(),AVERAGE(Assumptions!$D$16,Assumptions!$F$16),(Assumptions!$F$16-Assumptions!$D$16)/3.29)*44</f>
        <v>14589101.47100449</v>
      </c>
      <c r="O339" s="12">
        <f ca="1">_xlfn.NORM.INV(RAND(),AVERAGE(Assumptions!$D$15,Assumptions!$F$15),(Assumptions!$F$15-Assumptions!$D$15)/3.29)*44</f>
        <v>187916566.72666857</v>
      </c>
      <c r="P339" s="15">
        <f>Assumptions!$D$18</f>
        <v>14641750.345627395</v>
      </c>
      <c r="Q339" s="3">
        <f t="shared" ca="1" si="10"/>
        <v>127359048.31906867</v>
      </c>
      <c r="R339" s="6">
        <f t="shared" ca="1" si="11"/>
        <v>142000798.66469607</v>
      </c>
    </row>
    <row r="340" spans="1:18">
      <c r="A340" s="20">
        <v>339</v>
      </c>
      <c r="B340" s="3">
        <f ca="1">_xlfn.NORM.INV(RAND(),AVERAGE(Assumptions!$D$4,Assumptions!$F$4),(Assumptions!$F$4-Assumptions!$D$4)/3.29)*44</f>
        <v>1181923.5750106205</v>
      </c>
      <c r="C340" s="6">
        <f ca="1">_xlfn.NORM.INV(RAND(),AVERAGE(Assumptions!$D$5,Assumptions!$F$5),(Assumptions!$F$5-Assumptions!$D$5)/3.29)*44</f>
        <v>1822180.7937721217</v>
      </c>
      <c r="D340" s="9">
        <f ca="1">_xlfn.NORM.INV(RAND(),AVERAGE(Assumptions!$D$6,Assumptions!$F$6),(Assumptions!$F$6-Assumptions!$D$6)/3.29)*RANDBETWEEN(2,5)</f>
        <v>3158279.317337865</v>
      </c>
      <c r="E340" s="12">
        <f ca="1">_xlfn.NORM.INV(RAND(),AVERAGE(Assumptions!$D$17,Assumptions!$F$17),(Assumptions!$F$17-Assumptions!$D$17)/3.29)*8</f>
        <v>1070383.8727614954</v>
      </c>
      <c r="F340" s="15">
        <f ca="1">_xlfn.NORM.INV(RAND(),AVERAGE(Assumptions!$D$7,Assumptions!$F$7),(Assumptions!$F$7-Assumptions!$D$7)/3.29)*RANDBETWEEN(1,3)</f>
        <v>7910285.3413628852</v>
      </c>
      <c r="G340" s="3">
        <f ca="1">_xlfn.NORM.INV(RAND(),AVERAGE(Assumptions!$D$8,Assumptions!$F$8),(Assumptions!$F$8-Assumptions!$D$8)/3.29)*44</f>
        <v>1009145.7207340141</v>
      </c>
      <c r="H340" s="6">
        <f ca="1">_xlfn.NORM.INV(RAND(),AVERAGE(Assumptions!$D$9,Assumptions!$F$9),(Assumptions!$F$9-Assumptions!$D$9)/3.29)*21</f>
        <v>3932012.5458703637</v>
      </c>
      <c r="I340" s="9">
        <f ca="1">_xlfn.NORM.INV(RAND(),AVERAGE(Assumptions!$D$10,Assumptions!$F$10),(Assumptions!$F$10-Assumptions!$D$10)/3.29)*21</f>
        <v>1309473.5012194272</v>
      </c>
      <c r="J340" s="12">
        <f ca="1">NORMINV(RAND(),AVERAGE(Assumptions!$D$11,Assumptions!$F$11),(Assumptions!$F$11-Assumptions!$D$11)/3.29)*44</f>
        <v>3765616.2374514183</v>
      </c>
      <c r="K340" s="15">
        <f ca="1">_xlfn.NORM.INV(RAND(),AVERAGE(Assumptions!$D$12,Assumptions!$F$12),(Assumptions!$F$12-Assumptions!$D$12)/3.29)*44</f>
        <v>8201765.5058911014</v>
      </c>
      <c r="L340" s="3">
        <f ca="1">_xlfn.NORM.INV(RAND(),AVERAGE(Assumptions!$D$13,Assumptions!$F$13),(Assumptions!$F$13-Assumptions!$D$13)/3.29)*44</f>
        <v>13659163.028087128</v>
      </c>
      <c r="M340" s="6">
        <f ca="1">_xlfn.NORM.INV(RAND(),AVERAGE(Assumptions!$D$14,Assumptions!$F$14),(Assumptions!$F$14-Assumptions!$D$14)/3.29)*44</f>
        <v>5106969.6956843976</v>
      </c>
      <c r="N340" s="9">
        <f ca="1">_xlfn.NORM.INV(RAND(),AVERAGE(Assumptions!$D$16,Assumptions!$F$16),(Assumptions!$F$16-Assumptions!$D$16)/3.29)*44</f>
        <v>12241268.918933418</v>
      </c>
      <c r="O340" s="12">
        <f ca="1">_xlfn.NORM.INV(RAND(),AVERAGE(Assumptions!$D$15,Assumptions!$F$15),(Assumptions!$F$15-Assumptions!$D$15)/3.29)*44</f>
        <v>182225024.05227041</v>
      </c>
      <c r="P340" s="15">
        <f>Assumptions!$D$18</f>
        <v>14641750.345627395</v>
      </c>
      <c r="Q340" s="3">
        <f t="shared" ca="1" si="10"/>
        <v>117856555.99815416</v>
      </c>
      <c r="R340" s="6">
        <f t="shared" ca="1" si="11"/>
        <v>132498306.34378156</v>
      </c>
    </row>
    <row r="341" spans="1:18">
      <c r="A341" s="20">
        <v>340</v>
      </c>
      <c r="B341" s="3">
        <f ca="1">_xlfn.NORM.INV(RAND(),AVERAGE(Assumptions!$D$4,Assumptions!$F$4),(Assumptions!$F$4-Assumptions!$D$4)/3.29)*44</f>
        <v>1271589.2500791003</v>
      </c>
      <c r="C341" s="6">
        <f ca="1">_xlfn.NORM.INV(RAND(),AVERAGE(Assumptions!$D$5,Assumptions!$F$5),(Assumptions!$F$5-Assumptions!$D$5)/3.29)*44</f>
        <v>1582237.1511436137</v>
      </c>
      <c r="D341" s="9">
        <f ca="1">_xlfn.NORM.INV(RAND(),AVERAGE(Assumptions!$D$6,Assumptions!$F$6),(Assumptions!$F$6-Assumptions!$D$6)/3.29)*RANDBETWEEN(2,5)</f>
        <v>7144275.4470124673</v>
      </c>
      <c r="E341" s="12">
        <f ca="1">_xlfn.NORM.INV(RAND(),AVERAGE(Assumptions!$D$17,Assumptions!$F$17),(Assumptions!$F$17-Assumptions!$D$17)/3.29)*8</f>
        <v>764327.33783894812</v>
      </c>
      <c r="F341" s="15">
        <f ca="1">_xlfn.NORM.INV(RAND(),AVERAGE(Assumptions!$D$7,Assumptions!$F$7),(Assumptions!$F$7-Assumptions!$D$7)/3.29)*RANDBETWEEN(1,3)</f>
        <v>7048070.2993778419</v>
      </c>
      <c r="G341" s="3">
        <f ca="1">_xlfn.NORM.INV(RAND(),AVERAGE(Assumptions!$D$8,Assumptions!$F$8),(Assumptions!$F$8-Assumptions!$D$8)/3.29)*44</f>
        <v>1301712.9433218169</v>
      </c>
      <c r="H341" s="6">
        <f ca="1">_xlfn.NORM.INV(RAND(),AVERAGE(Assumptions!$D$9,Assumptions!$F$9),(Assumptions!$F$9-Assumptions!$D$9)/3.29)*21</f>
        <v>3274262.4458470331</v>
      </c>
      <c r="I341" s="9">
        <f ca="1">_xlfn.NORM.INV(RAND(),AVERAGE(Assumptions!$D$10,Assumptions!$F$10),(Assumptions!$F$10-Assumptions!$D$10)/3.29)*21</f>
        <v>965579.33446323453</v>
      </c>
      <c r="J341" s="12">
        <f ca="1">NORMINV(RAND(),AVERAGE(Assumptions!$D$11,Assumptions!$F$11),(Assumptions!$F$11-Assumptions!$D$11)/3.29)*44</f>
        <v>3474888.0679310686</v>
      </c>
      <c r="K341" s="15">
        <f ca="1">_xlfn.NORM.INV(RAND(),AVERAGE(Assumptions!$D$12,Assumptions!$F$12),(Assumptions!$F$12-Assumptions!$D$12)/3.29)*44</f>
        <v>7693349.0528647518</v>
      </c>
      <c r="L341" s="3">
        <f ca="1">_xlfn.NORM.INV(RAND(),AVERAGE(Assumptions!$D$13,Assumptions!$F$13),(Assumptions!$F$13-Assumptions!$D$13)/3.29)*44</f>
        <v>27438943.42739781</v>
      </c>
      <c r="M341" s="6">
        <f ca="1">_xlfn.NORM.INV(RAND(),AVERAGE(Assumptions!$D$14,Assumptions!$F$14),(Assumptions!$F$14-Assumptions!$D$14)/3.29)*44</f>
        <v>6055075.8157337727</v>
      </c>
      <c r="N341" s="9">
        <f ca="1">_xlfn.NORM.INV(RAND(),AVERAGE(Assumptions!$D$16,Assumptions!$F$16),(Assumptions!$F$16-Assumptions!$D$16)/3.29)*44</f>
        <v>14297685.376453701</v>
      </c>
      <c r="O341" s="12">
        <f ca="1">_xlfn.NORM.INV(RAND(),AVERAGE(Assumptions!$D$15,Assumptions!$F$15),(Assumptions!$F$15-Assumptions!$D$15)/3.29)*44</f>
        <v>92166666.776546136</v>
      </c>
      <c r="P341" s="15">
        <f>Assumptions!$D$18</f>
        <v>14641750.345627395</v>
      </c>
      <c r="Q341" s="3">
        <f t="shared" ca="1" si="10"/>
        <v>9854670.8270809799</v>
      </c>
      <c r="R341" s="6">
        <f t="shared" ca="1" si="11"/>
        <v>24496421.172708377</v>
      </c>
    </row>
    <row r="342" spans="1:18">
      <c r="A342" s="20">
        <v>341</v>
      </c>
      <c r="B342" s="3">
        <f ca="1">_xlfn.NORM.INV(RAND(),AVERAGE(Assumptions!$D$4,Assumptions!$F$4),(Assumptions!$F$4-Assumptions!$D$4)/3.29)*44</f>
        <v>1236990.4038945721</v>
      </c>
      <c r="C342" s="6">
        <f ca="1">_xlfn.NORM.INV(RAND(),AVERAGE(Assumptions!$D$5,Assumptions!$F$5),(Assumptions!$F$5-Assumptions!$D$5)/3.29)*44</f>
        <v>1714933.0644668452</v>
      </c>
      <c r="D342" s="9">
        <f ca="1">_xlfn.NORM.INV(RAND(),AVERAGE(Assumptions!$D$6,Assumptions!$F$6),(Assumptions!$F$6-Assumptions!$D$6)/3.29)*RANDBETWEEN(2,5)</f>
        <v>2388800.4000086198</v>
      </c>
      <c r="E342" s="12">
        <f ca="1">_xlfn.NORM.INV(RAND(),AVERAGE(Assumptions!$D$17,Assumptions!$F$17),(Assumptions!$F$17-Assumptions!$D$17)/3.29)*8</f>
        <v>1074480.7035567891</v>
      </c>
      <c r="F342" s="15">
        <f ca="1">_xlfn.NORM.INV(RAND(),AVERAGE(Assumptions!$D$7,Assumptions!$F$7),(Assumptions!$F$7-Assumptions!$D$7)/3.29)*RANDBETWEEN(1,3)</f>
        <v>10281388.495015716</v>
      </c>
      <c r="G342" s="3">
        <f ca="1">_xlfn.NORM.INV(RAND(),AVERAGE(Assumptions!$D$8,Assumptions!$F$8),(Assumptions!$F$8-Assumptions!$D$8)/3.29)*44</f>
        <v>949836.26856605324</v>
      </c>
      <c r="H342" s="6">
        <f ca="1">_xlfn.NORM.INV(RAND(),AVERAGE(Assumptions!$D$9,Assumptions!$F$9),(Assumptions!$F$9-Assumptions!$D$9)/3.29)*21</f>
        <v>4013996.9388289126</v>
      </c>
      <c r="I342" s="9">
        <f ca="1">_xlfn.NORM.INV(RAND(),AVERAGE(Assumptions!$D$10,Assumptions!$F$10),(Assumptions!$F$10-Assumptions!$D$10)/3.29)*21</f>
        <v>740891.47157200868</v>
      </c>
      <c r="J342" s="12">
        <f ca="1">NORMINV(RAND(),AVERAGE(Assumptions!$D$11,Assumptions!$F$11),(Assumptions!$F$11-Assumptions!$D$11)/3.29)*44</f>
        <v>4423209.5107513117</v>
      </c>
      <c r="K342" s="15">
        <f ca="1">_xlfn.NORM.INV(RAND(),AVERAGE(Assumptions!$D$12,Assumptions!$F$12),(Assumptions!$F$12-Assumptions!$D$12)/3.29)*44</f>
        <v>6677104.3224703427</v>
      </c>
      <c r="L342" s="3">
        <f ca="1">_xlfn.NORM.INV(RAND(),AVERAGE(Assumptions!$D$13,Assumptions!$F$13),(Assumptions!$F$13-Assumptions!$D$13)/3.29)*44</f>
        <v>12796958.163530603</v>
      </c>
      <c r="M342" s="6">
        <f ca="1">_xlfn.NORM.INV(RAND(),AVERAGE(Assumptions!$D$14,Assumptions!$F$14),(Assumptions!$F$14-Assumptions!$D$14)/3.29)*44</f>
        <v>4292754.0619697357</v>
      </c>
      <c r="N342" s="9">
        <f ca="1">_xlfn.NORM.INV(RAND(),AVERAGE(Assumptions!$D$16,Assumptions!$F$16),(Assumptions!$F$16-Assumptions!$D$16)/3.29)*44</f>
        <v>16241295.549640736</v>
      </c>
      <c r="O342" s="12">
        <f ca="1">_xlfn.NORM.INV(RAND(),AVERAGE(Assumptions!$D$15,Assumptions!$F$15),(Assumptions!$F$15-Assumptions!$D$15)/3.29)*44</f>
        <v>133911116.93603849</v>
      </c>
      <c r="P342" s="15">
        <f>Assumptions!$D$18</f>
        <v>14641750.345627395</v>
      </c>
      <c r="Q342" s="3">
        <f t="shared" ca="1" si="10"/>
        <v>67078477.581766248</v>
      </c>
      <c r="R342" s="6">
        <f t="shared" ca="1" si="11"/>
        <v>81720227.927393645</v>
      </c>
    </row>
    <row r="343" spans="1:18">
      <c r="A343" s="20">
        <v>342</v>
      </c>
      <c r="B343" s="3">
        <f ca="1">_xlfn.NORM.INV(RAND(),AVERAGE(Assumptions!$D$4,Assumptions!$F$4),(Assumptions!$F$4-Assumptions!$D$4)/3.29)*44</f>
        <v>1224665.2843169298</v>
      </c>
      <c r="C343" s="6">
        <f ca="1">_xlfn.NORM.INV(RAND(),AVERAGE(Assumptions!$D$5,Assumptions!$F$5),(Assumptions!$F$5-Assumptions!$D$5)/3.29)*44</f>
        <v>1920501.6404032786</v>
      </c>
      <c r="D343" s="9">
        <f ca="1">_xlfn.NORM.INV(RAND(),AVERAGE(Assumptions!$D$6,Assumptions!$F$6),(Assumptions!$F$6-Assumptions!$D$6)/3.29)*RANDBETWEEN(2,5)</f>
        <v>2979516.5171552305</v>
      </c>
      <c r="E343" s="12">
        <f ca="1">_xlfn.NORM.INV(RAND(),AVERAGE(Assumptions!$D$17,Assumptions!$F$17),(Assumptions!$F$17-Assumptions!$D$17)/3.29)*8</f>
        <v>866778.82798266527</v>
      </c>
      <c r="F343" s="15">
        <f ca="1">_xlfn.NORM.INV(RAND(),AVERAGE(Assumptions!$D$7,Assumptions!$F$7),(Assumptions!$F$7-Assumptions!$D$7)/3.29)*RANDBETWEEN(1,3)</f>
        <v>3312731.5910994951</v>
      </c>
      <c r="G343" s="3">
        <f ca="1">_xlfn.NORM.INV(RAND(),AVERAGE(Assumptions!$D$8,Assumptions!$F$8),(Assumptions!$F$8-Assumptions!$D$8)/3.29)*44</f>
        <v>1107042.7197863532</v>
      </c>
      <c r="H343" s="6">
        <f ca="1">_xlfn.NORM.INV(RAND(),AVERAGE(Assumptions!$D$9,Assumptions!$F$9),(Assumptions!$F$9-Assumptions!$D$9)/3.29)*21</f>
        <v>3620742.3138293652</v>
      </c>
      <c r="I343" s="9">
        <f ca="1">_xlfn.NORM.INV(RAND(),AVERAGE(Assumptions!$D$10,Assumptions!$F$10),(Assumptions!$F$10-Assumptions!$D$10)/3.29)*21</f>
        <v>1068068.9957417489</v>
      </c>
      <c r="J343" s="12">
        <f ca="1">NORMINV(RAND(),AVERAGE(Assumptions!$D$11,Assumptions!$F$11),(Assumptions!$F$11-Assumptions!$D$11)/3.29)*44</f>
        <v>4264948.9766057152</v>
      </c>
      <c r="K343" s="15">
        <f ca="1">_xlfn.NORM.INV(RAND(),AVERAGE(Assumptions!$D$12,Assumptions!$F$12),(Assumptions!$F$12-Assumptions!$D$12)/3.29)*44</f>
        <v>10524436.359862555</v>
      </c>
      <c r="L343" s="3">
        <f ca="1">_xlfn.NORM.INV(RAND(),AVERAGE(Assumptions!$D$13,Assumptions!$F$13),(Assumptions!$F$13-Assumptions!$D$13)/3.29)*44</f>
        <v>9362511.8402140737</v>
      </c>
      <c r="M343" s="6">
        <f ca="1">_xlfn.NORM.INV(RAND(),AVERAGE(Assumptions!$D$14,Assumptions!$F$14),(Assumptions!$F$14-Assumptions!$D$14)/3.29)*44</f>
        <v>5722207.3830248145</v>
      </c>
      <c r="N343" s="9">
        <f ca="1">_xlfn.NORM.INV(RAND(),AVERAGE(Assumptions!$D$16,Assumptions!$F$16),(Assumptions!$F$16-Assumptions!$D$16)/3.29)*44</f>
        <v>13626619.457496408</v>
      </c>
      <c r="O343" s="12">
        <f ca="1">_xlfn.NORM.INV(RAND(),AVERAGE(Assumptions!$D$15,Assumptions!$F$15),(Assumptions!$F$15-Assumptions!$D$15)/3.29)*44</f>
        <v>182173894.42630482</v>
      </c>
      <c r="P343" s="15">
        <f>Assumptions!$D$18</f>
        <v>14641750.345627395</v>
      </c>
      <c r="Q343" s="3">
        <f t="shared" ca="1" si="10"/>
        <v>122573122.51878619</v>
      </c>
      <c r="R343" s="6">
        <f t="shared" ca="1" si="11"/>
        <v>137214872.86441359</v>
      </c>
    </row>
    <row r="344" spans="1:18">
      <c r="A344" s="20">
        <v>343</v>
      </c>
      <c r="B344" s="3">
        <f ca="1">_xlfn.NORM.INV(RAND(),AVERAGE(Assumptions!$D$4,Assumptions!$F$4),(Assumptions!$F$4-Assumptions!$D$4)/3.29)*44</f>
        <v>1243266.5783624286</v>
      </c>
      <c r="C344" s="6">
        <f ca="1">_xlfn.NORM.INV(RAND(),AVERAGE(Assumptions!$D$5,Assumptions!$F$5),(Assumptions!$F$5-Assumptions!$D$5)/3.29)*44</f>
        <v>1722621.8193977179</v>
      </c>
      <c r="D344" s="9">
        <f ca="1">_xlfn.NORM.INV(RAND(),AVERAGE(Assumptions!$D$6,Assumptions!$F$6),(Assumptions!$F$6-Assumptions!$D$6)/3.29)*RANDBETWEEN(2,5)</f>
        <v>4044928.0991757559</v>
      </c>
      <c r="E344" s="12">
        <f ca="1">_xlfn.NORM.INV(RAND(),AVERAGE(Assumptions!$D$17,Assumptions!$F$17),(Assumptions!$F$17-Assumptions!$D$17)/3.29)*8</f>
        <v>1130105.8866004746</v>
      </c>
      <c r="F344" s="15">
        <f ca="1">_xlfn.NORM.INV(RAND(),AVERAGE(Assumptions!$D$7,Assumptions!$F$7),(Assumptions!$F$7-Assumptions!$D$7)/3.29)*RANDBETWEEN(1,3)</f>
        <v>5332463.8185619684</v>
      </c>
      <c r="G344" s="3">
        <f ca="1">_xlfn.NORM.INV(RAND(),AVERAGE(Assumptions!$D$8,Assumptions!$F$8),(Assumptions!$F$8-Assumptions!$D$8)/3.29)*44</f>
        <v>1204620.5767907384</v>
      </c>
      <c r="H344" s="6">
        <f ca="1">_xlfn.NORM.INV(RAND(),AVERAGE(Assumptions!$D$9,Assumptions!$F$9),(Assumptions!$F$9-Assumptions!$D$9)/3.29)*21</f>
        <v>3905686.2049807776</v>
      </c>
      <c r="I344" s="9">
        <f ca="1">_xlfn.NORM.INV(RAND(),AVERAGE(Assumptions!$D$10,Assumptions!$F$10),(Assumptions!$F$10-Assumptions!$D$10)/3.29)*21</f>
        <v>1338965.9093084098</v>
      </c>
      <c r="J344" s="12">
        <f ca="1">NORMINV(RAND(),AVERAGE(Assumptions!$D$11,Assumptions!$F$11),(Assumptions!$F$11-Assumptions!$D$11)/3.29)*44</f>
        <v>3835887.287414466</v>
      </c>
      <c r="K344" s="15">
        <f ca="1">_xlfn.NORM.INV(RAND(),AVERAGE(Assumptions!$D$12,Assumptions!$F$12),(Assumptions!$F$12-Assumptions!$D$12)/3.29)*44</f>
        <v>8628139.7482856177</v>
      </c>
      <c r="L344" s="3">
        <f ca="1">_xlfn.NORM.INV(RAND(),AVERAGE(Assumptions!$D$13,Assumptions!$F$13),(Assumptions!$F$13-Assumptions!$D$13)/3.29)*44</f>
        <v>9997346.3020044267</v>
      </c>
      <c r="M344" s="6">
        <f ca="1">_xlfn.NORM.INV(RAND(),AVERAGE(Assumptions!$D$14,Assumptions!$F$14),(Assumptions!$F$14-Assumptions!$D$14)/3.29)*44</f>
        <v>4021748.9296392375</v>
      </c>
      <c r="N344" s="9">
        <f ca="1">_xlfn.NORM.INV(RAND(),AVERAGE(Assumptions!$D$16,Assumptions!$F$16),(Assumptions!$F$16-Assumptions!$D$16)/3.29)*44</f>
        <v>8455996.8072062358</v>
      </c>
      <c r="O344" s="12">
        <f ca="1">_xlfn.NORM.INV(RAND(),AVERAGE(Assumptions!$D$15,Assumptions!$F$15),(Assumptions!$F$15-Assumptions!$D$15)/3.29)*44</f>
        <v>148464295.90665388</v>
      </c>
      <c r="P344" s="15">
        <f>Assumptions!$D$18</f>
        <v>14641750.345627395</v>
      </c>
      <c r="Q344" s="3">
        <f t="shared" ca="1" si="10"/>
        <v>93602517.938925624</v>
      </c>
      <c r="R344" s="6">
        <f t="shared" ca="1" si="11"/>
        <v>108244268.28455302</v>
      </c>
    </row>
    <row r="345" spans="1:18">
      <c r="A345" s="20">
        <v>344</v>
      </c>
      <c r="B345" s="3">
        <f ca="1">_xlfn.NORM.INV(RAND(),AVERAGE(Assumptions!$D$4,Assumptions!$F$4),(Assumptions!$F$4-Assumptions!$D$4)/3.29)*44</f>
        <v>1215952.4111526753</v>
      </c>
      <c r="C345" s="6">
        <f ca="1">_xlfn.NORM.INV(RAND(),AVERAGE(Assumptions!$D$5,Assumptions!$F$5),(Assumptions!$F$5-Assumptions!$D$5)/3.29)*44</f>
        <v>1710998.4593280789</v>
      </c>
      <c r="D345" s="9">
        <f ca="1">_xlfn.NORM.INV(RAND(),AVERAGE(Assumptions!$D$6,Assumptions!$F$6),(Assumptions!$F$6-Assumptions!$D$6)/3.29)*RANDBETWEEN(2,5)</f>
        <v>5200089.8043364007</v>
      </c>
      <c r="E345" s="12">
        <f ca="1">_xlfn.NORM.INV(RAND(),AVERAGE(Assumptions!$D$17,Assumptions!$F$17),(Assumptions!$F$17-Assumptions!$D$17)/3.29)*8</f>
        <v>794720.07233533787</v>
      </c>
      <c r="F345" s="15">
        <f ca="1">_xlfn.NORM.INV(RAND(),AVERAGE(Assumptions!$D$7,Assumptions!$F$7),(Assumptions!$F$7-Assumptions!$D$7)/3.29)*RANDBETWEEN(1,3)</f>
        <v>12039680.975201119</v>
      </c>
      <c r="G345" s="3">
        <f ca="1">_xlfn.NORM.INV(RAND(),AVERAGE(Assumptions!$D$8,Assumptions!$F$8),(Assumptions!$F$8-Assumptions!$D$8)/3.29)*44</f>
        <v>1371050.5755620983</v>
      </c>
      <c r="H345" s="6">
        <f ca="1">_xlfn.NORM.INV(RAND(),AVERAGE(Assumptions!$D$9,Assumptions!$F$9),(Assumptions!$F$9-Assumptions!$D$9)/3.29)*21</f>
        <v>3017381.0566474884</v>
      </c>
      <c r="I345" s="9">
        <f ca="1">_xlfn.NORM.INV(RAND(),AVERAGE(Assumptions!$D$10,Assumptions!$F$10),(Assumptions!$F$10-Assumptions!$D$10)/3.29)*21</f>
        <v>1128009.4897471757</v>
      </c>
      <c r="J345" s="12">
        <f ca="1">NORMINV(RAND(),AVERAGE(Assumptions!$D$11,Assumptions!$F$11),(Assumptions!$F$11-Assumptions!$D$11)/3.29)*44</f>
        <v>4203737.0657986831</v>
      </c>
      <c r="K345" s="15">
        <f ca="1">_xlfn.NORM.INV(RAND(),AVERAGE(Assumptions!$D$12,Assumptions!$F$12),(Assumptions!$F$12-Assumptions!$D$12)/3.29)*44</f>
        <v>8559176.5946373418</v>
      </c>
      <c r="L345" s="3">
        <f ca="1">_xlfn.NORM.INV(RAND(),AVERAGE(Assumptions!$D$13,Assumptions!$F$13),(Assumptions!$F$13-Assumptions!$D$13)/3.29)*44</f>
        <v>22029854.129005324</v>
      </c>
      <c r="M345" s="6">
        <f ca="1">_xlfn.NORM.INV(RAND(),AVERAGE(Assumptions!$D$14,Assumptions!$F$14),(Assumptions!$F$14-Assumptions!$D$14)/3.29)*44</f>
        <v>4553956.8548256001</v>
      </c>
      <c r="N345" s="9">
        <f ca="1">_xlfn.NORM.INV(RAND(),AVERAGE(Assumptions!$D$16,Assumptions!$F$16),(Assumptions!$F$16-Assumptions!$D$16)/3.29)*44</f>
        <v>7663233.8023003927</v>
      </c>
      <c r="O345" s="12">
        <f ca="1">_xlfn.NORM.INV(RAND(),AVERAGE(Assumptions!$D$15,Assumptions!$F$15),(Assumptions!$F$15-Assumptions!$D$15)/3.29)*44</f>
        <v>59781775.459298946</v>
      </c>
      <c r="P345" s="15">
        <f>Assumptions!$D$18</f>
        <v>14641750.345627395</v>
      </c>
      <c r="Q345" s="3">
        <f t="shared" ca="1" si="10"/>
        <v>-13706065.831578769</v>
      </c>
      <c r="R345" s="6">
        <f t="shared" ca="1" si="11"/>
        <v>935684.51404862665</v>
      </c>
    </row>
    <row r="346" spans="1:18">
      <c r="A346" s="20">
        <v>345</v>
      </c>
      <c r="B346" s="3">
        <f ca="1">_xlfn.NORM.INV(RAND(),AVERAGE(Assumptions!$D$4,Assumptions!$F$4),(Assumptions!$F$4-Assumptions!$D$4)/3.29)*44</f>
        <v>1172720.4976991189</v>
      </c>
      <c r="C346" s="6">
        <f ca="1">_xlfn.NORM.INV(RAND(),AVERAGE(Assumptions!$D$5,Assumptions!$F$5),(Assumptions!$F$5-Assumptions!$D$5)/3.29)*44</f>
        <v>1805126.7626094259</v>
      </c>
      <c r="D346" s="9">
        <f ca="1">_xlfn.NORM.INV(RAND(),AVERAGE(Assumptions!$D$6,Assumptions!$F$6),(Assumptions!$F$6-Assumptions!$D$6)/3.29)*RANDBETWEEN(2,5)</f>
        <v>4071412.3315461967</v>
      </c>
      <c r="E346" s="12">
        <f ca="1">_xlfn.NORM.INV(RAND(),AVERAGE(Assumptions!$D$17,Assumptions!$F$17),(Assumptions!$F$17-Assumptions!$D$17)/3.29)*8</f>
        <v>1141460.8414509231</v>
      </c>
      <c r="F346" s="15">
        <f ca="1">_xlfn.NORM.INV(RAND(),AVERAGE(Assumptions!$D$7,Assumptions!$F$7),(Assumptions!$F$7-Assumptions!$D$7)/3.29)*RANDBETWEEN(1,3)</f>
        <v>10697741.601222571</v>
      </c>
      <c r="G346" s="3">
        <f ca="1">_xlfn.NORM.INV(RAND(),AVERAGE(Assumptions!$D$8,Assumptions!$F$8),(Assumptions!$F$8-Assumptions!$D$8)/3.29)*44</f>
        <v>867078.16318478505</v>
      </c>
      <c r="H346" s="6">
        <f ca="1">_xlfn.NORM.INV(RAND(),AVERAGE(Assumptions!$D$9,Assumptions!$F$9),(Assumptions!$F$9-Assumptions!$D$9)/3.29)*21</f>
        <v>3118660.866597204</v>
      </c>
      <c r="I346" s="9">
        <f ca="1">_xlfn.NORM.INV(RAND(),AVERAGE(Assumptions!$D$10,Assumptions!$F$10),(Assumptions!$F$10-Assumptions!$D$10)/3.29)*21</f>
        <v>868125.74283023248</v>
      </c>
      <c r="J346" s="12">
        <f ca="1">NORMINV(RAND(),AVERAGE(Assumptions!$D$11,Assumptions!$F$11),(Assumptions!$F$11-Assumptions!$D$11)/3.29)*44</f>
        <v>4630627.3836513655</v>
      </c>
      <c r="K346" s="15">
        <f ca="1">_xlfn.NORM.INV(RAND(),AVERAGE(Assumptions!$D$12,Assumptions!$F$12),(Assumptions!$F$12-Assumptions!$D$12)/3.29)*44</f>
        <v>8451266.6276802253</v>
      </c>
      <c r="L346" s="3">
        <f ca="1">_xlfn.NORM.INV(RAND(),AVERAGE(Assumptions!$D$13,Assumptions!$F$13),(Assumptions!$F$13-Assumptions!$D$13)/3.29)*44</f>
        <v>14925366.563079698</v>
      </c>
      <c r="M346" s="6">
        <f ca="1">_xlfn.NORM.INV(RAND(),AVERAGE(Assumptions!$D$14,Assumptions!$F$14),(Assumptions!$F$14-Assumptions!$D$14)/3.29)*44</f>
        <v>3442021.9662115667</v>
      </c>
      <c r="N346" s="9">
        <f ca="1">_xlfn.NORM.INV(RAND(),AVERAGE(Assumptions!$D$16,Assumptions!$F$16),(Assumptions!$F$16-Assumptions!$D$16)/3.29)*44</f>
        <v>15134585.662679594</v>
      </c>
      <c r="O346" s="12">
        <f ca="1">_xlfn.NORM.INV(RAND(),AVERAGE(Assumptions!$D$15,Assumptions!$F$15),(Assumptions!$F$15-Assumptions!$D$15)/3.29)*44</f>
        <v>55839449.564750493</v>
      </c>
      <c r="P346" s="15">
        <f>Assumptions!$D$18</f>
        <v>14641750.345627395</v>
      </c>
      <c r="Q346" s="3">
        <f t="shared" ca="1" si="10"/>
        <v>-14486745.44569242</v>
      </c>
      <c r="R346" s="6">
        <f t="shared" ca="1" si="11"/>
        <v>155004.89993497543</v>
      </c>
    </row>
    <row r="347" spans="1:18">
      <c r="A347" s="20">
        <v>346</v>
      </c>
      <c r="B347" s="3">
        <f ca="1">_xlfn.NORM.INV(RAND(),AVERAGE(Assumptions!$D$4,Assumptions!$F$4),(Assumptions!$F$4-Assumptions!$D$4)/3.29)*44</f>
        <v>1240250.975934146</v>
      </c>
      <c r="C347" s="6">
        <f ca="1">_xlfn.NORM.INV(RAND(),AVERAGE(Assumptions!$D$5,Assumptions!$F$5),(Assumptions!$F$5-Assumptions!$D$5)/3.29)*44</f>
        <v>1885335.972625847</v>
      </c>
      <c r="D347" s="9">
        <f ca="1">_xlfn.NORM.INV(RAND(),AVERAGE(Assumptions!$D$6,Assumptions!$F$6),(Assumptions!$F$6-Assumptions!$D$6)/3.29)*RANDBETWEEN(2,5)</f>
        <v>1088811.6623005504</v>
      </c>
      <c r="E347" s="12">
        <f ca="1">_xlfn.NORM.INV(RAND(),AVERAGE(Assumptions!$D$17,Assumptions!$F$17),(Assumptions!$F$17-Assumptions!$D$17)/3.29)*8</f>
        <v>752305.85654225247</v>
      </c>
      <c r="F347" s="15">
        <f ca="1">_xlfn.NORM.INV(RAND(),AVERAGE(Assumptions!$D$7,Assumptions!$F$7),(Assumptions!$F$7-Assumptions!$D$7)/3.29)*RANDBETWEEN(1,3)</f>
        <v>8418803.4622433838</v>
      </c>
      <c r="G347" s="3">
        <f ca="1">_xlfn.NORM.INV(RAND(),AVERAGE(Assumptions!$D$8,Assumptions!$F$8),(Assumptions!$F$8-Assumptions!$D$8)/3.29)*44</f>
        <v>1098675.6431914968</v>
      </c>
      <c r="H347" s="6">
        <f ca="1">_xlfn.NORM.INV(RAND(),AVERAGE(Assumptions!$D$9,Assumptions!$F$9),(Assumptions!$F$9-Assumptions!$D$9)/3.29)*21</f>
        <v>2434225.6406223546</v>
      </c>
      <c r="I347" s="9">
        <f ca="1">_xlfn.NORM.INV(RAND(),AVERAGE(Assumptions!$D$10,Assumptions!$F$10),(Assumptions!$F$10-Assumptions!$D$10)/3.29)*21</f>
        <v>772857.82634795271</v>
      </c>
      <c r="J347" s="12">
        <f ca="1">NORMINV(RAND(),AVERAGE(Assumptions!$D$11,Assumptions!$F$11),(Assumptions!$F$11-Assumptions!$D$11)/3.29)*44</f>
        <v>4458730.7358808918</v>
      </c>
      <c r="K347" s="15">
        <f ca="1">_xlfn.NORM.INV(RAND(),AVERAGE(Assumptions!$D$12,Assumptions!$F$12),(Assumptions!$F$12-Assumptions!$D$12)/3.29)*44</f>
        <v>9528276.9269582275</v>
      </c>
      <c r="L347" s="3">
        <f ca="1">_xlfn.NORM.INV(RAND(),AVERAGE(Assumptions!$D$13,Assumptions!$F$13),(Assumptions!$F$13-Assumptions!$D$13)/3.29)*44</f>
        <v>15476448.688414767</v>
      </c>
      <c r="M347" s="6">
        <f ca="1">_xlfn.NORM.INV(RAND(),AVERAGE(Assumptions!$D$14,Assumptions!$F$14),(Assumptions!$F$14-Assumptions!$D$14)/3.29)*44</f>
        <v>8503207.064735407</v>
      </c>
      <c r="N347" s="9">
        <f ca="1">_xlfn.NORM.INV(RAND(),AVERAGE(Assumptions!$D$16,Assumptions!$F$16),(Assumptions!$F$16-Assumptions!$D$16)/3.29)*44</f>
        <v>8676570.7062732745</v>
      </c>
      <c r="O347" s="12">
        <f ca="1">_xlfn.NORM.INV(RAND(),AVERAGE(Assumptions!$D$15,Assumptions!$F$15),(Assumptions!$F$15-Assumptions!$D$15)/3.29)*44</f>
        <v>139735036.84665787</v>
      </c>
      <c r="P347" s="15">
        <f>Assumptions!$D$18</f>
        <v>14641750.345627395</v>
      </c>
      <c r="Q347" s="3">
        <f t="shared" ca="1" si="10"/>
        <v>75400535.68458733</v>
      </c>
      <c r="R347" s="6">
        <f t="shared" ca="1" si="11"/>
        <v>90042286.030214727</v>
      </c>
    </row>
    <row r="348" spans="1:18">
      <c r="A348" s="20">
        <v>347</v>
      </c>
      <c r="B348" s="3">
        <f ca="1">_xlfn.NORM.INV(RAND(),AVERAGE(Assumptions!$D$4,Assumptions!$F$4),(Assumptions!$F$4-Assumptions!$D$4)/3.29)*44</f>
        <v>1283796.9786746516</v>
      </c>
      <c r="C348" s="6">
        <f ca="1">_xlfn.NORM.INV(RAND(),AVERAGE(Assumptions!$D$5,Assumptions!$F$5),(Assumptions!$F$5-Assumptions!$D$5)/3.29)*44</f>
        <v>2001949.4701556368</v>
      </c>
      <c r="D348" s="9">
        <f ca="1">_xlfn.NORM.INV(RAND(),AVERAGE(Assumptions!$D$6,Assumptions!$F$6),(Assumptions!$F$6-Assumptions!$D$6)/3.29)*RANDBETWEEN(2,5)</f>
        <v>8346154.0068275295</v>
      </c>
      <c r="E348" s="12">
        <f ca="1">_xlfn.NORM.INV(RAND(),AVERAGE(Assumptions!$D$17,Assumptions!$F$17),(Assumptions!$F$17-Assumptions!$D$17)/3.29)*8</f>
        <v>728791.03392782458</v>
      </c>
      <c r="F348" s="15">
        <f ca="1">_xlfn.NORM.INV(RAND(),AVERAGE(Assumptions!$D$7,Assumptions!$F$7),(Assumptions!$F$7-Assumptions!$D$7)/3.29)*RANDBETWEEN(1,3)</f>
        <v>2562480.807619154</v>
      </c>
      <c r="G348" s="3">
        <f ca="1">_xlfn.NORM.INV(RAND(),AVERAGE(Assumptions!$D$8,Assumptions!$F$8),(Assumptions!$F$8-Assumptions!$D$8)/3.29)*44</f>
        <v>1278944.4932492441</v>
      </c>
      <c r="H348" s="6">
        <f ca="1">_xlfn.NORM.INV(RAND(),AVERAGE(Assumptions!$D$9,Assumptions!$F$9),(Assumptions!$F$9-Assumptions!$D$9)/3.29)*21</f>
        <v>4063593.6869953736</v>
      </c>
      <c r="I348" s="9">
        <f ca="1">_xlfn.NORM.INV(RAND(),AVERAGE(Assumptions!$D$10,Assumptions!$F$10),(Assumptions!$F$10-Assumptions!$D$10)/3.29)*21</f>
        <v>887448.40540006803</v>
      </c>
      <c r="J348" s="12">
        <f ca="1">NORMINV(RAND(),AVERAGE(Assumptions!$D$11,Assumptions!$F$11),(Assumptions!$F$11-Assumptions!$D$11)/3.29)*44</f>
        <v>1802611.1249402245</v>
      </c>
      <c r="K348" s="15">
        <f ca="1">_xlfn.NORM.INV(RAND(),AVERAGE(Assumptions!$D$12,Assumptions!$F$12),(Assumptions!$F$12-Assumptions!$D$12)/3.29)*44</f>
        <v>8374172.6689059939</v>
      </c>
      <c r="L348" s="3">
        <f ca="1">_xlfn.NORM.INV(RAND(),AVERAGE(Assumptions!$D$13,Assumptions!$F$13),(Assumptions!$F$13-Assumptions!$D$13)/3.29)*44</f>
        <v>14859518.818049358</v>
      </c>
      <c r="M348" s="6">
        <f ca="1">_xlfn.NORM.INV(RAND(),AVERAGE(Assumptions!$D$14,Assumptions!$F$14),(Assumptions!$F$14-Assumptions!$D$14)/3.29)*44</f>
        <v>3955510.5932606817</v>
      </c>
      <c r="N348" s="9">
        <f ca="1">_xlfn.NORM.INV(RAND(),AVERAGE(Assumptions!$D$16,Assumptions!$F$16),(Assumptions!$F$16-Assumptions!$D$16)/3.29)*44</f>
        <v>5274242.1475629564</v>
      </c>
      <c r="O348" s="12">
        <f ca="1">_xlfn.NORM.INV(RAND(),AVERAGE(Assumptions!$D$15,Assumptions!$F$15),(Assumptions!$F$15-Assumptions!$D$15)/3.29)*44</f>
        <v>34263682.425671808</v>
      </c>
      <c r="P348" s="15">
        <f>Assumptions!$D$18</f>
        <v>14641750.345627395</v>
      </c>
      <c r="Q348" s="3">
        <f t="shared" ca="1" si="10"/>
        <v>-21155531.809896894</v>
      </c>
      <c r="R348" s="6">
        <f t="shared" ca="1" si="11"/>
        <v>-6513781.4642694984</v>
      </c>
    </row>
    <row r="349" spans="1:18">
      <c r="A349" s="20">
        <v>348</v>
      </c>
      <c r="B349" s="3">
        <f ca="1">_xlfn.NORM.INV(RAND(),AVERAGE(Assumptions!$D$4,Assumptions!$F$4),(Assumptions!$F$4-Assumptions!$D$4)/3.29)*44</f>
        <v>1236524.343314047</v>
      </c>
      <c r="C349" s="6">
        <f ca="1">_xlfn.NORM.INV(RAND(),AVERAGE(Assumptions!$D$5,Assumptions!$F$5),(Assumptions!$F$5-Assumptions!$D$5)/3.29)*44</f>
        <v>1963823.7957075778</v>
      </c>
      <c r="D349" s="9">
        <f ca="1">_xlfn.NORM.INV(RAND(),AVERAGE(Assumptions!$D$6,Assumptions!$F$6),(Assumptions!$F$6-Assumptions!$D$6)/3.29)*RANDBETWEEN(2,5)</f>
        <v>4065115.0640123812</v>
      </c>
      <c r="E349" s="12">
        <f ca="1">_xlfn.NORM.INV(RAND(),AVERAGE(Assumptions!$D$17,Assumptions!$F$17),(Assumptions!$F$17-Assumptions!$D$17)/3.29)*8</f>
        <v>809860.41885723185</v>
      </c>
      <c r="F349" s="15">
        <f ca="1">_xlfn.NORM.INV(RAND(),AVERAGE(Assumptions!$D$7,Assumptions!$F$7),(Assumptions!$F$7-Assumptions!$D$7)/3.29)*RANDBETWEEN(1,3)</f>
        <v>1947779.1163709844</v>
      </c>
      <c r="G349" s="3">
        <f ca="1">_xlfn.NORM.INV(RAND(),AVERAGE(Assumptions!$D$8,Assumptions!$F$8),(Assumptions!$F$8-Assumptions!$D$8)/3.29)*44</f>
        <v>1025799.7325255247</v>
      </c>
      <c r="H349" s="6">
        <f ca="1">_xlfn.NORM.INV(RAND(),AVERAGE(Assumptions!$D$9,Assumptions!$F$9),(Assumptions!$F$9-Assumptions!$D$9)/3.29)*21</f>
        <v>4449504.1126784487</v>
      </c>
      <c r="I349" s="9">
        <f ca="1">_xlfn.NORM.INV(RAND(),AVERAGE(Assumptions!$D$10,Assumptions!$F$10),(Assumptions!$F$10-Assumptions!$D$10)/3.29)*21</f>
        <v>936728.10563234519</v>
      </c>
      <c r="J349" s="12">
        <f ca="1">NORMINV(RAND(),AVERAGE(Assumptions!$D$11,Assumptions!$F$11),(Assumptions!$F$11-Assumptions!$D$11)/3.29)*44</f>
        <v>3981679.9684481798</v>
      </c>
      <c r="K349" s="15">
        <f ca="1">_xlfn.NORM.INV(RAND(),AVERAGE(Assumptions!$D$12,Assumptions!$F$12),(Assumptions!$F$12-Assumptions!$D$12)/3.29)*44</f>
        <v>10147430.008286489</v>
      </c>
      <c r="L349" s="3">
        <f ca="1">_xlfn.NORM.INV(RAND(),AVERAGE(Assumptions!$D$13,Assumptions!$F$13),(Assumptions!$F$13-Assumptions!$D$13)/3.29)*44</f>
        <v>15474025.059002616</v>
      </c>
      <c r="M349" s="6">
        <f ca="1">_xlfn.NORM.INV(RAND(),AVERAGE(Assumptions!$D$14,Assumptions!$F$14),(Assumptions!$F$14-Assumptions!$D$14)/3.29)*44</f>
        <v>4987413.3823330393</v>
      </c>
      <c r="N349" s="9">
        <f ca="1">_xlfn.NORM.INV(RAND(),AVERAGE(Assumptions!$D$16,Assumptions!$F$16),(Assumptions!$F$16-Assumptions!$D$16)/3.29)*44</f>
        <v>15544749.858666567</v>
      </c>
      <c r="O349" s="12">
        <f ca="1">_xlfn.NORM.INV(RAND(),AVERAGE(Assumptions!$D$15,Assumptions!$F$15),(Assumptions!$F$15-Assumptions!$D$15)/3.29)*44</f>
        <v>82780778.604869992</v>
      </c>
      <c r="P349" s="15">
        <f>Assumptions!$D$18</f>
        <v>14641750.345627395</v>
      </c>
      <c r="Q349" s="3">
        <f t="shared" ca="1" si="10"/>
        <v>16210345.639034554</v>
      </c>
      <c r="R349" s="6">
        <f t="shared" ca="1" si="11"/>
        <v>30852095.984661952</v>
      </c>
    </row>
    <row r="350" spans="1:18">
      <c r="A350" s="20">
        <v>349</v>
      </c>
      <c r="B350" s="3">
        <f ca="1">_xlfn.NORM.INV(RAND(),AVERAGE(Assumptions!$D$4,Assumptions!$F$4),(Assumptions!$F$4-Assumptions!$D$4)/3.29)*44</f>
        <v>1303316.0162147437</v>
      </c>
      <c r="C350" s="6">
        <f ca="1">_xlfn.NORM.INV(RAND(),AVERAGE(Assumptions!$D$5,Assumptions!$F$5),(Assumptions!$F$5-Assumptions!$D$5)/3.29)*44</f>
        <v>1936337.4936428615</v>
      </c>
      <c r="D350" s="9">
        <f ca="1">_xlfn.NORM.INV(RAND(),AVERAGE(Assumptions!$D$6,Assumptions!$F$6),(Assumptions!$F$6-Assumptions!$D$6)/3.29)*RANDBETWEEN(2,5)</f>
        <v>4335568.6435594251</v>
      </c>
      <c r="E350" s="12">
        <f ca="1">_xlfn.NORM.INV(RAND(),AVERAGE(Assumptions!$D$17,Assumptions!$F$17),(Assumptions!$F$17-Assumptions!$D$17)/3.29)*8</f>
        <v>951963.44096821896</v>
      </c>
      <c r="F350" s="15">
        <f ca="1">_xlfn.NORM.INV(RAND(),AVERAGE(Assumptions!$D$7,Assumptions!$F$7),(Assumptions!$F$7-Assumptions!$D$7)/3.29)*RANDBETWEEN(1,3)</f>
        <v>6009493.8169121677</v>
      </c>
      <c r="G350" s="3">
        <f ca="1">_xlfn.NORM.INV(RAND(),AVERAGE(Assumptions!$D$8,Assumptions!$F$8),(Assumptions!$F$8-Assumptions!$D$8)/3.29)*44</f>
        <v>1861294.6686804236</v>
      </c>
      <c r="H350" s="6">
        <f ca="1">_xlfn.NORM.INV(RAND(),AVERAGE(Assumptions!$D$9,Assumptions!$F$9),(Assumptions!$F$9-Assumptions!$D$9)/3.29)*21</f>
        <v>4705056.8141319798</v>
      </c>
      <c r="I350" s="9">
        <f ca="1">_xlfn.NORM.INV(RAND(),AVERAGE(Assumptions!$D$10,Assumptions!$F$10),(Assumptions!$F$10-Assumptions!$D$10)/3.29)*21</f>
        <v>812376.08571857808</v>
      </c>
      <c r="J350" s="12">
        <f ca="1">NORMINV(RAND(),AVERAGE(Assumptions!$D$11,Assumptions!$F$11),(Assumptions!$F$11-Assumptions!$D$11)/3.29)*44</f>
        <v>2931305.1880512112</v>
      </c>
      <c r="K350" s="15">
        <f ca="1">_xlfn.NORM.INV(RAND(),AVERAGE(Assumptions!$D$12,Assumptions!$F$12),(Assumptions!$F$12-Assumptions!$D$12)/3.29)*44</f>
        <v>7579379.4497647826</v>
      </c>
      <c r="L350" s="3">
        <f ca="1">_xlfn.NORM.INV(RAND(),AVERAGE(Assumptions!$D$13,Assumptions!$F$13),(Assumptions!$F$13-Assumptions!$D$13)/3.29)*44</f>
        <v>11712917.113212846</v>
      </c>
      <c r="M350" s="6">
        <f ca="1">_xlfn.NORM.INV(RAND(),AVERAGE(Assumptions!$D$14,Assumptions!$F$14),(Assumptions!$F$14-Assumptions!$D$14)/3.29)*44</f>
        <v>6126304.5094618853</v>
      </c>
      <c r="N350" s="9">
        <f ca="1">_xlfn.NORM.INV(RAND(),AVERAGE(Assumptions!$D$16,Assumptions!$F$16),(Assumptions!$F$16-Assumptions!$D$16)/3.29)*44</f>
        <v>7017409.5617380813</v>
      </c>
      <c r="O350" s="12">
        <f ca="1">_xlfn.NORM.INV(RAND(),AVERAGE(Assumptions!$D$15,Assumptions!$F$15),(Assumptions!$F$15-Assumptions!$D$15)/3.29)*44</f>
        <v>173818679.70527345</v>
      </c>
      <c r="P350" s="15">
        <f>Assumptions!$D$18</f>
        <v>14641750.345627395</v>
      </c>
      <c r="Q350" s="3">
        <f t="shared" ca="1" si="10"/>
        <v>116535956.90321624</v>
      </c>
      <c r="R350" s="6">
        <f t="shared" ca="1" si="11"/>
        <v>131177707.24884364</v>
      </c>
    </row>
    <row r="351" spans="1:18">
      <c r="A351" s="20">
        <v>350</v>
      </c>
      <c r="B351" s="3">
        <f ca="1">_xlfn.NORM.INV(RAND(),AVERAGE(Assumptions!$D$4,Assumptions!$F$4),(Assumptions!$F$4-Assumptions!$D$4)/3.29)*44</f>
        <v>1140727.0547263371</v>
      </c>
      <c r="C351" s="6">
        <f ca="1">_xlfn.NORM.INV(RAND(),AVERAGE(Assumptions!$D$5,Assumptions!$F$5),(Assumptions!$F$5-Assumptions!$D$5)/3.29)*44</f>
        <v>1796302.1628640119</v>
      </c>
      <c r="D351" s="9">
        <f ca="1">_xlfn.NORM.INV(RAND(),AVERAGE(Assumptions!$D$6,Assumptions!$F$6),(Assumptions!$F$6-Assumptions!$D$6)/3.29)*RANDBETWEEN(2,5)</f>
        <v>4930220.817347235</v>
      </c>
      <c r="E351" s="12">
        <f ca="1">_xlfn.NORM.INV(RAND(),AVERAGE(Assumptions!$D$17,Assumptions!$F$17),(Assumptions!$F$17-Assumptions!$D$17)/3.29)*8</f>
        <v>816708.28849629348</v>
      </c>
      <c r="F351" s="15">
        <f ca="1">_xlfn.NORM.INV(RAND(),AVERAGE(Assumptions!$D$7,Assumptions!$F$7),(Assumptions!$F$7-Assumptions!$D$7)/3.29)*RANDBETWEEN(1,3)</f>
        <v>9679407.6385661773</v>
      </c>
      <c r="G351" s="3">
        <f ca="1">_xlfn.NORM.INV(RAND(),AVERAGE(Assumptions!$D$8,Assumptions!$F$8),(Assumptions!$F$8-Assumptions!$D$8)/3.29)*44</f>
        <v>1115558.9347579475</v>
      </c>
      <c r="H351" s="6">
        <f ca="1">_xlfn.NORM.INV(RAND(),AVERAGE(Assumptions!$D$9,Assumptions!$F$9),(Assumptions!$F$9-Assumptions!$D$9)/3.29)*21</f>
        <v>5227031.846519189</v>
      </c>
      <c r="I351" s="9">
        <f ca="1">_xlfn.NORM.INV(RAND(),AVERAGE(Assumptions!$D$10,Assumptions!$F$10),(Assumptions!$F$10-Assumptions!$D$10)/3.29)*21</f>
        <v>687812.88510130241</v>
      </c>
      <c r="J351" s="12">
        <f ca="1">NORMINV(RAND(),AVERAGE(Assumptions!$D$11,Assumptions!$F$11),(Assumptions!$F$11-Assumptions!$D$11)/3.29)*44</f>
        <v>3284807.1550648324</v>
      </c>
      <c r="K351" s="15">
        <f ca="1">_xlfn.NORM.INV(RAND(),AVERAGE(Assumptions!$D$12,Assumptions!$F$12),(Assumptions!$F$12-Assumptions!$D$12)/3.29)*44</f>
        <v>10508016.241517873</v>
      </c>
      <c r="L351" s="3">
        <f ca="1">_xlfn.NORM.INV(RAND(),AVERAGE(Assumptions!$D$13,Assumptions!$F$13),(Assumptions!$F$13-Assumptions!$D$13)/3.29)*44</f>
        <v>17332764.788635362</v>
      </c>
      <c r="M351" s="6">
        <f ca="1">_xlfn.NORM.INV(RAND(),AVERAGE(Assumptions!$D$14,Assumptions!$F$14),(Assumptions!$F$14-Assumptions!$D$14)/3.29)*44</f>
        <v>6164491.7348704804</v>
      </c>
      <c r="N351" s="9">
        <f ca="1">_xlfn.NORM.INV(RAND(),AVERAGE(Assumptions!$D$16,Assumptions!$F$16),(Assumptions!$F$16-Assumptions!$D$16)/3.29)*44</f>
        <v>12442463.632184679</v>
      </c>
      <c r="O351" s="12">
        <f ca="1">_xlfn.NORM.INV(RAND(),AVERAGE(Assumptions!$D$15,Assumptions!$F$15),(Assumptions!$F$15-Assumptions!$D$15)/3.29)*44</f>
        <v>125795775.69512556</v>
      </c>
      <c r="P351" s="15">
        <f>Assumptions!$D$18</f>
        <v>14641750.345627395</v>
      </c>
      <c r="Q351" s="3">
        <f t="shared" ca="1" si="10"/>
        <v>50669462.514473826</v>
      </c>
      <c r="R351" s="6">
        <f t="shared" ca="1" si="11"/>
        <v>65311212.860101223</v>
      </c>
    </row>
    <row r="352" spans="1:18">
      <c r="A352" s="20">
        <v>351</v>
      </c>
      <c r="B352" s="3">
        <f ca="1">_xlfn.NORM.INV(RAND(),AVERAGE(Assumptions!$D$4,Assumptions!$F$4),(Assumptions!$F$4-Assumptions!$D$4)/3.29)*44</f>
        <v>1175587.2082985011</v>
      </c>
      <c r="C352" s="6">
        <f ca="1">_xlfn.NORM.INV(RAND(),AVERAGE(Assumptions!$D$5,Assumptions!$F$5),(Assumptions!$F$5-Assumptions!$D$5)/3.29)*44</f>
        <v>1947126.7718522395</v>
      </c>
      <c r="D352" s="9">
        <f ca="1">_xlfn.NORM.INV(RAND(),AVERAGE(Assumptions!$D$6,Assumptions!$F$6),(Assumptions!$F$6-Assumptions!$D$6)/3.29)*RANDBETWEEN(2,5)</f>
        <v>4213916.8440721482</v>
      </c>
      <c r="E352" s="12">
        <f ca="1">_xlfn.NORM.INV(RAND(),AVERAGE(Assumptions!$D$17,Assumptions!$F$17),(Assumptions!$F$17-Assumptions!$D$17)/3.29)*8</f>
        <v>1138841.4536022672</v>
      </c>
      <c r="F352" s="15">
        <f ca="1">_xlfn.NORM.INV(RAND(),AVERAGE(Assumptions!$D$7,Assumptions!$F$7),(Assumptions!$F$7-Assumptions!$D$7)/3.29)*RANDBETWEEN(1,3)</f>
        <v>4730548.5944293709</v>
      </c>
      <c r="G352" s="3">
        <f ca="1">_xlfn.NORM.INV(RAND(),AVERAGE(Assumptions!$D$8,Assumptions!$F$8),(Assumptions!$F$8-Assumptions!$D$8)/3.29)*44</f>
        <v>1149627.6945236411</v>
      </c>
      <c r="H352" s="6">
        <f ca="1">_xlfn.NORM.INV(RAND(),AVERAGE(Assumptions!$D$9,Assumptions!$F$9),(Assumptions!$F$9-Assumptions!$D$9)/3.29)*21</f>
        <v>4877019.4749460891</v>
      </c>
      <c r="I352" s="9">
        <f ca="1">_xlfn.NORM.INV(RAND(),AVERAGE(Assumptions!$D$10,Assumptions!$F$10),(Assumptions!$F$10-Assumptions!$D$10)/3.29)*21</f>
        <v>1130621.5229304265</v>
      </c>
      <c r="J352" s="12">
        <f ca="1">NORMINV(RAND(),AVERAGE(Assumptions!$D$11,Assumptions!$F$11),(Assumptions!$F$11-Assumptions!$D$11)/3.29)*44</f>
        <v>5409968.8932716735</v>
      </c>
      <c r="K352" s="15">
        <f ca="1">_xlfn.NORM.INV(RAND(),AVERAGE(Assumptions!$D$12,Assumptions!$F$12),(Assumptions!$F$12-Assumptions!$D$12)/3.29)*44</f>
        <v>11129927.193277543</v>
      </c>
      <c r="L352" s="3">
        <f ca="1">_xlfn.NORM.INV(RAND(),AVERAGE(Assumptions!$D$13,Assumptions!$F$13),(Assumptions!$F$13-Assumptions!$D$13)/3.29)*44</f>
        <v>7980180.2817890132</v>
      </c>
      <c r="M352" s="6">
        <f ca="1">_xlfn.NORM.INV(RAND(),AVERAGE(Assumptions!$D$14,Assumptions!$F$14),(Assumptions!$F$14-Assumptions!$D$14)/3.29)*44</f>
        <v>4913055.8627632903</v>
      </c>
      <c r="N352" s="9">
        <f ca="1">_xlfn.NORM.INV(RAND(),AVERAGE(Assumptions!$D$16,Assumptions!$F$16),(Assumptions!$F$16-Assumptions!$D$16)/3.29)*44</f>
        <v>9468851.1313418169</v>
      </c>
      <c r="O352" s="12">
        <f ca="1">_xlfn.NORM.INV(RAND(),AVERAGE(Assumptions!$D$15,Assumptions!$F$15),(Assumptions!$F$15-Assumptions!$D$15)/3.29)*44</f>
        <v>101905497.7585354</v>
      </c>
      <c r="P352" s="15">
        <f>Assumptions!$D$18</f>
        <v>14641750.345627395</v>
      </c>
      <c r="Q352" s="3">
        <f t="shared" ca="1" si="10"/>
        <v>42640224.831437379</v>
      </c>
      <c r="R352" s="6">
        <f t="shared" ca="1" si="11"/>
        <v>57281975.177064776</v>
      </c>
    </row>
    <row r="353" spans="1:18">
      <c r="A353" s="20">
        <v>352</v>
      </c>
      <c r="B353" s="3">
        <f ca="1">_xlfn.NORM.INV(RAND(),AVERAGE(Assumptions!$D$4,Assumptions!$F$4),(Assumptions!$F$4-Assumptions!$D$4)/3.29)*44</f>
        <v>1212365.5148031188</v>
      </c>
      <c r="C353" s="6">
        <f ca="1">_xlfn.NORM.INV(RAND(),AVERAGE(Assumptions!$D$5,Assumptions!$F$5),(Assumptions!$F$5-Assumptions!$D$5)/3.29)*44</f>
        <v>1731743.2911275022</v>
      </c>
      <c r="D353" s="9">
        <f ca="1">_xlfn.NORM.INV(RAND(),AVERAGE(Assumptions!$D$6,Assumptions!$F$6),(Assumptions!$F$6-Assumptions!$D$6)/3.29)*RANDBETWEEN(2,5)</f>
        <v>2771622.2979708049</v>
      </c>
      <c r="E353" s="12">
        <f ca="1">_xlfn.NORM.INV(RAND(),AVERAGE(Assumptions!$D$17,Assumptions!$F$17),(Assumptions!$F$17-Assumptions!$D$17)/3.29)*8</f>
        <v>926698.45839786215</v>
      </c>
      <c r="F353" s="15">
        <f ca="1">_xlfn.NORM.INV(RAND(),AVERAGE(Assumptions!$D$7,Assumptions!$F$7),(Assumptions!$F$7-Assumptions!$D$7)/3.29)*RANDBETWEEN(1,3)</f>
        <v>5491978.1608453924</v>
      </c>
      <c r="G353" s="3">
        <f ca="1">_xlfn.NORM.INV(RAND(),AVERAGE(Assumptions!$D$8,Assumptions!$F$8),(Assumptions!$F$8-Assumptions!$D$8)/3.29)*44</f>
        <v>1199412.0631843349</v>
      </c>
      <c r="H353" s="6">
        <f ca="1">_xlfn.NORM.INV(RAND(),AVERAGE(Assumptions!$D$9,Assumptions!$F$9),(Assumptions!$F$9-Assumptions!$D$9)/3.29)*21</f>
        <v>2926707.3034723746</v>
      </c>
      <c r="I353" s="9">
        <f ca="1">_xlfn.NORM.INV(RAND(),AVERAGE(Assumptions!$D$10,Assumptions!$F$10),(Assumptions!$F$10-Assumptions!$D$10)/3.29)*21</f>
        <v>954497.00664197153</v>
      </c>
      <c r="J353" s="12">
        <f ca="1">NORMINV(RAND(),AVERAGE(Assumptions!$D$11,Assumptions!$F$11),(Assumptions!$F$11-Assumptions!$D$11)/3.29)*44</f>
        <v>2336260.6438004933</v>
      </c>
      <c r="K353" s="15">
        <f ca="1">_xlfn.NORM.INV(RAND(),AVERAGE(Assumptions!$D$12,Assumptions!$F$12),(Assumptions!$F$12-Assumptions!$D$12)/3.29)*44</f>
        <v>8212615.6900991304</v>
      </c>
      <c r="L353" s="3">
        <f ca="1">_xlfn.NORM.INV(RAND(),AVERAGE(Assumptions!$D$13,Assumptions!$F$13),(Assumptions!$F$13-Assumptions!$D$13)/3.29)*44</f>
        <v>16587482.027653877</v>
      </c>
      <c r="M353" s="6">
        <f ca="1">_xlfn.NORM.INV(RAND(),AVERAGE(Assumptions!$D$14,Assumptions!$F$14),(Assumptions!$F$14-Assumptions!$D$14)/3.29)*44</f>
        <v>8043740.4419793254</v>
      </c>
      <c r="N353" s="9">
        <f ca="1">_xlfn.NORM.INV(RAND(),AVERAGE(Assumptions!$D$16,Assumptions!$F$16),(Assumptions!$F$16-Assumptions!$D$16)/3.29)*44</f>
        <v>12313503.251849499</v>
      </c>
      <c r="O353" s="12">
        <f ca="1">_xlfn.NORM.INV(RAND(),AVERAGE(Assumptions!$D$15,Assumptions!$F$15),(Assumptions!$F$15-Assumptions!$D$15)/3.29)*44</f>
        <v>-33908606.850981742</v>
      </c>
      <c r="P353" s="15">
        <f>Assumptions!$D$18</f>
        <v>14641750.345627395</v>
      </c>
      <c r="Q353" s="3">
        <f t="shared" ca="1" si="10"/>
        <v>-98617233.002807438</v>
      </c>
      <c r="R353" s="6">
        <f t="shared" ca="1" si="11"/>
        <v>-83975482.657180041</v>
      </c>
    </row>
    <row r="354" spans="1:18">
      <c r="A354" s="20">
        <v>353</v>
      </c>
      <c r="B354" s="3">
        <f ca="1">_xlfn.NORM.INV(RAND(),AVERAGE(Assumptions!$D$4,Assumptions!$F$4),(Assumptions!$F$4-Assumptions!$D$4)/3.29)*44</f>
        <v>1199664.3803172878</v>
      </c>
      <c r="C354" s="6">
        <f ca="1">_xlfn.NORM.INV(RAND(),AVERAGE(Assumptions!$D$5,Assumptions!$F$5),(Assumptions!$F$5-Assumptions!$D$5)/3.29)*44</f>
        <v>1595293.6338391842</v>
      </c>
      <c r="D354" s="9">
        <f ca="1">_xlfn.NORM.INV(RAND(),AVERAGE(Assumptions!$D$6,Assumptions!$F$6),(Assumptions!$F$6-Assumptions!$D$6)/3.29)*RANDBETWEEN(2,5)</f>
        <v>6417033.6224699514</v>
      </c>
      <c r="E354" s="12">
        <f ca="1">_xlfn.NORM.INV(RAND(),AVERAGE(Assumptions!$D$17,Assumptions!$F$17),(Assumptions!$F$17-Assumptions!$D$17)/3.29)*8</f>
        <v>909803.27233411069</v>
      </c>
      <c r="F354" s="15">
        <f ca="1">_xlfn.NORM.INV(RAND(),AVERAGE(Assumptions!$D$7,Assumptions!$F$7),(Assumptions!$F$7-Assumptions!$D$7)/3.29)*RANDBETWEEN(1,3)</f>
        <v>8960144.5856652204</v>
      </c>
      <c r="G354" s="3">
        <f ca="1">_xlfn.NORM.INV(RAND(),AVERAGE(Assumptions!$D$8,Assumptions!$F$8),(Assumptions!$F$8-Assumptions!$D$8)/3.29)*44</f>
        <v>850974.39487840713</v>
      </c>
      <c r="H354" s="6">
        <f ca="1">_xlfn.NORM.INV(RAND(),AVERAGE(Assumptions!$D$9,Assumptions!$F$9),(Assumptions!$F$9-Assumptions!$D$9)/3.29)*21</f>
        <v>3710360.2423692341</v>
      </c>
      <c r="I354" s="9">
        <f ca="1">_xlfn.NORM.INV(RAND(),AVERAGE(Assumptions!$D$10,Assumptions!$F$10),(Assumptions!$F$10-Assumptions!$D$10)/3.29)*21</f>
        <v>745800.41848729993</v>
      </c>
      <c r="J354" s="12">
        <f ca="1">NORMINV(RAND(),AVERAGE(Assumptions!$D$11,Assumptions!$F$11),(Assumptions!$F$11-Assumptions!$D$11)/3.29)*44</f>
        <v>3857126.7180834543</v>
      </c>
      <c r="K354" s="15">
        <f ca="1">_xlfn.NORM.INV(RAND(),AVERAGE(Assumptions!$D$12,Assumptions!$F$12),(Assumptions!$F$12-Assumptions!$D$12)/3.29)*44</f>
        <v>9810535.9795937818</v>
      </c>
      <c r="L354" s="3">
        <f ca="1">_xlfn.NORM.INV(RAND(),AVERAGE(Assumptions!$D$13,Assumptions!$F$13),(Assumptions!$F$13-Assumptions!$D$13)/3.29)*44</f>
        <v>4981590.3058129027</v>
      </c>
      <c r="M354" s="6">
        <f ca="1">_xlfn.NORM.INV(RAND(),AVERAGE(Assumptions!$D$14,Assumptions!$F$14),(Assumptions!$F$14-Assumptions!$D$14)/3.29)*44</f>
        <v>7336119.6279407628</v>
      </c>
      <c r="N354" s="9">
        <f ca="1">_xlfn.NORM.INV(RAND(),AVERAGE(Assumptions!$D$16,Assumptions!$F$16),(Assumptions!$F$16-Assumptions!$D$16)/3.29)*44</f>
        <v>16349946.741603695</v>
      </c>
      <c r="O354" s="12">
        <f ca="1">_xlfn.NORM.INV(RAND(),AVERAGE(Assumptions!$D$15,Assumptions!$F$15),(Assumptions!$F$15-Assumptions!$D$15)/3.29)*44</f>
        <v>110436626.86526594</v>
      </c>
      <c r="P354" s="15">
        <f>Assumptions!$D$18</f>
        <v>14641750.345627395</v>
      </c>
      <c r="Q354" s="3">
        <f t="shared" ca="1" si="10"/>
        <v>43712232.941870637</v>
      </c>
      <c r="R354" s="6">
        <f t="shared" ca="1" si="11"/>
        <v>58353983.287498035</v>
      </c>
    </row>
    <row r="355" spans="1:18">
      <c r="A355" s="20">
        <v>354</v>
      </c>
      <c r="B355" s="3">
        <f ca="1">_xlfn.NORM.INV(RAND(),AVERAGE(Assumptions!$D$4,Assumptions!$F$4),(Assumptions!$F$4-Assumptions!$D$4)/3.29)*44</f>
        <v>1239381.6656156413</v>
      </c>
      <c r="C355" s="6">
        <f ca="1">_xlfn.NORM.INV(RAND(),AVERAGE(Assumptions!$D$5,Assumptions!$F$5),(Assumptions!$F$5-Assumptions!$D$5)/3.29)*44</f>
        <v>1607117.9119755698</v>
      </c>
      <c r="D355" s="9">
        <f ca="1">_xlfn.NORM.INV(RAND(),AVERAGE(Assumptions!$D$6,Assumptions!$F$6),(Assumptions!$F$6-Assumptions!$D$6)/3.29)*RANDBETWEEN(2,5)</f>
        <v>1882203.8620983763</v>
      </c>
      <c r="E355" s="12">
        <f ca="1">_xlfn.NORM.INV(RAND(),AVERAGE(Assumptions!$D$17,Assumptions!$F$17),(Assumptions!$F$17-Assumptions!$D$17)/3.29)*8</f>
        <v>1219524.2385885434</v>
      </c>
      <c r="F355" s="15">
        <f ca="1">_xlfn.NORM.INV(RAND(),AVERAGE(Assumptions!$D$7,Assumptions!$F$7),(Assumptions!$F$7-Assumptions!$D$7)/3.29)*RANDBETWEEN(1,3)</f>
        <v>5308716.9876497053</v>
      </c>
      <c r="G355" s="3">
        <f ca="1">_xlfn.NORM.INV(RAND(),AVERAGE(Assumptions!$D$8,Assumptions!$F$8),(Assumptions!$F$8-Assumptions!$D$8)/3.29)*44</f>
        <v>1280184.7956757802</v>
      </c>
      <c r="H355" s="6">
        <f ca="1">_xlfn.NORM.INV(RAND(),AVERAGE(Assumptions!$D$9,Assumptions!$F$9),(Assumptions!$F$9-Assumptions!$D$9)/3.29)*21</f>
        <v>4779527.9009052888</v>
      </c>
      <c r="I355" s="9">
        <f ca="1">_xlfn.NORM.INV(RAND(),AVERAGE(Assumptions!$D$10,Assumptions!$F$10),(Assumptions!$F$10-Assumptions!$D$10)/3.29)*21</f>
        <v>1042790.8188513911</v>
      </c>
      <c r="J355" s="12">
        <f ca="1">NORMINV(RAND(),AVERAGE(Assumptions!$D$11,Assumptions!$F$11),(Assumptions!$F$11-Assumptions!$D$11)/3.29)*44</f>
        <v>2504775.8760480541</v>
      </c>
      <c r="K355" s="15">
        <f ca="1">_xlfn.NORM.INV(RAND(),AVERAGE(Assumptions!$D$12,Assumptions!$F$12),(Assumptions!$F$12-Assumptions!$D$12)/3.29)*44</f>
        <v>8722500.7881830651</v>
      </c>
      <c r="L355" s="3">
        <f ca="1">_xlfn.NORM.INV(RAND(),AVERAGE(Assumptions!$D$13,Assumptions!$F$13),(Assumptions!$F$13-Assumptions!$D$13)/3.29)*44</f>
        <v>17083588.840523202</v>
      </c>
      <c r="M355" s="6">
        <f ca="1">_xlfn.NORM.INV(RAND(),AVERAGE(Assumptions!$D$14,Assumptions!$F$14),(Assumptions!$F$14-Assumptions!$D$14)/3.29)*44</f>
        <v>7081481.0842099153</v>
      </c>
      <c r="N355" s="9">
        <f ca="1">_xlfn.NORM.INV(RAND(),AVERAGE(Assumptions!$D$16,Assumptions!$F$16),(Assumptions!$F$16-Assumptions!$D$16)/3.29)*44</f>
        <v>15006438.885684039</v>
      </c>
      <c r="O355" s="12">
        <f ca="1">_xlfn.NORM.INV(RAND(),AVERAGE(Assumptions!$D$15,Assumptions!$F$15),(Assumptions!$F$15-Assumptions!$D$15)/3.29)*44</f>
        <v>140602208.21773887</v>
      </c>
      <c r="P355" s="15">
        <f>Assumptions!$D$18</f>
        <v>14641750.345627395</v>
      </c>
      <c r="Q355" s="3">
        <f t="shared" ca="1" si="10"/>
        <v>71843974.561730281</v>
      </c>
      <c r="R355" s="6">
        <f t="shared" ca="1" si="11"/>
        <v>86485724.907357678</v>
      </c>
    </row>
    <row r="356" spans="1:18">
      <c r="A356" s="20">
        <v>355</v>
      </c>
      <c r="B356" s="3">
        <f ca="1">_xlfn.NORM.INV(RAND(),AVERAGE(Assumptions!$D$4,Assumptions!$F$4),(Assumptions!$F$4-Assumptions!$D$4)/3.29)*44</f>
        <v>1194597.6920413945</v>
      </c>
      <c r="C356" s="6">
        <f ca="1">_xlfn.NORM.INV(RAND(),AVERAGE(Assumptions!$D$5,Assumptions!$F$5),(Assumptions!$F$5-Assumptions!$D$5)/3.29)*44</f>
        <v>1921094.5180061429</v>
      </c>
      <c r="D356" s="9">
        <f ca="1">_xlfn.NORM.INV(RAND(),AVERAGE(Assumptions!$D$6,Assumptions!$F$6),(Assumptions!$F$6-Assumptions!$D$6)/3.29)*RANDBETWEEN(2,5)</f>
        <v>3359304.1092857672</v>
      </c>
      <c r="E356" s="12">
        <f ca="1">_xlfn.NORM.INV(RAND(),AVERAGE(Assumptions!$D$17,Assumptions!$F$17),(Assumptions!$F$17-Assumptions!$D$17)/3.29)*8</f>
        <v>777614.12261250336</v>
      </c>
      <c r="F356" s="15">
        <f ca="1">_xlfn.NORM.INV(RAND(),AVERAGE(Assumptions!$D$7,Assumptions!$F$7),(Assumptions!$F$7-Assumptions!$D$7)/3.29)*RANDBETWEEN(1,3)</f>
        <v>3065439.3761550714</v>
      </c>
      <c r="G356" s="3">
        <f ca="1">_xlfn.NORM.INV(RAND(),AVERAGE(Assumptions!$D$8,Assumptions!$F$8),(Assumptions!$F$8-Assumptions!$D$8)/3.29)*44</f>
        <v>1142793.1213720962</v>
      </c>
      <c r="H356" s="6">
        <f ca="1">_xlfn.NORM.INV(RAND(),AVERAGE(Assumptions!$D$9,Assumptions!$F$9),(Assumptions!$F$9-Assumptions!$D$9)/3.29)*21</f>
        <v>5373605.429227964</v>
      </c>
      <c r="I356" s="9">
        <f ca="1">_xlfn.NORM.INV(RAND(),AVERAGE(Assumptions!$D$10,Assumptions!$F$10),(Assumptions!$F$10-Assumptions!$D$10)/3.29)*21</f>
        <v>1030399.8646410141</v>
      </c>
      <c r="J356" s="12">
        <f ca="1">NORMINV(RAND(),AVERAGE(Assumptions!$D$11,Assumptions!$F$11),(Assumptions!$F$11-Assumptions!$D$11)/3.29)*44</f>
        <v>4889674.9253463428</v>
      </c>
      <c r="K356" s="15">
        <f ca="1">_xlfn.NORM.INV(RAND(),AVERAGE(Assumptions!$D$12,Assumptions!$F$12),(Assumptions!$F$12-Assumptions!$D$12)/3.29)*44</f>
        <v>10572773.671708517</v>
      </c>
      <c r="L356" s="3">
        <f ca="1">_xlfn.NORM.INV(RAND(),AVERAGE(Assumptions!$D$13,Assumptions!$F$13),(Assumptions!$F$13-Assumptions!$D$13)/3.29)*44</f>
        <v>14522178.697224291</v>
      </c>
      <c r="M356" s="6">
        <f ca="1">_xlfn.NORM.INV(RAND(),AVERAGE(Assumptions!$D$14,Assumptions!$F$14),(Assumptions!$F$14-Assumptions!$D$14)/3.29)*44</f>
        <v>7236328.8230437739</v>
      </c>
      <c r="N356" s="9">
        <f ca="1">_xlfn.NORM.INV(RAND(),AVERAGE(Assumptions!$D$16,Assumptions!$F$16),(Assumptions!$F$16-Assumptions!$D$16)/3.29)*44</f>
        <v>15700585.818632035</v>
      </c>
      <c r="O356" s="12">
        <f ca="1">_xlfn.NORM.INV(RAND(),AVERAGE(Assumptions!$D$15,Assumptions!$F$15),(Assumptions!$F$15-Assumptions!$D$15)/3.29)*44</f>
        <v>110206072.60508871</v>
      </c>
      <c r="P356" s="15">
        <f>Assumptions!$D$18</f>
        <v>14641750.345627395</v>
      </c>
      <c r="Q356" s="3">
        <f t="shared" ca="1" si="10"/>
        <v>39419682.435791805</v>
      </c>
      <c r="R356" s="6">
        <f t="shared" ca="1" si="11"/>
        <v>54061432.781419203</v>
      </c>
    </row>
    <row r="357" spans="1:18">
      <c r="A357" s="20">
        <v>356</v>
      </c>
      <c r="B357" s="3">
        <f ca="1">_xlfn.NORM.INV(RAND(),AVERAGE(Assumptions!$D$4,Assumptions!$F$4),(Assumptions!$F$4-Assumptions!$D$4)/3.29)*44</f>
        <v>1226991.4484739206</v>
      </c>
      <c r="C357" s="6">
        <f ca="1">_xlfn.NORM.INV(RAND(),AVERAGE(Assumptions!$D$5,Assumptions!$F$5),(Assumptions!$F$5-Assumptions!$D$5)/3.29)*44</f>
        <v>1620185.4730542153</v>
      </c>
      <c r="D357" s="9">
        <f ca="1">_xlfn.NORM.INV(RAND(),AVERAGE(Assumptions!$D$6,Assumptions!$F$6),(Assumptions!$F$6-Assumptions!$D$6)/3.29)*RANDBETWEEN(2,5)</f>
        <v>6891486.7720842417</v>
      </c>
      <c r="E357" s="12">
        <f ca="1">_xlfn.NORM.INV(RAND(),AVERAGE(Assumptions!$D$17,Assumptions!$F$17),(Assumptions!$F$17-Assumptions!$D$17)/3.29)*8</f>
        <v>902213.54516734858</v>
      </c>
      <c r="F357" s="15">
        <f ca="1">_xlfn.NORM.INV(RAND(),AVERAGE(Assumptions!$D$7,Assumptions!$F$7),(Assumptions!$F$7-Assumptions!$D$7)/3.29)*RANDBETWEEN(1,3)</f>
        <v>7835478.1828001495</v>
      </c>
      <c r="G357" s="3">
        <f ca="1">_xlfn.NORM.INV(RAND(),AVERAGE(Assumptions!$D$8,Assumptions!$F$8),(Assumptions!$F$8-Assumptions!$D$8)/3.29)*44</f>
        <v>930963.01267740305</v>
      </c>
      <c r="H357" s="6">
        <f ca="1">_xlfn.NORM.INV(RAND(),AVERAGE(Assumptions!$D$9,Assumptions!$F$9),(Assumptions!$F$9-Assumptions!$D$9)/3.29)*21</f>
        <v>4281063.2267171349</v>
      </c>
      <c r="I357" s="9">
        <f ca="1">_xlfn.NORM.INV(RAND(),AVERAGE(Assumptions!$D$10,Assumptions!$F$10),(Assumptions!$F$10-Assumptions!$D$10)/3.29)*21</f>
        <v>735004.90811667615</v>
      </c>
      <c r="J357" s="12">
        <f ca="1">NORMINV(RAND(),AVERAGE(Assumptions!$D$11,Assumptions!$F$11),(Assumptions!$F$11-Assumptions!$D$11)/3.29)*44</f>
        <v>1995493.529194406</v>
      </c>
      <c r="K357" s="15">
        <f ca="1">_xlfn.NORM.INV(RAND(),AVERAGE(Assumptions!$D$12,Assumptions!$F$12),(Assumptions!$F$12-Assumptions!$D$12)/3.29)*44</f>
        <v>9284436.0532656033</v>
      </c>
      <c r="L357" s="3">
        <f ca="1">_xlfn.NORM.INV(RAND(),AVERAGE(Assumptions!$D$13,Assumptions!$F$13),(Assumptions!$F$13-Assumptions!$D$13)/3.29)*44</f>
        <v>13308026.460429858</v>
      </c>
      <c r="M357" s="6">
        <f ca="1">_xlfn.NORM.INV(RAND(),AVERAGE(Assumptions!$D$14,Assumptions!$F$14),(Assumptions!$F$14-Assumptions!$D$14)/3.29)*44</f>
        <v>5552152.045700633</v>
      </c>
      <c r="N357" s="9">
        <f ca="1">_xlfn.NORM.INV(RAND(),AVERAGE(Assumptions!$D$16,Assumptions!$F$16),(Assumptions!$F$16-Assumptions!$D$16)/3.29)*44</f>
        <v>6355143.8944659792</v>
      </c>
      <c r="O357" s="12">
        <f ca="1">_xlfn.NORM.INV(RAND(),AVERAGE(Assumptions!$D$15,Assumptions!$F$15),(Assumptions!$F$15-Assumptions!$D$15)/3.29)*44</f>
        <v>125787551.70751213</v>
      </c>
      <c r="P357" s="15">
        <f>Assumptions!$D$18</f>
        <v>14641750.345627395</v>
      </c>
      <c r="Q357" s="3">
        <f t="shared" ca="1" si="10"/>
        <v>64868913.155364566</v>
      </c>
      <c r="R357" s="6">
        <f t="shared" ca="1" si="11"/>
        <v>79510663.500991955</v>
      </c>
    </row>
    <row r="358" spans="1:18">
      <c r="A358" s="20">
        <v>357</v>
      </c>
      <c r="B358" s="3">
        <f ca="1">_xlfn.NORM.INV(RAND(),AVERAGE(Assumptions!$D$4,Assumptions!$F$4),(Assumptions!$F$4-Assumptions!$D$4)/3.29)*44</f>
        <v>1278519.5971189272</v>
      </c>
      <c r="C358" s="6">
        <f ca="1">_xlfn.NORM.INV(RAND(),AVERAGE(Assumptions!$D$5,Assumptions!$F$5),(Assumptions!$F$5-Assumptions!$D$5)/3.29)*44</f>
        <v>1937117.6986086653</v>
      </c>
      <c r="D358" s="9">
        <f ca="1">_xlfn.NORM.INV(RAND(),AVERAGE(Assumptions!$D$6,Assumptions!$F$6),(Assumptions!$F$6-Assumptions!$D$6)/3.29)*RANDBETWEEN(2,5)</f>
        <v>2120217.6562776109</v>
      </c>
      <c r="E358" s="12">
        <f ca="1">_xlfn.NORM.INV(RAND(),AVERAGE(Assumptions!$D$17,Assumptions!$F$17),(Assumptions!$F$17-Assumptions!$D$17)/3.29)*8</f>
        <v>983649.80701569072</v>
      </c>
      <c r="F358" s="15">
        <f ca="1">_xlfn.NORM.INV(RAND(),AVERAGE(Assumptions!$D$7,Assumptions!$F$7),(Assumptions!$F$7-Assumptions!$D$7)/3.29)*RANDBETWEEN(1,3)</f>
        <v>10476280.193596642</v>
      </c>
      <c r="G358" s="3">
        <f ca="1">_xlfn.NORM.INV(RAND(),AVERAGE(Assumptions!$D$8,Assumptions!$F$8),(Assumptions!$F$8-Assumptions!$D$8)/3.29)*44</f>
        <v>1007383.7666664398</v>
      </c>
      <c r="H358" s="6">
        <f ca="1">_xlfn.NORM.INV(RAND(),AVERAGE(Assumptions!$D$9,Assumptions!$F$9),(Assumptions!$F$9-Assumptions!$D$9)/3.29)*21</f>
        <v>5402261.2576336237</v>
      </c>
      <c r="I358" s="9">
        <f ca="1">_xlfn.NORM.INV(RAND(),AVERAGE(Assumptions!$D$10,Assumptions!$F$10),(Assumptions!$F$10-Assumptions!$D$10)/3.29)*21</f>
        <v>901452.86635162286</v>
      </c>
      <c r="J358" s="12">
        <f ca="1">NORMINV(RAND(),AVERAGE(Assumptions!$D$11,Assumptions!$F$11),(Assumptions!$F$11-Assumptions!$D$11)/3.29)*44</f>
        <v>1347645.8021778367</v>
      </c>
      <c r="K358" s="15">
        <f ca="1">_xlfn.NORM.INV(RAND(),AVERAGE(Assumptions!$D$12,Assumptions!$F$12),(Assumptions!$F$12-Assumptions!$D$12)/3.29)*44</f>
        <v>7058657.9554852834</v>
      </c>
      <c r="L358" s="3">
        <f ca="1">_xlfn.NORM.INV(RAND(),AVERAGE(Assumptions!$D$13,Assumptions!$F$13),(Assumptions!$F$13-Assumptions!$D$13)/3.29)*44</f>
        <v>17274309.247016132</v>
      </c>
      <c r="M358" s="6">
        <f ca="1">_xlfn.NORM.INV(RAND(),AVERAGE(Assumptions!$D$14,Assumptions!$F$14),(Assumptions!$F$14-Assumptions!$D$14)/3.29)*44</f>
        <v>7572078.5634615794</v>
      </c>
      <c r="N358" s="9">
        <f ca="1">_xlfn.NORM.INV(RAND(),AVERAGE(Assumptions!$D$16,Assumptions!$F$16),(Assumptions!$F$16-Assumptions!$D$16)/3.29)*44</f>
        <v>12155483.419132451</v>
      </c>
      <c r="O358" s="12">
        <f ca="1">_xlfn.NORM.INV(RAND(),AVERAGE(Assumptions!$D$15,Assumptions!$F$15),(Assumptions!$F$15-Assumptions!$D$15)/3.29)*44</f>
        <v>128194313.31110819</v>
      </c>
      <c r="P358" s="15">
        <f>Assumptions!$D$18</f>
        <v>14641750.345627395</v>
      </c>
      <c r="Q358" s="3">
        <f t="shared" ca="1" si="10"/>
        <v>58679255.480565682</v>
      </c>
      <c r="R358" s="6">
        <f t="shared" ca="1" si="11"/>
        <v>73321005.826193079</v>
      </c>
    </row>
    <row r="359" spans="1:18">
      <c r="A359" s="20">
        <v>358</v>
      </c>
      <c r="B359" s="3">
        <f ca="1">_xlfn.NORM.INV(RAND(),AVERAGE(Assumptions!$D$4,Assumptions!$F$4),(Assumptions!$F$4-Assumptions!$D$4)/3.29)*44</f>
        <v>1232742.714833932</v>
      </c>
      <c r="C359" s="6">
        <f ca="1">_xlfn.NORM.INV(RAND(),AVERAGE(Assumptions!$D$5,Assumptions!$F$5),(Assumptions!$F$5-Assumptions!$D$5)/3.29)*44</f>
        <v>1954587.4171899436</v>
      </c>
      <c r="D359" s="9">
        <f ca="1">_xlfn.NORM.INV(RAND(),AVERAGE(Assumptions!$D$6,Assumptions!$F$6),(Assumptions!$F$6-Assumptions!$D$6)/3.29)*RANDBETWEEN(2,5)</f>
        <v>2138387.2640661504</v>
      </c>
      <c r="E359" s="12">
        <f ca="1">_xlfn.NORM.INV(RAND(),AVERAGE(Assumptions!$D$17,Assumptions!$F$17),(Assumptions!$F$17-Assumptions!$D$17)/3.29)*8</f>
        <v>1173822.9246041516</v>
      </c>
      <c r="F359" s="15">
        <f ca="1">_xlfn.NORM.INV(RAND(),AVERAGE(Assumptions!$D$7,Assumptions!$F$7),(Assumptions!$F$7-Assumptions!$D$7)/3.29)*RANDBETWEEN(1,3)</f>
        <v>11470208.607194645</v>
      </c>
      <c r="G359" s="3">
        <f ca="1">_xlfn.NORM.INV(RAND(),AVERAGE(Assumptions!$D$8,Assumptions!$F$8),(Assumptions!$F$8-Assumptions!$D$8)/3.29)*44</f>
        <v>1558869.8169915497</v>
      </c>
      <c r="H359" s="6">
        <f ca="1">_xlfn.NORM.INV(RAND(),AVERAGE(Assumptions!$D$9,Assumptions!$F$9),(Assumptions!$F$9-Assumptions!$D$9)/3.29)*21</f>
        <v>3549795.2884781817</v>
      </c>
      <c r="I359" s="9">
        <f ca="1">_xlfn.NORM.INV(RAND(),AVERAGE(Assumptions!$D$10,Assumptions!$F$10),(Assumptions!$F$10-Assumptions!$D$10)/3.29)*21</f>
        <v>1030499.1718311987</v>
      </c>
      <c r="J359" s="12">
        <f ca="1">NORMINV(RAND(),AVERAGE(Assumptions!$D$11,Assumptions!$F$11),(Assumptions!$F$11-Assumptions!$D$11)/3.29)*44</f>
        <v>4104037.6440158798</v>
      </c>
      <c r="K359" s="15">
        <f ca="1">_xlfn.NORM.INV(RAND(),AVERAGE(Assumptions!$D$12,Assumptions!$F$12),(Assumptions!$F$12-Assumptions!$D$12)/3.29)*44</f>
        <v>10520278.704145085</v>
      </c>
      <c r="L359" s="3">
        <f ca="1">_xlfn.NORM.INV(RAND(),AVERAGE(Assumptions!$D$13,Assumptions!$F$13),(Assumptions!$F$13-Assumptions!$D$13)/3.29)*44</f>
        <v>10070392.665877813</v>
      </c>
      <c r="M359" s="6">
        <f ca="1">_xlfn.NORM.INV(RAND(),AVERAGE(Assumptions!$D$14,Assumptions!$F$14),(Assumptions!$F$14-Assumptions!$D$14)/3.29)*44</f>
        <v>7237983.1282668058</v>
      </c>
      <c r="N359" s="9">
        <f ca="1">_xlfn.NORM.INV(RAND(),AVERAGE(Assumptions!$D$16,Assumptions!$F$16),(Assumptions!$F$16-Assumptions!$D$16)/3.29)*44</f>
        <v>12995519.503669567</v>
      </c>
      <c r="O359" s="12">
        <f ca="1">_xlfn.NORM.INV(RAND(),AVERAGE(Assumptions!$D$15,Assumptions!$F$15),(Assumptions!$F$15-Assumptions!$D$15)/3.29)*44</f>
        <v>44260309.060368434</v>
      </c>
      <c r="P359" s="15">
        <f>Assumptions!$D$18</f>
        <v>14641750.345627395</v>
      </c>
      <c r="Q359" s="3">
        <f t="shared" ca="1" si="10"/>
        <v>-24776815.790796459</v>
      </c>
      <c r="R359" s="6">
        <f t="shared" ca="1" si="11"/>
        <v>-10135065.445169063</v>
      </c>
    </row>
    <row r="360" spans="1:18">
      <c r="A360" s="20">
        <v>359</v>
      </c>
      <c r="B360" s="3">
        <f ca="1">_xlfn.NORM.INV(RAND(),AVERAGE(Assumptions!$D$4,Assumptions!$F$4),(Assumptions!$F$4-Assumptions!$D$4)/3.29)*44</f>
        <v>1260349.233905596</v>
      </c>
      <c r="C360" s="6">
        <f ca="1">_xlfn.NORM.INV(RAND(),AVERAGE(Assumptions!$D$5,Assumptions!$F$5),(Assumptions!$F$5-Assumptions!$D$5)/3.29)*44</f>
        <v>1690735.3001336169</v>
      </c>
      <c r="D360" s="9">
        <f ca="1">_xlfn.NORM.INV(RAND(),AVERAGE(Assumptions!$D$6,Assumptions!$F$6),(Assumptions!$F$6-Assumptions!$D$6)/3.29)*RANDBETWEEN(2,5)</f>
        <v>6327448.6915307147</v>
      </c>
      <c r="E360" s="12">
        <f ca="1">_xlfn.NORM.INV(RAND(),AVERAGE(Assumptions!$D$17,Assumptions!$F$17),(Assumptions!$F$17-Assumptions!$D$17)/3.29)*8</f>
        <v>948794.10375403229</v>
      </c>
      <c r="F360" s="15">
        <f ca="1">_xlfn.NORM.INV(RAND(),AVERAGE(Assumptions!$D$7,Assumptions!$F$7),(Assumptions!$F$7-Assumptions!$D$7)/3.29)*RANDBETWEEN(1,3)</f>
        <v>8990520.7693783734</v>
      </c>
      <c r="G360" s="3">
        <f ca="1">_xlfn.NORM.INV(RAND(),AVERAGE(Assumptions!$D$8,Assumptions!$F$8),(Assumptions!$F$8-Assumptions!$D$8)/3.29)*44</f>
        <v>1344262.2754295752</v>
      </c>
      <c r="H360" s="6">
        <f ca="1">_xlfn.NORM.INV(RAND(),AVERAGE(Assumptions!$D$9,Assumptions!$F$9),(Assumptions!$F$9-Assumptions!$D$9)/3.29)*21</f>
        <v>2061806.5009475574</v>
      </c>
      <c r="I360" s="9">
        <f ca="1">_xlfn.NORM.INV(RAND(),AVERAGE(Assumptions!$D$10,Assumptions!$F$10),(Assumptions!$F$10-Assumptions!$D$10)/3.29)*21</f>
        <v>670542.87604530645</v>
      </c>
      <c r="J360" s="12">
        <f ca="1">NORMINV(RAND(),AVERAGE(Assumptions!$D$11,Assumptions!$F$11),(Assumptions!$F$11-Assumptions!$D$11)/3.29)*44</f>
        <v>2689220.3990378734</v>
      </c>
      <c r="K360" s="15">
        <f ca="1">_xlfn.NORM.INV(RAND(),AVERAGE(Assumptions!$D$12,Assumptions!$F$12),(Assumptions!$F$12-Assumptions!$D$12)/3.29)*44</f>
        <v>6829320.7300678547</v>
      </c>
      <c r="L360" s="3">
        <f ca="1">_xlfn.NORM.INV(RAND(),AVERAGE(Assumptions!$D$13,Assumptions!$F$13),(Assumptions!$F$13-Assumptions!$D$13)/3.29)*44</f>
        <v>6673790.7608932937</v>
      </c>
      <c r="M360" s="6">
        <f ca="1">_xlfn.NORM.INV(RAND(),AVERAGE(Assumptions!$D$14,Assumptions!$F$14),(Assumptions!$F$14-Assumptions!$D$14)/3.29)*44</f>
        <v>5214413.1021410907</v>
      </c>
      <c r="N360" s="9">
        <f ca="1">_xlfn.NORM.INV(RAND(),AVERAGE(Assumptions!$D$16,Assumptions!$F$16),(Assumptions!$F$16-Assumptions!$D$16)/3.29)*44</f>
        <v>10876328.951356005</v>
      </c>
      <c r="O360" s="12">
        <f ca="1">_xlfn.NORM.INV(RAND(),AVERAGE(Assumptions!$D$15,Assumptions!$F$15),(Assumptions!$F$15-Assumptions!$D$15)/3.29)*44</f>
        <v>87223212.724709928</v>
      </c>
      <c r="P360" s="15">
        <f>Assumptions!$D$18</f>
        <v>14641750.345627395</v>
      </c>
      <c r="Q360" s="3">
        <f t="shared" ca="1" si="10"/>
        <v>31645679.030089036</v>
      </c>
      <c r="R360" s="6">
        <f t="shared" ca="1" si="11"/>
        <v>46287429.375716433</v>
      </c>
    </row>
    <row r="361" spans="1:18">
      <c r="A361" s="20">
        <v>360</v>
      </c>
      <c r="B361" s="3">
        <f ca="1">_xlfn.NORM.INV(RAND(),AVERAGE(Assumptions!$D$4,Assumptions!$F$4),(Assumptions!$F$4-Assumptions!$D$4)/3.29)*44</f>
        <v>1219558.6627942002</v>
      </c>
      <c r="C361" s="6">
        <f ca="1">_xlfn.NORM.INV(RAND(),AVERAGE(Assumptions!$D$5,Assumptions!$F$5),(Assumptions!$F$5-Assumptions!$D$5)/3.29)*44</f>
        <v>1855239.2115967581</v>
      </c>
      <c r="D361" s="9">
        <f ca="1">_xlfn.NORM.INV(RAND(),AVERAGE(Assumptions!$D$6,Assumptions!$F$6),(Assumptions!$F$6-Assumptions!$D$6)/3.29)*RANDBETWEEN(2,5)</f>
        <v>4022397.5100268601</v>
      </c>
      <c r="E361" s="12">
        <f ca="1">_xlfn.NORM.INV(RAND(),AVERAGE(Assumptions!$D$17,Assumptions!$F$17),(Assumptions!$F$17-Assumptions!$D$17)/3.29)*8</f>
        <v>1000541.3624553158</v>
      </c>
      <c r="F361" s="15">
        <f ca="1">_xlfn.NORM.INV(RAND(),AVERAGE(Assumptions!$D$7,Assumptions!$F$7),(Assumptions!$F$7-Assumptions!$D$7)/3.29)*RANDBETWEEN(1,3)</f>
        <v>4355182.1886757649</v>
      </c>
      <c r="G361" s="3">
        <f ca="1">_xlfn.NORM.INV(RAND(),AVERAGE(Assumptions!$D$8,Assumptions!$F$8),(Assumptions!$F$8-Assumptions!$D$8)/3.29)*44</f>
        <v>1509843.0824076587</v>
      </c>
      <c r="H361" s="6">
        <f ca="1">_xlfn.NORM.INV(RAND(),AVERAGE(Assumptions!$D$9,Assumptions!$F$9),(Assumptions!$F$9-Assumptions!$D$9)/3.29)*21</f>
        <v>4308578.2799635828</v>
      </c>
      <c r="I361" s="9">
        <f ca="1">_xlfn.NORM.INV(RAND(),AVERAGE(Assumptions!$D$10,Assumptions!$F$10),(Assumptions!$F$10-Assumptions!$D$10)/3.29)*21</f>
        <v>928124.58461107523</v>
      </c>
      <c r="J361" s="12">
        <f ca="1">NORMINV(RAND(),AVERAGE(Assumptions!$D$11,Assumptions!$F$11),(Assumptions!$F$11-Assumptions!$D$11)/3.29)*44</f>
        <v>2956957.5481808223</v>
      </c>
      <c r="K361" s="15">
        <f ca="1">_xlfn.NORM.INV(RAND(),AVERAGE(Assumptions!$D$12,Assumptions!$F$12),(Assumptions!$F$12-Assumptions!$D$12)/3.29)*44</f>
        <v>7072685.2267718948</v>
      </c>
      <c r="L361" s="3">
        <f ca="1">_xlfn.NORM.INV(RAND(),AVERAGE(Assumptions!$D$13,Assumptions!$F$13),(Assumptions!$F$13-Assumptions!$D$13)/3.29)*44</f>
        <v>14745958.833656354</v>
      </c>
      <c r="M361" s="6">
        <f ca="1">_xlfn.NORM.INV(RAND(),AVERAGE(Assumptions!$D$14,Assumptions!$F$14),(Assumptions!$F$14-Assumptions!$D$14)/3.29)*44</f>
        <v>7154405.0580550069</v>
      </c>
      <c r="N361" s="9">
        <f ca="1">_xlfn.NORM.INV(RAND(),AVERAGE(Assumptions!$D$16,Assumptions!$F$16),(Assumptions!$F$16-Assumptions!$D$16)/3.29)*44</f>
        <v>9665164.6736835651</v>
      </c>
      <c r="O361" s="12">
        <f ca="1">_xlfn.NORM.INV(RAND(),AVERAGE(Assumptions!$D$15,Assumptions!$F$15),(Assumptions!$F$15-Assumptions!$D$15)/3.29)*44</f>
        <v>-1119646.3600406554</v>
      </c>
      <c r="P361" s="15">
        <f>Assumptions!$D$18</f>
        <v>14641750.345627395</v>
      </c>
      <c r="Q361" s="3">
        <f t="shared" ca="1" si="10"/>
        <v>-61914282.582919523</v>
      </c>
      <c r="R361" s="6">
        <f t="shared" ca="1" si="11"/>
        <v>-47272532.237292126</v>
      </c>
    </row>
    <row r="362" spans="1:18">
      <c r="A362" s="20">
        <v>361</v>
      </c>
      <c r="B362" s="3">
        <f ca="1">_xlfn.NORM.INV(RAND(),AVERAGE(Assumptions!$D$4,Assumptions!$F$4),(Assumptions!$F$4-Assumptions!$D$4)/3.29)*44</f>
        <v>1121642.3606861664</v>
      </c>
      <c r="C362" s="6">
        <f ca="1">_xlfn.NORM.INV(RAND(),AVERAGE(Assumptions!$D$5,Assumptions!$F$5),(Assumptions!$F$5-Assumptions!$D$5)/3.29)*44</f>
        <v>1993535.0778747953</v>
      </c>
      <c r="D362" s="9">
        <f ca="1">_xlfn.NORM.INV(RAND(),AVERAGE(Assumptions!$D$6,Assumptions!$F$6),(Assumptions!$F$6-Assumptions!$D$6)/3.29)*RANDBETWEEN(2,5)</f>
        <v>2033568.4003617726</v>
      </c>
      <c r="E362" s="12">
        <f ca="1">_xlfn.NORM.INV(RAND(),AVERAGE(Assumptions!$D$17,Assumptions!$F$17),(Assumptions!$F$17-Assumptions!$D$17)/3.29)*8</f>
        <v>844115.31772751873</v>
      </c>
      <c r="F362" s="15">
        <f ca="1">_xlfn.NORM.INV(RAND(),AVERAGE(Assumptions!$D$7,Assumptions!$F$7),(Assumptions!$F$7-Assumptions!$D$7)/3.29)*RANDBETWEEN(1,3)</f>
        <v>9942872.2620915696</v>
      </c>
      <c r="G362" s="3">
        <f ca="1">_xlfn.NORM.INV(RAND(),AVERAGE(Assumptions!$D$8,Assumptions!$F$8),(Assumptions!$F$8-Assumptions!$D$8)/3.29)*44</f>
        <v>1200957.3776028298</v>
      </c>
      <c r="H362" s="6">
        <f ca="1">_xlfn.NORM.INV(RAND(),AVERAGE(Assumptions!$D$9,Assumptions!$F$9),(Assumptions!$F$9-Assumptions!$D$9)/3.29)*21</f>
        <v>1396897.8717483371</v>
      </c>
      <c r="I362" s="9">
        <f ca="1">_xlfn.NORM.INV(RAND(),AVERAGE(Assumptions!$D$10,Assumptions!$F$10),(Assumptions!$F$10-Assumptions!$D$10)/3.29)*21</f>
        <v>1082314.4490899353</v>
      </c>
      <c r="J362" s="12">
        <f ca="1">NORMINV(RAND(),AVERAGE(Assumptions!$D$11,Assumptions!$F$11),(Assumptions!$F$11-Assumptions!$D$11)/3.29)*44</f>
        <v>4697129.2272071997</v>
      </c>
      <c r="K362" s="15">
        <f ca="1">_xlfn.NORM.INV(RAND(),AVERAGE(Assumptions!$D$12,Assumptions!$F$12),(Assumptions!$F$12-Assumptions!$D$12)/3.29)*44</f>
        <v>7625921.8698308319</v>
      </c>
      <c r="L362" s="3">
        <f ca="1">_xlfn.NORM.INV(RAND(),AVERAGE(Assumptions!$D$13,Assumptions!$F$13),(Assumptions!$F$13-Assumptions!$D$13)/3.29)*44</f>
        <v>13396305.077072959</v>
      </c>
      <c r="M362" s="6">
        <f ca="1">_xlfn.NORM.INV(RAND(),AVERAGE(Assumptions!$D$14,Assumptions!$F$14),(Assumptions!$F$14-Assumptions!$D$14)/3.29)*44</f>
        <v>5381994.718612019</v>
      </c>
      <c r="N362" s="9">
        <f ca="1">_xlfn.NORM.INV(RAND(),AVERAGE(Assumptions!$D$16,Assumptions!$F$16),(Assumptions!$F$16-Assumptions!$D$16)/3.29)*44</f>
        <v>11098740.255282562</v>
      </c>
      <c r="O362" s="12">
        <f ca="1">_xlfn.NORM.INV(RAND(),AVERAGE(Assumptions!$D$15,Assumptions!$F$15),(Assumptions!$F$15-Assumptions!$D$15)/3.29)*44</f>
        <v>106944463.47531484</v>
      </c>
      <c r="P362" s="15">
        <f>Assumptions!$D$18</f>
        <v>14641750.345627395</v>
      </c>
      <c r="Q362" s="3">
        <f t="shared" ca="1" si="10"/>
        <v>45128469.21012634</v>
      </c>
      <c r="R362" s="6">
        <f t="shared" ca="1" si="11"/>
        <v>59770219.555753738</v>
      </c>
    </row>
    <row r="363" spans="1:18">
      <c r="A363" s="20">
        <v>362</v>
      </c>
      <c r="B363" s="3">
        <f ca="1">_xlfn.NORM.INV(RAND(),AVERAGE(Assumptions!$D$4,Assumptions!$F$4),(Assumptions!$F$4-Assumptions!$D$4)/3.29)*44</f>
        <v>1192790.7392949399</v>
      </c>
      <c r="C363" s="6">
        <f ca="1">_xlfn.NORM.INV(RAND(),AVERAGE(Assumptions!$D$5,Assumptions!$F$5),(Assumptions!$F$5-Assumptions!$D$5)/3.29)*44</f>
        <v>1844050.4064834395</v>
      </c>
      <c r="D363" s="9">
        <f ca="1">_xlfn.NORM.INV(RAND(),AVERAGE(Assumptions!$D$6,Assumptions!$F$6),(Assumptions!$F$6-Assumptions!$D$6)/3.29)*RANDBETWEEN(2,5)</f>
        <v>1919064.7537846048</v>
      </c>
      <c r="E363" s="12">
        <f ca="1">_xlfn.NORM.INV(RAND(),AVERAGE(Assumptions!$D$17,Assumptions!$F$17),(Assumptions!$F$17-Assumptions!$D$17)/3.29)*8</f>
        <v>935698.62304993765</v>
      </c>
      <c r="F363" s="15">
        <f ca="1">_xlfn.NORM.INV(RAND(),AVERAGE(Assumptions!$D$7,Assumptions!$F$7),(Assumptions!$F$7-Assumptions!$D$7)/3.29)*RANDBETWEEN(1,3)</f>
        <v>2614372.5721451561</v>
      </c>
      <c r="G363" s="3">
        <f ca="1">_xlfn.NORM.INV(RAND(),AVERAGE(Assumptions!$D$8,Assumptions!$F$8),(Assumptions!$F$8-Assumptions!$D$8)/3.29)*44</f>
        <v>1530492.8692908413</v>
      </c>
      <c r="H363" s="6">
        <f ca="1">_xlfn.NORM.INV(RAND(),AVERAGE(Assumptions!$D$9,Assumptions!$F$9),(Assumptions!$F$9-Assumptions!$D$9)/3.29)*21</f>
        <v>5028902.3235245058</v>
      </c>
      <c r="I363" s="9">
        <f ca="1">_xlfn.NORM.INV(RAND(),AVERAGE(Assumptions!$D$10,Assumptions!$F$10),(Assumptions!$F$10-Assumptions!$D$10)/3.29)*21</f>
        <v>551654.87244138541</v>
      </c>
      <c r="J363" s="12">
        <f ca="1">NORMINV(RAND(),AVERAGE(Assumptions!$D$11,Assumptions!$F$11),(Assumptions!$F$11-Assumptions!$D$11)/3.29)*44</f>
        <v>2919775.3624490811</v>
      </c>
      <c r="K363" s="15">
        <f ca="1">_xlfn.NORM.INV(RAND(),AVERAGE(Assumptions!$D$12,Assumptions!$F$12),(Assumptions!$F$12-Assumptions!$D$12)/3.29)*44</f>
        <v>7106904.8127601901</v>
      </c>
      <c r="L363" s="3">
        <f ca="1">_xlfn.NORM.INV(RAND(),AVERAGE(Assumptions!$D$13,Assumptions!$F$13),(Assumptions!$F$13-Assumptions!$D$13)/3.29)*44</f>
        <v>14359959.200755402</v>
      </c>
      <c r="M363" s="6">
        <f ca="1">_xlfn.NORM.INV(RAND(),AVERAGE(Assumptions!$D$14,Assumptions!$F$14),(Assumptions!$F$14-Assumptions!$D$14)/3.29)*44</f>
        <v>8313539.5857787598</v>
      </c>
      <c r="N363" s="9">
        <f ca="1">_xlfn.NORM.INV(RAND(),AVERAGE(Assumptions!$D$16,Assumptions!$F$16),(Assumptions!$F$16-Assumptions!$D$16)/3.29)*44</f>
        <v>8972666.2175407019</v>
      </c>
      <c r="O363" s="12">
        <f ca="1">_xlfn.NORM.INV(RAND(),AVERAGE(Assumptions!$D$15,Assumptions!$F$15),(Assumptions!$F$15-Assumptions!$D$15)/3.29)*44</f>
        <v>102551100.81399454</v>
      </c>
      <c r="P363" s="15">
        <f>Assumptions!$D$18</f>
        <v>14641750.345627395</v>
      </c>
      <c r="Q363" s="3">
        <f t="shared" ca="1" si="10"/>
        <v>45261228.474695593</v>
      </c>
      <c r="R363" s="6">
        <f t="shared" ca="1" si="11"/>
        <v>59902978.82032299</v>
      </c>
    </row>
    <row r="364" spans="1:18">
      <c r="A364" s="20">
        <v>363</v>
      </c>
      <c r="B364" s="3">
        <f ca="1">_xlfn.NORM.INV(RAND(),AVERAGE(Assumptions!$D$4,Assumptions!$F$4),(Assumptions!$F$4-Assumptions!$D$4)/3.29)*44</f>
        <v>1174471.8684555597</v>
      </c>
      <c r="C364" s="6">
        <f ca="1">_xlfn.NORM.INV(RAND(),AVERAGE(Assumptions!$D$5,Assumptions!$F$5),(Assumptions!$F$5-Assumptions!$D$5)/3.29)*44</f>
        <v>1833670.4160448594</v>
      </c>
      <c r="D364" s="9">
        <f ca="1">_xlfn.NORM.INV(RAND(),AVERAGE(Assumptions!$D$6,Assumptions!$F$6),(Assumptions!$F$6-Assumptions!$D$6)/3.29)*RANDBETWEEN(2,5)</f>
        <v>4733508.7495133607</v>
      </c>
      <c r="E364" s="12">
        <f ca="1">_xlfn.NORM.INV(RAND(),AVERAGE(Assumptions!$D$17,Assumptions!$F$17),(Assumptions!$F$17-Assumptions!$D$17)/3.29)*8</f>
        <v>939243.9498975086</v>
      </c>
      <c r="F364" s="15">
        <f ca="1">_xlfn.NORM.INV(RAND(),AVERAGE(Assumptions!$D$7,Assumptions!$F$7),(Assumptions!$F$7-Assumptions!$D$7)/3.29)*RANDBETWEEN(1,3)</f>
        <v>2869194.2979202815</v>
      </c>
      <c r="G364" s="3">
        <f ca="1">_xlfn.NORM.INV(RAND(),AVERAGE(Assumptions!$D$8,Assumptions!$F$8),(Assumptions!$F$8-Assumptions!$D$8)/3.29)*44</f>
        <v>990278.40670306841</v>
      </c>
      <c r="H364" s="6">
        <f ca="1">_xlfn.NORM.INV(RAND(),AVERAGE(Assumptions!$D$9,Assumptions!$F$9),(Assumptions!$F$9-Assumptions!$D$9)/3.29)*21</f>
        <v>2262026.5628368994</v>
      </c>
      <c r="I364" s="9">
        <f ca="1">_xlfn.NORM.INV(RAND(),AVERAGE(Assumptions!$D$10,Assumptions!$F$10),(Assumptions!$F$10-Assumptions!$D$10)/3.29)*21</f>
        <v>898852.29284701927</v>
      </c>
      <c r="J364" s="12">
        <f ca="1">NORMINV(RAND(),AVERAGE(Assumptions!$D$11,Assumptions!$F$11),(Assumptions!$F$11-Assumptions!$D$11)/3.29)*44</f>
        <v>2791935.165926598</v>
      </c>
      <c r="K364" s="15">
        <f ca="1">_xlfn.NORM.INV(RAND(),AVERAGE(Assumptions!$D$12,Assumptions!$F$12),(Assumptions!$F$12-Assumptions!$D$12)/3.29)*44</f>
        <v>5827390.8067939645</v>
      </c>
      <c r="L364" s="3">
        <f ca="1">_xlfn.NORM.INV(RAND(),AVERAGE(Assumptions!$D$13,Assumptions!$F$13),(Assumptions!$F$13-Assumptions!$D$13)/3.29)*44</f>
        <v>18687593.526807163</v>
      </c>
      <c r="M364" s="6">
        <f ca="1">_xlfn.NORM.INV(RAND(),AVERAGE(Assumptions!$D$14,Assumptions!$F$14),(Assumptions!$F$14-Assumptions!$D$14)/3.29)*44</f>
        <v>5600016.385764759</v>
      </c>
      <c r="N364" s="9">
        <f ca="1">_xlfn.NORM.INV(RAND(),AVERAGE(Assumptions!$D$16,Assumptions!$F$16),(Assumptions!$F$16-Assumptions!$D$16)/3.29)*44</f>
        <v>9805886.1098536327</v>
      </c>
      <c r="O364" s="12">
        <f ca="1">_xlfn.NORM.INV(RAND(),AVERAGE(Assumptions!$D$15,Assumptions!$F$15),(Assumptions!$F$15-Assumptions!$D$15)/3.29)*44</f>
        <v>73325119.650145054</v>
      </c>
      <c r="P364" s="15">
        <f>Assumptions!$D$18</f>
        <v>14641750.345627395</v>
      </c>
      <c r="Q364" s="3">
        <f t="shared" ca="1" si="10"/>
        <v>14911051.110780388</v>
      </c>
      <c r="R364" s="6">
        <f t="shared" ca="1" si="11"/>
        <v>29552801.456407785</v>
      </c>
    </row>
    <row r="365" spans="1:18">
      <c r="A365" s="20">
        <v>364</v>
      </c>
      <c r="B365" s="3">
        <f ca="1">_xlfn.NORM.INV(RAND(),AVERAGE(Assumptions!$D$4,Assumptions!$F$4),(Assumptions!$F$4-Assumptions!$D$4)/3.29)*44</f>
        <v>1177137.6658105524</v>
      </c>
      <c r="C365" s="6">
        <f ca="1">_xlfn.NORM.INV(RAND(),AVERAGE(Assumptions!$D$5,Assumptions!$F$5),(Assumptions!$F$5-Assumptions!$D$5)/3.29)*44</f>
        <v>1666544.3854402886</v>
      </c>
      <c r="D365" s="9">
        <f ca="1">_xlfn.NORM.INV(RAND(),AVERAGE(Assumptions!$D$6,Assumptions!$F$6),(Assumptions!$F$6-Assumptions!$D$6)/3.29)*RANDBETWEEN(2,5)</f>
        <v>7967807.9739260189</v>
      </c>
      <c r="E365" s="12">
        <f ca="1">_xlfn.NORM.INV(RAND(),AVERAGE(Assumptions!$D$17,Assumptions!$F$17),(Assumptions!$F$17-Assumptions!$D$17)/3.29)*8</f>
        <v>1151895.8636963086</v>
      </c>
      <c r="F365" s="15">
        <f ca="1">_xlfn.NORM.INV(RAND(),AVERAGE(Assumptions!$D$7,Assumptions!$F$7),(Assumptions!$F$7-Assumptions!$D$7)/3.29)*RANDBETWEEN(1,3)</f>
        <v>3193350.9042847841</v>
      </c>
      <c r="G365" s="3">
        <f ca="1">_xlfn.NORM.INV(RAND(),AVERAGE(Assumptions!$D$8,Assumptions!$F$8),(Assumptions!$F$8-Assumptions!$D$8)/3.29)*44</f>
        <v>1399239.4768902012</v>
      </c>
      <c r="H365" s="6">
        <f ca="1">_xlfn.NORM.INV(RAND(),AVERAGE(Assumptions!$D$9,Assumptions!$F$9),(Assumptions!$F$9-Assumptions!$D$9)/3.29)*21</f>
        <v>3055924.4982053554</v>
      </c>
      <c r="I365" s="9">
        <f ca="1">_xlfn.NORM.INV(RAND(),AVERAGE(Assumptions!$D$10,Assumptions!$F$10),(Assumptions!$F$10-Assumptions!$D$10)/3.29)*21</f>
        <v>772509.27010980737</v>
      </c>
      <c r="J365" s="12">
        <f ca="1">NORMINV(RAND(),AVERAGE(Assumptions!$D$11,Assumptions!$F$11),(Assumptions!$F$11-Assumptions!$D$11)/3.29)*44</f>
        <v>2896363.3131944723</v>
      </c>
      <c r="K365" s="15">
        <f ca="1">_xlfn.NORM.INV(RAND(),AVERAGE(Assumptions!$D$12,Assumptions!$F$12),(Assumptions!$F$12-Assumptions!$D$12)/3.29)*44</f>
        <v>7308664.9624118935</v>
      </c>
      <c r="L365" s="3">
        <f ca="1">_xlfn.NORM.INV(RAND(),AVERAGE(Assumptions!$D$13,Assumptions!$F$13),(Assumptions!$F$13-Assumptions!$D$13)/3.29)*44</f>
        <v>7384256.6040269025</v>
      </c>
      <c r="M365" s="6">
        <f ca="1">_xlfn.NORM.INV(RAND(),AVERAGE(Assumptions!$D$14,Assumptions!$F$14),(Assumptions!$F$14-Assumptions!$D$14)/3.29)*44</f>
        <v>6342502.0374156991</v>
      </c>
      <c r="N365" s="9">
        <f ca="1">_xlfn.NORM.INV(RAND(),AVERAGE(Assumptions!$D$16,Assumptions!$F$16),(Assumptions!$F$16-Assumptions!$D$16)/3.29)*44</f>
        <v>8396406.3526057098</v>
      </c>
      <c r="O365" s="12">
        <f ca="1">_xlfn.NORM.INV(RAND(),AVERAGE(Assumptions!$D$15,Assumptions!$F$15),(Assumptions!$F$15-Assumptions!$D$15)/3.29)*44</f>
        <v>166036439.39952075</v>
      </c>
      <c r="P365" s="15">
        <f>Assumptions!$D$18</f>
        <v>14641750.345627395</v>
      </c>
      <c r="Q365" s="3">
        <f t="shared" ca="1" si="10"/>
        <v>113323836.09150276</v>
      </c>
      <c r="R365" s="6">
        <f t="shared" ca="1" si="11"/>
        <v>127965586.43713015</v>
      </c>
    </row>
    <row r="366" spans="1:18">
      <c r="A366" s="20">
        <v>365</v>
      </c>
      <c r="B366" s="3">
        <f ca="1">_xlfn.NORM.INV(RAND(),AVERAGE(Assumptions!$D$4,Assumptions!$F$4),(Assumptions!$F$4-Assumptions!$D$4)/3.29)*44</f>
        <v>1200238.8228746643</v>
      </c>
      <c r="C366" s="6">
        <f ca="1">_xlfn.NORM.INV(RAND(),AVERAGE(Assumptions!$D$5,Assumptions!$F$5),(Assumptions!$F$5-Assumptions!$D$5)/3.29)*44</f>
        <v>1739608.2258832599</v>
      </c>
      <c r="D366" s="9">
        <f ca="1">_xlfn.NORM.INV(RAND(),AVERAGE(Assumptions!$D$6,Assumptions!$F$6),(Assumptions!$F$6-Assumptions!$D$6)/3.29)*RANDBETWEEN(2,5)</f>
        <v>7671300.6402411666</v>
      </c>
      <c r="E366" s="12">
        <f ca="1">_xlfn.NORM.INV(RAND(),AVERAGE(Assumptions!$D$17,Assumptions!$F$17),(Assumptions!$F$17-Assumptions!$D$17)/3.29)*8</f>
        <v>1026942.2268196733</v>
      </c>
      <c r="F366" s="15">
        <f ca="1">_xlfn.NORM.INV(RAND(),AVERAGE(Assumptions!$D$7,Assumptions!$F$7),(Assumptions!$F$7-Assumptions!$D$7)/3.29)*RANDBETWEEN(1,3)</f>
        <v>8166661.7671415266</v>
      </c>
      <c r="G366" s="3">
        <f ca="1">_xlfn.NORM.INV(RAND(),AVERAGE(Assumptions!$D$8,Assumptions!$F$8),(Assumptions!$F$8-Assumptions!$D$8)/3.29)*44</f>
        <v>1323379.6111986956</v>
      </c>
      <c r="H366" s="6">
        <f ca="1">_xlfn.NORM.INV(RAND(),AVERAGE(Assumptions!$D$9,Assumptions!$F$9),(Assumptions!$F$9-Assumptions!$D$9)/3.29)*21</f>
        <v>2588547.1558841127</v>
      </c>
      <c r="I366" s="9">
        <f ca="1">_xlfn.NORM.INV(RAND(),AVERAGE(Assumptions!$D$10,Assumptions!$F$10),(Assumptions!$F$10-Assumptions!$D$10)/3.29)*21</f>
        <v>982907.44550787634</v>
      </c>
      <c r="J366" s="12">
        <f ca="1">NORMINV(RAND(),AVERAGE(Assumptions!$D$11,Assumptions!$F$11),(Assumptions!$F$11-Assumptions!$D$11)/3.29)*44</f>
        <v>3352234.6026152717</v>
      </c>
      <c r="K366" s="15">
        <f ca="1">_xlfn.NORM.INV(RAND(),AVERAGE(Assumptions!$D$12,Assumptions!$F$12),(Assumptions!$F$12-Assumptions!$D$12)/3.29)*44</f>
        <v>5691605.4603900304</v>
      </c>
      <c r="L366" s="3">
        <f ca="1">_xlfn.NORM.INV(RAND(),AVERAGE(Assumptions!$D$13,Assumptions!$F$13),(Assumptions!$F$13-Assumptions!$D$13)/3.29)*44</f>
        <v>14995139.964301364</v>
      </c>
      <c r="M366" s="6">
        <f ca="1">_xlfn.NORM.INV(RAND(),AVERAGE(Assumptions!$D$14,Assumptions!$F$14),(Assumptions!$F$14-Assumptions!$D$14)/3.29)*44</f>
        <v>7436893.069924416</v>
      </c>
      <c r="N366" s="9">
        <f ca="1">_xlfn.NORM.INV(RAND(),AVERAGE(Assumptions!$D$16,Assumptions!$F$16),(Assumptions!$F$16-Assumptions!$D$16)/3.29)*44</f>
        <v>3062989.6890037954</v>
      </c>
      <c r="O366" s="12">
        <f ca="1">_xlfn.NORM.INV(RAND(),AVERAGE(Assumptions!$D$15,Assumptions!$F$15),(Assumptions!$F$15-Assumptions!$D$15)/3.29)*44</f>
        <v>139652131.56816602</v>
      </c>
      <c r="P366" s="15">
        <f>Assumptions!$D$18</f>
        <v>14641750.345627395</v>
      </c>
      <c r="Q366" s="3">
        <f t="shared" ca="1" si="10"/>
        <v>80413682.886380166</v>
      </c>
      <c r="R366" s="6">
        <f t="shared" ca="1" si="11"/>
        <v>95055433.232007563</v>
      </c>
    </row>
    <row r="367" spans="1:18">
      <c r="A367" s="20">
        <v>366</v>
      </c>
      <c r="B367" s="3">
        <f ca="1">_xlfn.NORM.INV(RAND(),AVERAGE(Assumptions!$D$4,Assumptions!$F$4),(Assumptions!$F$4-Assumptions!$D$4)/3.29)*44</f>
        <v>1230571.324086813</v>
      </c>
      <c r="C367" s="6">
        <f ca="1">_xlfn.NORM.INV(RAND(),AVERAGE(Assumptions!$D$5,Assumptions!$F$5),(Assumptions!$F$5-Assumptions!$D$5)/3.29)*44</f>
        <v>2026689.0121113767</v>
      </c>
      <c r="D367" s="9">
        <f ca="1">_xlfn.NORM.INV(RAND(),AVERAGE(Assumptions!$D$6,Assumptions!$F$6),(Assumptions!$F$6-Assumptions!$D$6)/3.29)*RANDBETWEEN(2,5)</f>
        <v>4956930.5791174676</v>
      </c>
      <c r="E367" s="12">
        <f ca="1">_xlfn.NORM.INV(RAND(),AVERAGE(Assumptions!$D$17,Assumptions!$F$17),(Assumptions!$F$17-Assumptions!$D$17)/3.29)*8</f>
        <v>986760.81052134035</v>
      </c>
      <c r="F367" s="15">
        <f ca="1">_xlfn.NORM.INV(RAND(),AVERAGE(Assumptions!$D$7,Assumptions!$F$7),(Assumptions!$F$7-Assumptions!$D$7)/3.29)*RANDBETWEEN(1,3)</f>
        <v>7880798.5681790747</v>
      </c>
      <c r="G367" s="3">
        <f ca="1">_xlfn.NORM.INV(RAND(),AVERAGE(Assumptions!$D$8,Assumptions!$F$8),(Assumptions!$F$8-Assumptions!$D$8)/3.29)*44</f>
        <v>847689.47978815867</v>
      </c>
      <c r="H367" s="6">
        <f ca="1">_xlfn.NORM.INV(RAND(),AVERAGE(Assumptions!$D$9,Assumptions!$F$9),(Assumptions!$F$9-Assumptions!$D$9)/3.29)*21</f>
        <v>4141412.9097761977</v>
      </c>
      <c r="I367" s="9">
        <f ca="1">_xlfn.NORM.INV(RAND(),AVERAGE(Assumptions!$D$10,Assumptions!$F$10),(Assumptions!$F$10-Assumptions!$D$10)/3.29)*21</f>
        <v>1296648.2288619392</v>
      </c>
      <c r="J367" s="12">
        <f ca="1">NORMINV(RAND(),AVERAGE(Assumptions!$D$11,Assumptions!$F$11),(Assumptions!$F$11-Assumptions!$D$11)/3.29)*44</f>
        <v>3953598.2912759725</v>
      </c>
      <c r="K367" s="15">
        <f ca="1">_xlfn.NORM.INV(RAND(),AVERAGE(Assumptions!$D$12,Assumptions!$F$12),(Assumptions!$F$12-Assumptions!$D$12)/3.29)*44</f>
        <v>6632958.1579324603</v>
      </c>
      <c r="L367" s="3">
        <f ca="1">_xlfn.NORM.INV(RAND(),AVERAGE(Assumptions!$D$13,Assumptions!$F$13),(Assumptions!$F$13-Assumptions!$D$13)/3.29)*44</f>
        <v>18209630.078359824</v>
      </c>
      <c r="M367" s="6">
        <f ca="1">_xlfn.NORM.INV(RAND(),AVERAGE(Assumptions!$D$14,Assumptions!$F$14),(Assumptions!$F$14-Assumptions!$D$14)/3.29)*44</f>
        <v>6384837.0889823698</v>
      </c>
      <c r="N367" s="9">
        <f ca="1">_xlfn.NORM.INV(RAND(),AVERAGE(Assumptions!$D$16,Assumptions!$F$16),(Assumptions!$F$16-Assumptions!$D$16)/3.29)*44</f>
        <v>11888422.879727382</v>
      </c>
      <c r="O367" s="12">
        <f ca="1">_xlfn.NORM.INV(RAND(),AVERAGE(Assumptions!$D$15,Assumptions!$F$15),(Assumptions!$F$15-Assumptions!$D$15)/3.29)*44</f>
        <v>31282574.943947114</v>
      </c>
      <c r="P367" s="15">
        <f>Assumptions!$D$18</f>
        <v>14641750.345627395</v>
      </c>
      <c r="Q367" s="3">
        <f t="shared" ca="1" si="10"/>
        <v>-39154372.46477326</v>
      </c>
      <c r="R367" s="6">
        <f t="shared" ca="1" si="11"/>
        <v>-24512622.119145863</v>
      </c>
    </row>
    <row r="368" spans="1:18">
      <c r="A368" s="20">
        <v>367</v>
      </c>
      <c r="B368" s="3">
        <f ca="1">_xlfn.NORM.INV(RAND(),AVERAGE(Assumptions!$D$4,Assumptions!$F$4),(Assumptions!$F$4-Assumptions!$D$4)/3.29)*44</f>
        <v>1084440.629342708</v>
      </c>
      <c r="C368" s="6">
        <f ca="1">_xlfn.NORM.INV(RAND(),AVERAGE(Assumptions!$D$5,Assumptions!$F$5),(Assumptions!$F$5-Assumptions!$D$5)/3.29)*44</f>
        <v>1885504.1277534864</v>
      </c>
      <c r="D368" s="9">
        <f ca="1">_xlfn.NORM.INV(RAND(),AVERAGE(Assumptions!$D$6,Assumptions!$F$6),(Assumptions!$F$6-Assumptions!$D$6)/3.29)*RANDBETWEEN(2,5)</f>
        <v>4663928.8915394992</v>
      </c>
      <c r="E368" s="12">
        <f ca="1">_xlfn.NORM.INV(RAND(),AVERAGE(Assumptions!$D$17,Assumptions!$F$17),(Assumptions!$F$17-Assumptions!$D$17)/3.29)*8</f>
        <v>812778.3010340255</v>
      </c>
      <c r="F368" s="15">
        <f ca="1">_xlfn.NORM.INV(RAND(),AVERAGE(Assumptions!$D$7,Assumptions!$F$7),(Assumptions!$F$7-Assumptions!$D$7)/3.29)*RANDBETWEEN(1,3)</f>
        <v>3359541.009621731</v>
      </c>
      <c r="G368" s="3">
        <f ca="1">_xlfn.NORM.INV(RAND(),AVERAGE(Assumptions!$D$8,Assumptions!$F$8),(Assumptions!$F$8-Assumptions!$D$8)/3.29)*44</f>
        <v>1317738.2734957377</v>
      </c>
      <c r="H368" s="6">
        <f ca="1">_xlfn.NORM.INV(RAND(),AVERAGE(Assumptions!$D$9,Assumptions!$F$9),(Assumptions!$F$9-Assumptions!$D$9)/3.29)*21</f>
        <v>4400597.2249936741</v>
      </c>
      <c r="I368" s="9">
        <f ca="1">_xlfn.NORM.INV(RAND(),AVERAGE(Assumptions!$D$10,Assumptions!$F$10),(Assumptions!$F$10-Assumptions!$D$10)/3.29)*21</f>
        <v>935244.04258102912</v>
      </c>
      <c r="J368" s="12">
        <f ca="1">NORMINV(RAND(),AVERAGE(Assumptions!$D$11,Assumptions!$F$11),(Assumptions!$F$11-Assumptions!$D$11)/3.29)*44</f>
        <v>3615417.6856869184</v>
      </c>
      <c r="K368" s="15">
        <f ca="1">_xlfn.NORM.INV(RAND(),AVERAGE(Assumptions!$D$12,Assumptions!$F$12),(Assumptions!$F$12-Assumptions!$D$12)/3.29)*44</f>
        <v>5692905.0385031141</v>
      </c>
      <c r="L368" s="3">
        <f ca="1">_xlfn.NORM.INV(RAND(),AVERAGE(Assumptions!$D$13,Assumptions!$F$13),(Assumptions!$F$13-Assumptions!$D$13)/3.29)*44</f>
        <v>16197454.472756777</v>
      </c>
      <c r="M368" s="6">
        <f ca="1">_xlfn.NORM.INV(RAND(),AVERAGE(Assumptions!$D$14,Assumptions!$F$14),(Assumptions!$F$14-Assumptions!$D$14)/3.29)*44</f>
        <v>5528826.6620505285</v>
      </c>
      <c r="N368" s="9">
        <f ca="1">_xlfn.NORM.INV(RAND(),AVERAGE(Assumptions!$D$16,Assumptions!$F$16),(Assumptions!$F$16-Assumptions!$D$16)/3.29)*44</f>
        <v>16710255.471395332</v>
      </c>
      <c r="O368" s="12">
        <f ca="1">_xlfn.NORM.INV(RAND(),AVERAGE(Assumptions!$D$15,Assumptions!$F$15),(Assumptions!$F$15-Assumptions!$D$15)/3.29)*44</f>
        <v>168294140.1165033</v>
      </c>
      <c r="P368" s="15">
        <f>Assumptions!$D$18</f>
        <v>14641750.345627395</v>
      </c>
      <c r="Q368" s="3">
        <f t="shared" ca="1" si="10"/>
        <v>102089508.28574875</v>
      </c>
      <c r="R368" s="6">
        <f t="shared" ca="1" si="11"/>
        <v>116731258.63137615</v>
      </c>
    </row>
    <row r="369" spans="1:18">
      <c r="A369" s="20">
        <v>368</v>
      </c>
      <c r="B369" s="3">
        <f ca="1">_xlfn.NORM.INV(RAND(),AVERAGE(Assumptions!$D$4,Assumptions!$F$4),(Assumptions!$F$4-Assumptions!$D$4)/3.29)*44</f>
        <v>1192135.8298328014</v>
      </c>
      <c r="C369" s="6">
        <f ca="1">_xlfn.NORM.INV(RAND(),AVERAGE(Assumptions!$D$5,Assumptions!$F$5),(Assumptions!$F$5-Assumptions!$D$5)/3.29)*44</f>
        <v>1726966.872668307</v>
      </c>
      <c r="D369" s="9">
        <f ca="1">_xlfn.NORM.INV(RAND(),AVERAGE(Assumptions!$D$6,Assumptions!$F$6),(Assumptions!$F$6-Assumptions!$D$6)/3.29)*RANDBETWEEN(2,5)</f>
        <v>2947217.3824147829</v>
      </c>
      <c r="E369" s="12">
        <f ca="1">_xlfn.NORM.INV(RAND(),AVERAGE(Assumptions!$D$17,Assumptions!$F$17),(Assumptions!$F$17-Assumptions!$D$17)/3.29)*8</f>
        <v>897288.3512473614</v>
      </c>
      <c r="F369" s="15">
        <f ca="1">_xlfn.NORM.INV(RAND(),AVERAGE(Assumptions!$D$7,Assumptions!$F$7),(Assumptions!$F$7-Assumptions!$D$7)/3.29)*RANDBETWEEN(1,3)</f>
        <v>2983480.5498560257</v>
      </c>
      <c r="G369" s="3">
        <f ca="1">_xlfn.NORM.INV(RAND(),AVERAGE(Assumptions!$D$8,Assumptions!$F$8),(Assumptions!$F$8-Assumptions!$D$8)/3.29)*44</f>
        <v>1215154.5296238852</v>
      </c>
      <c r="H369" s="6">
        <f ca="1">_xlfn.NORM.INV(RAND(),AVERAGE(Assumptions!$D$9,Assumptions!$F$9),(Assumptions!$F$9-Assumptions!$D$9)/3.29)*21</f>
        <v>3136165.7475011977</v>
      </c>
      <c r="I369" s="9">
        <f ca="1">_xlfn.NORM.INV(RAND(),AVERAGE(Assumptions!$D$10,Assumptions!$F$10),(Assumptions!$F$10-Assumptions!$D$10)/3.29)*21</f>
        <v>627378.92841993715</v>
      </c>
      <c r="J369" s="12">
        <f ca="1">NORMINV(RAND(),AVERAGE(Assumptions!$D$11,Assumptions!$F$11),(Assumptions!$F$11-Assumptions!$D$11)/3.29)*44</f>
        <v>3624535.1720960536</v>
      </c>
      <c r="K369" s="15">
        <f ca="1">_xlfn.NORM.INV(RAND(),AVERAGE(Assumptions!$D$12,Assumptions!$F$12),(Assumptions!$F$12-Assumptions!$D$12)/3.29)*44</f>
        <v>8540376.4035017863</v>
      </c>
      <c r="L369" s="3">
        <f ca="1">_xlfn.NORM.INV(RAND(),AVERAGE(Assumptions!$D$13,Assumptions!$F$13),(Assumptions!$F$13-Assumptions!$D$13)/3.29)*44</f>
        <v>13407029.798661076</v>
      </c>
      <c r="M369" s="6">
        <f ca="1">_xlfn.NORM.INV(RAND(),AVERAGE(Assumptions!$D$14,Assumptions!$F$14),(Assumptions!$F$14-Assumptions!$D$14)/3.29)*44</f>
        <v>3116845.1746520642</v>
      </c>
      <c r="N369" s="9">
        <f ca="1">_xlfn.NORM.INV(RAND(),AVERAGE(Assumptions!$D$16,Assumptions!$F$16),(Assumptions!$F$16-Assumptions!$D$16)/3.29)*44</f>
        <v>8360579.2739665648</v>
      </c>
      <c r="O369" s="12">
        <f ca="1">_xlfn.NORM.INV(RAND(),AVERAGE(Assumptions!$D$15,Assumptions!$F$15),(Assumptions!$F$15-Assumptions!$D$15)/3.29)*44</f>
        <v>120820030.51289806</v>
      </c>
      <c r="P369" s="15">
        <f>Assumptions!$D$18</f>
        <v>14641750.345627395</v>
      </c>
      <c r="Q369" s="3">
        <f t="shared" ca="1" si="10"/>
        <v>69044876.49845621</v>
      </c>
      <c r="R369" s="6">
        <f t="shared" ca="1" si="11"/>
        <v>83686626.844083607</v>
      </c>
    </row>
    <row r="370" spans="1:18">
      <c r="A370" s="20">
        <v>369</v>
      </c>
      <c r="B370" s="3">
        <f ca="1">_xlfn.NORM.INV(RAND(),AVERAGE(Assumptions!$D$4,Assumptions!$F$4),(Assumptions!$F$4-Assumptions!$D$4)/3.29)*44</f>
        <v>1304709.5898542623</v>
      </c>
      <c r="C370" s="6">
        <f ca="1">_xlfn.NORM.INV(RAND(),AVERAGE(Assumptions!$D$5,Assumptions!$F$5),(Assumptions!$F$5-Assumptions!$D$5)/3.29)*44</f>
        <v>1767141.8527949511</v>
      </c>
      <c r="D370" s="9">
        <f ca="1">_xlfn.NORM.INV(RAND(),AVERAGE(Assumptions!$D$6,Assumptions!$F$6),(Assumptions!$F$6-Assumptions!$D$6)/3.29)*RANDBETWEEN(2,5)</f>
        <v>280532.97554336116</v>
      </c>
      <c r="E370" s="12">
        <f ca="1">_xlfn.NORM.INV(RAND(),AVERAGE(Assumptions!$D$17,Assumptions!$F$17),(Assumptions!$F$17-Assumptions!$D$17)/3.29)*8</f>
        <v>933260.14005620638</v>
      </c>
      <c r="F370" s="15">
        <f ca="1">_xlfn.NORM.INV(RAND(),AVERAGE(Assumptions!$D$7,Assumptions!$F$7),(Assumptions!$F$7-Assumptions!$D$7)/3.29)*RANDBETWEEN(1,3)</f>
        <v>1816396.3965160074</v>
      </c>
      <c r="G370" s="3">
        <f ca="1">_xlfn.NORM.INV(RAND(),AVERAGE(Assumptions!$D$8,Assumptions!$F$8),(Assumptions!$F$8-Assumptions!$D$8)/3.29)*44</f>
        <v>1344671.8823198294</v>
      </c>
      <c r="H370" s="6">
        <f ca="1">_xlfn.NORM.INV(RAND(),AVERAGE(Assumptions!$D$9,Assumptions!$F$9),(Assumptions!$F$9-Assumptions!$D$9)/3.29)*21</f>
        <v>4297928.8106822278</v>
      </c>
      <c r="I370" s="9">
        <f ca="1">_xlfn.NORM.INV(RAND(),AVERAGE(Assumptions!$D$10,Assumptions!$F$10),(Assumptions!$F$10-Assumptions!$D$10)/3.29)*21</f>
        <v>1104231.5175331368</v>
      </c>
      <c r="J370" s="12">
        <f ca="1">NORMINV(RAND(),AVERAGE(Assumptions!$D$11,Assumptions!$F$11),(Assumptions!$F$11-Assumptions!$D$11)/3.29)*44</f>
        <v>4393281.5937674213</v>
      </c>
      <c r="K370" s="15">
        <f ca="1">_xlfn.NORM.INV(RAND(),AVERAGE(Assumptions!$D$12,Assumptions!$F$12),(Assumptions!$F$12-Assumptions!$D$12)/3.29)*44</f>
        <v>9228236.1367048919</v>
      </c>
      <c r="L370" s="3">
        <f ca="1">_xlfn.NORM.INV(RAND(),AVERAGE(Assumptions!$D$13,Assumptions!$F$13),(Assumptions!$F$13-Assumptions!$D$13)/3.29)*44</f>
        <v>19993912.232398342</v>
      </c>
      <c r="M370" s="6">
        <f ca="1">_xlfn.NORM.INV(RAND(),AVERAGE(Assumptions!$D$14,Assumptions!$F$14),(Assumptions!$F$14-Assumptions!$D$14)/3.29)*44</f>
        <v>5247777.9311123397</v>
      </c>
      <c r="N370" s="9">
        <f ca="1">_xlfn.NORM.INV(RAND(),AVERAGE(Assumptions!$D$16,Assumptions!$F$16),(Assumptions!$F$16-Assumptions!$D$16)/3.29)*44</f>
        <v>13738581.65879116</v>
      </c>
      <c r="O370" s="12">
        <f ca="1">_xlfn.NORM.INV(RAND(),AVERAGE(Assumptions!$D$15,Assumptions!$F$15),(Assumptions!$F$15-Assumptions!$D$15)/3.29)*44</f>
        <v>85629527.933424369</v>
      </c>
      <c r="P370" s="15">
        <f>Assumptions!$D$18</f>
        <v>14641750.345627395</v>
      </c>
      <c r="Q370" s="3">
        <f t="shared" ca="1" si="10"/>
        <v>20178865.215350226</v>
      </c>
      <c r="R370" s="6">
        <f t="shared" ca="1" si="11"/>
        <v>34820615.560977623</v>
      </c>
    </row>
    <row r="371" spans="1:18">
      <c r="A371" s="20">
        <v>370</v>
      </c>
      <c r="B371" s="3">
        <f ca="1">_xlfn.NORM.INV(RAND(),AVERAGE(Assumptions!$D$4,Assumptions!$F$4),(Assumptions!$F$4-Assumptions!$D$4)/3.29)*44</f>
        <v>1154397.073313497</v>
      </c>
      <c r="C371" s="6">
        <f ca="1">_xlfn.NORM.INV(RAND(),AVERAGE(Assumptions!$D$5,Assumptions!$F$5),(Assumptions!$F$5-Assumptions!$D$5)/3.29)*44</f>
        <v>1821878.4620516887</v>
      </c>
      <c r="D371" s="9">
        <f ca="1">_xlfn.NORM.INV(RAND(),AVERAGE(Assumptions!$D$6,Assumptions!$F$6),(Assumptions!$F$6-Assumptions!$D$6)/3.29)*RANDBETWEEN(2,5)</f>
        <v>560281.56696985429</v>
      </c>
      <c r="E371" s="12">
        <f ca="1">_xlfn.NORM.INV(RAND(),AVERAGE(Assumptions!$D$17,Assumptions!$F$17),(Assumptions!$F$17-Assumptions!$D$17)/3.29)*8</f>
        <v>816849.70160515723</v>
      </c>
      <c r="F371" s="15">
        <f ca="1">_xlfn.NORM.INV(RAND(),AVERAGE(Assumptions!$D$7,Assumptions!$F$7),(Assumptions!$F$7-Assumptions!$D$7)/3.29)*RANDBETWEEN(1,3)</f>
        <v>6458128.8413786888</v>
      </c>
      <c r="G371" s="3">
        <f ca="1">_xlfn.NORM.INV(RAND(),AVERAGE(Assumptions!$D$8,Assumptions!$F$8),(Assumptions!$F$8-Assumptions!$D$8)/3.29)*44</f>
        <v>1188688.573478786</v>
      </c>
      <c r="H371" s="6">
        <f ca="1">_xlfn.NORM.INV(RAND(),AVERAGE(Assumptions!$D$9,Assumptions!$F$9),(Assumptions!$F$9-Assumptions!$D$9)/3.29)*21</f>
        <v>6638006.3460828671</v>
      </c>
      <c r="I371" s="9">
        <f ca="1">_xlfn.NORM.INV(RAND(),AVERAGE(Assumptions!$D$10,Assumptions!$F$10),(Assumptions!$F$10-Assumptions!$D$10)/3.29)*21</f>
        <v>1238115.3614065081</v>
      </c>
      <c r="J371" s="12">
        <f ca="1">NORMINV(RAND(),AVERAGE(Assumptions!$D$11,Assumptions!$F$11),(Assumptions!$F$11-Assumptions!$D$11)/3.29)*44</f>
        <v>3721387.8401866904</v>
      </c>
      <c r="K371" s="15">
        <f ca="1">_xlfn.NORM.INV(RAND(),AVERAGE(Assumptions!$D$12,Assumptions!$F$12),(Assumptions!$F$12-Assumptions!$D$12)/3.29)*44</f>
        <v>8134955.5326414639</v>
      </c>
      <c r="L371" s="3">
        <f ca="1">_xlfn.NORM.INV(RAND(),AVERAGE(Assumptions!$D$13,Assumptions!$F$13),(Assumptions!$F$13-Assumptions!$D$13)/3.29)*44</f>
        <v>12946301.212201215</v>
      </c>
      <c r="M371" s="6">
        <f ca="1">_xlfn.NORM.INV(RAND(),AVERAGE(Assumptions!$D$14,Assumptions!$F$14),(Assumptions!$F$14-Assumptions!$D$14)/3.29)*44</f>
        <v>6264352.6850435873</v>
      </c>
      <c r="N371" s="9">
        <f ca="1">_xlfn.NORM.INV(RAND(),AVERAGE(Assumptions!$D$16,Assumptions!$F$16),(Assumptions!$F$16-Assumptions!$D$16)/3.29)*44</f>
        <v>10323826.611082083</v>
      </c>
      <c r="O371" s="12">
        <f ca="1">_xlfn.NORM.INV(RAND(),AVERAGE(Assumptions!$D$15,Assumptions!$F$15),(Assumptions!$F$15-Assumptions!$D$15)/3.29)*44</f>
        <v>116066638.64826471</v>
      </c>
      <c r="P371" s="15">
        <f>Assumptions!$D$18</f>
        <v>14641750.345627395</v>
      </c>
      <c r="Q371" s="3">
        <f t="shared" ca="1" si="10"/>
        <v>54799468.840822615</v>
      </c>
      <c r="R371" s="6">
        <f t="shared" ca="1" si="11"/>
        <v>69441219.186450005</v>
      </c>
    </row>
    <row r="372" spans="1:18">
      <c r="A372" s="20">
        <v>371</v>
      </c>
      <c r="B372" s="3">
        <f ca="1">_xlfn.NORM.INV(RAND(),AVERAGE(Assumptions!$D$4,Assumptions!$F$4),(Assumptions!$F$4-Assumptions!$D$4)/3.29)*44</f>
        <v>1277662.9825201405</v>
      </c>
      <c r="C372" s="6">
        <f ca="1">_xlfn.NORM.INV(RAND(),AVERAGE(Assumptions!$D$5,Assumptions!$F$5),(Assumptions!$F$5-Assumptions!$D$5)/3.29)*44</f>
        <v>1747631.1748876653</v>
      </c>
      <c r="D372" s="9">
        <f ca="1">_xlfn.NORM.INV(RAND(),AVERAGE(Assumptions!$D$6,Assumptions!$F$6),(Assumptions!$F$6-Assumptions!$D$6)/3.29)*RANDBETWEEN(2,5)</f>
        <v>5154747.4453414418</v>
      </c>
      <c r="E372" s="12">
        <f ca="1">_xlfn.NORM.INV(RAND(),AVERAGE(Assumptions!$D$17,Assumptions!$F$17),(Assumptions!$F$17-Assumptions!$D$17)/3.29)*8</f>
        <v>882248.62467174535</v>
      </c>
      <c r="F372" s="15">
        <f ca="1">_xlfn.NORM.INV(RAND(),AVERAGE(Assumptions!$D$7,Assumptions!$F$7),(Assumptions!$F$7-Assumptions!$D$7)/3.29)*RANDBETWEEN(1,3)</f>
        <v>7775469.2755074762</v>
      </c>
      <c r="G372" s="3">
        <f ca="1">_xlfn.NORM.INV(RAND(),AVERAGE(Assumptions!$D$8,Assumptions!$F$8),(Assumptions!$F$8-Assumptions!$D$8)/3.29)*44</f>
        <v>1469525.958300737</v>
      </c>
      <c r="H372" s="6">
        <f ca="1">_xlfn.NORM.INV(RAND(),AVERAGE(Assumptions!$D$9,Assumptions!$F$9),(Assumptions!$F$9-Assumptions!$D$9)/3.29)*21</f>
        <v>4402483.1567423409</v>
      </c>
      <c r="I372" s="9">
        <f ca="1">_xlfn.NORM.INV(RAND(),AVERAGE(Assumptions!$D$10,Assumptions!$F$10),(Assumptions!$F$10-Assumptions!$D$10)/3.29)*21</f>
        <v>1043526.3435667526</v>
      </c>
      <c r="J372" s="12">
        <f ca="1">NORMINV(RAND(),AVERAGE(Assumptions!$D$11,Assumptions!$F$11),(Assumptions!$F$11-Assumptions!$D$11)/3.29)*44</f>
        <v>2581589.7852395047</v>
      </c>
      <c r="K372" s="15">
        <f ca="1">_xlfn.NORM.INV(RAND(),AVERAGE(Assumptions!$D$12,Assumptions!$F$12),(Assumptions!$F$12-Assumptions!$D$12)/3.29)*44</f>
        <v>5793224.7693228982</v>
      </c>
      <c r="L372" s="3">
        <f ca="1">_xlfn.NORM.INV(RAND(),AVERAGE(Assumptions!$D$13,Assumptions!$F$13),(Assumptions!$F$13-Assumptions!$D$13)/3.29)*44</f>
        <v>4935996.5157684861</v>
      </c>
      <c r="M372" s="6">
        <f ca="1">_xlfn.NORM.INV(RAND(),AVERAGE(Assumptions!$D$14,Assumptions!$F$14),(Assumptions!$F$14-Assumptions!$D$14)/3.29)*44</f>
        <v>6333819.6061954843</v>
      </c>
      <c r="N372" s="9">
        <f ca="1">_xlfn.NORM.INV(RAND(),AVERAGE(Assumptions!$D$16,Assumptions!$F$16),(Assumptions!$F$16-Assumptions!$D$16)/3.29)*44</f>
        <v>12708742.145569639</v>
      </c>
      <c r="O372" s="12">
        <f ca="1">_xlfn.NORM.INV(RAND(),AVERAGE(Assumptions!$D$15,Assumptions!$F$15),(Assumptions!$F$15-Assumptions!$D$15)/3.29)*44</f>
        <v>102492490.30494969</v>
      </c>
      <c r="P372" s="15">
        <f>Assumptions!$D$18</f>
        <v>14641750.345627395</v>
      </c>
      <c r="Q372" s="3">
        <f t="shared" ca="1" si="10"/>
        <v>46385822.521315373</v>
      </c>
      <c r="R372" s="6">
        <f t="shared" ca="1" si="11"/>
        <v>61027572.866942771</v>
      </c>
    </row>
    <row r="373" spans="1:18">
      <c r="A373" s="20">
        <v>372</v>
      </c>
      <c r="B373" s="3">
        <f ca="1">_xlfn.NORM.INV(RAND(),AVERAGE(Assumptions!$D$4,Assumptions!$F$4),(Assumptions!$F$4-Assumptions!$D$4)/3.29)*44</f>
        <v>1073641.8241123112</v>
      </c>
      <c r="C373" s="6">
        <f ca="1">_xlfn.NORM.INV(RAND(),AVERAGE(Assumptions!$D$5,Assumptions!$F$5),(Assumptions!$F$5-Assumptions!$D$5)/3.29)*44</f>
        <v>1956205.534741357</v>
      </c>
      <c r="D373" s="9">
        <f ca="1">_xlfn.NORM.INV(RAND(),AVERAGE(Assumptions!$D$6,Assumptions!$F$6),(Assumptions!$F$6-Assumptions!$D$6)/3.29)*RANDBETWEEN(2,5)</f>
        <v>8691470.9124744143</v>
      </c>
      <c r="E373" s="12">
        <f ca="1">_xlfn.NORM.INV(RAND(),AVERAGE(Assumptions!$D$17,Assumptions!$F$17),(Assumptions!$F$17-Assumptions!$D$17)/3.29)*8</f>
        <v>894391.26875537809</v>
      </c>
      <c r="F373" s="15">
        <f ca="1">_xlfn.NORM.INV(RAND(),AVERAGE(Assumptions!$D$7,Assumptions!$F$7),(Assumptions!$F$7-Assumptions!$D$7)/3.29)*RANDBETWEEN(1,3)</f>
        <v>3342637.5274544293</v>
      </c>
      <c r="G373" s="3">
        <f ca="1">_xlfn.NORM.INV(RAND(),AVERAGE(Assumptions!$D$8,Assumptions!$F$8),(Assumptions!$F$8-Assumptions!$D$8)/3.29)*44</f>
        <v>1099843.8194619277</v>
      </c>
      <c r="H373" s="6">
        <f ca="1">_xlfn.NORM.INV(RAND(),AVERAGE(Assumptions!$D$9,Assumptions!$F$9),(Assumptions!$F$9-Assumptions!$D$9)/3.29)*21</f>
        <v>4211371.2580893878</v>
      </c>
      <c r="I373" s="9">
        <f ca="1">_xlfn.NORM.INV(RAND(),AVERAGE(Assumptions!$D$10,Assumptions!$F$10),(Assumptions!$F$10-Assumptions!$D$10)/3.29)*21</f>
        <v>829965.85424288583</v>
      </c>
      <c r="J373" s="12">
        <f ca="1">NORMINV(RAND(),AVERAGE(Assumptions!$D$11,Assumptions!$F$11),(Assumptions!$F$11-Assumptions!$D$11)/3.29)*44</f>
        <v>3278360.463068102</v>
      </c>
      <c r="K373" s="15">
        <f ca="1">_xlfn.NORM.INV(RAND(),AVERAGE(Assumptions!$D$12,Assumptions!$F$12),(Assumptions!$F$12-Assumptions!$D$12)/3.29)*44</f>
        <v>8820154.7828694284</v>
      </c>
      <c r="L373" s="3">
        <f ca="1">_xlfn.NORM.INV(RAND(),AVERAGE(Assumptions!$D$13,Assumptions!$F$13),(Assumptions!$F$13-Assumptions!$D$13)/3.29)*44</f>
        <v>16063351.984171344</v>
      </c>
      <c r="M373" s="6">
        <f ca="1">_xlfn.NORM.INV(RAND(),AVERAGE(Assumptions!$D$14,Assumptions!$F$14),(Assumptions!$F$14-Assumptions!$D$14)/3.29)*44</f>
        <v>3690892.3098009317</v>
      </c>
      <c r="N373" s="9">
        <f ca="1">_xlfn.NORM.INV(RAND(),AVERAGE(Assumptions!$D$16,Assumptions!$F$16),(Assumptions!$F$16-Assumptions!$D$16)/3.29)*44</f>
        <v>9920036.0049208179</v>
      </c>
      <c r="O373" s="12">
        <f ca="1">_xlfn.NORM.INV(RAND(),AVERAGE(Assumptions!$D$15,Assumptions!$F$15),(Assumptions!$F$15-Assumptions!$D$15)/3.29)*44</f>
        <v>137513883.75282449</v>
      </c>
      <c r="P373" s="15">
        <f>Assumptions!$D$18</f>
        <v>14641750.345627395</v>
      </c>
      <c r="Q373" s="3">
        <f t="shared" ca="1" si="10"/>
        <v>73641560.208661765</v>
      </c>
      <c r="R373" s="6">
        <f t="shared" ca="1" si="11"/>
        <v>88283310.554289162</v>
      </c>
    </row>
    <row r="374" spans="1:18">
      <c r="A374" s="20">
        <v>373</v>
      </c>
      <c r="B374" s="3">
        <f ca="1">_xlfn.NORM.INV(RAND(),AVERAGE(Assumptions!$D$4,Assumptions!$F$4),(Assumptions!$F$4-Assumptions!$D$4)/3.29)*44</f>
        <v>1245941.3917160295</v>
      </c>
      <c r="C374" s="6">
        <f ca="1">_xlfn.NORM.INV(RAND(),AVERAGE(Assumptions!$D$5,Assumptions!$F$5),(Assumptions!$F$5-Assumptions!$D$5)/3.29)*44</f>
        <v>2056949.7057989563</v>
      </c>
      <c r="D374" s="9">
        <f ca="1">_xlfn.NORM.INV(RAND(),AVERAGE(Assumptions!$D$6,Assumptions!$F$6),(Assumptions!$F$6-Assumptions!$D$6)/3.29)*RANDBETWEEN(2,5)</f>
        <v>1117727.5930260883</v>
      </c>
      <c r="E374" s="12">
        <f ca="1">_xlfn.NORM.INV(RAND(),AVERAGE(Assumptions!$D$17,Assumptions!$F$17),(Assumptions!$F$17-Assumptions!$D$17)/3.29)*8</f>
        <v>927891.95152051654</v>
      </c>
      <c r="F374" s="15">
        <f ca="1">_xlfn.NORM.INV(RAND(),AVERAGE(Assumptions!$D$7,Assumptions!$F$7),(Assumptions!$F$7-Assumptions!$D$7)/3.29)*RANDBETWEEN(1,3)</f>
        <v>9340248.81451419</v>
      </c>
      <c r="G374" s="3">
        <f ca="1">_xlfn.NORM.INV(RAND(),AVERAGE(Assumptions!$D$8,Assumptions!$F$8),(Assumptions!$F$8-Assumptions!$D$8)/3.29)*44</f>
        <v>1080346.3775867363</v>
      </c>
      <c r="H374" s="6">
        <f ca="1">_xlfn.NORM.INV(RAND(),AVERAGE(Assumptions!$D$9,Assumptions!$F$9),(Assumptions!$F$9-Assumptions!$D$9)/3.29)*21</f>
        <v>5754544.1937851552</v>
      </c>
      <c r="I374" s="9">
        <f ca="1">_xlfn.NORM.INV(RAND(),AVERAGE(Assumptions!$D$10,Assumptions!$F$10),(Assumptions!$F$10-Assumptions!$D$10)/3.29)*21</f>
        <v>988880.86263834441</v>
      </c>
      <c r="J374" s="12">
        <f ca="1">NORMINV(RAND(),AVERAGE(Assumptions!$D$11,Assumptions!$F$11),(Assumptions!$F$11-Assumptions!$D$11)/3.29)*44</f>
        <v>3997592.0260162745</v>
      </c>
      <c r="K374" s="15">
        <f ca="1">_xlfn.NORM.INV(RAND(),AVERAGE(Assumptions!$D$12,Assumptions!$F$12),(Assumptions!$F$12-Assumptions!$D$12)/3.29)*44</f>
        <v>9308102.2598909177</v>
      </c>
      <c r="L374" s="3">
        <f ca="1">_xlfn.NORM.INV(RAND(),AVERAGE(Assumptions!$D$13,Assumptions!$F$13),(Assumptions!$F$13-Assumptions!$D$13)/3.29)*44</f>
        <v>14682827.080057625</v>
      </c>
      <c r="M374" s="6">
        <f ca="1">_xlfn.NORM.INV(RAND(),AVERAGE(Assumptions!$D$14,Assumptions!$F$14),(Assumptions!$F$14-Assumptions!$D$14)/3.29)*44</f>
        <v>7198256.8484893283</v>
      </c>
      <c r="N374" s="9">
        <f ca="1">_xlfn.NORM.INV(RAND(),AVERAGE(Assumptions!$D$16,Assumptions!$F$16),(Assumptions!$F$16-Assumptions!$D$16)/3.29)*44</f>
        <v>3575050.1564604081</v>
      </c>
      <c r="O374" s="12">
        <f ca="1">_xlfn.NORM.INV(RAND(),AVERAGE(Assumptions!$D$15,Assumptions!$F$15),(Assumptions!$F$15-Assumptions!$D$15)/3.29)*44</f>
        <v>39578216.958370656</v>
      </c>
      <c r="P374" s="15">
        <f>Assumptions!$D$18</f>
        <v>14641750.345627395</v>
      </c>
      <c r="Q374" s="3">
        <f t="shared" ca="1" si="10"/>
        <v>-21696142.303129911</v>
      </c>
      <c r="R374" s="6">
        <f t="shared" ca="1" si="11"/>
        <v>-7054391.957502516</v>
      </c>
    </row>
    <row r="375" spans="1:18">
      <c r="A375" s="20">
        <v>374</v>
      </c>
      <c r="B375" s="3">
        <f ca="1">_xlfn.NORM.INV(RAND(),AVERAGE(Assumptions!$D$4,Assumptions!$F$4),(Assumptions!$F$4-Assumptions!$D$4)/3.29)*44</f>
        <v>1202497.7792514642</v>
      </c>
      <c r="C375" s="6">
        <f ca="1">_xlfn.NORM.INV(RAND(),AVERAGE(Assumptions!$D$5,Assumptions!$F$5),(Assumptions!$F$5-Assumptions!$D$5)/3.29)*44</f>
        <v>1986771.800220367</v>
      </c>
      <c r="D375" s="9">
        <f ca="1">_xlfn.NORM.INV(RAND(),AVERAGE(Assumptions!$D$6,Assumptions!$F$6),(Assumptions!$F$6-Assumptions!$D$6)/3.29)*RANDBETWEEN(2,5)</f>
        <v>5975501.1522906786</v>
      </c>
      <c r="E375" s="12">
        <f ca="1">_xlfn.NORM.INV(RAND(),AVERAGE(Assumptions!$D$17,Assumptions!$F$17),(Assumptions!$F$17-Assumptions!$D$17)/3.29)*8</f>
        <v>819249.44474391127</v>
      </c>
      <c r="F375" s="15">
        <f ca="1">_xlfn.NORM.INV(RAND(),AVERAGE(Assumptions!$D$7,Assumptions!$F$7),(Assumptions!$F$7-Assumptions!$D$7)/3.29)*RANDBETWEEN(1,3)</f>
        <v>2863723.5765228057</v>
      </c>
      <c r="G375" s="3">
        <f ca="1">_xlfn.NORM.INV(RAND(),AVERAGE(Assumptions!$D$8,Assumptions!$F$8),(Assumptions!$F$8-Assumptions!$D$8)/3.29)*44</f>
        <v>1549963.2098863358</v>
      </c>
      <c r="H375" s="6">
        <f ca="1">_xlfn.NORM.INV(RAND(),AVERAGE(Assumptions!$D$9,Assumptions!$F$9),(Assumptions!$F$9-Assumptions!$D$9)/3.29)*21</f>
        <v>5832357.0857137609</v>
      </c>
      <c r="I375" s="9">
        <f ca="1">_xlfn.NORM.INV(RAND(),AVERAGE(Assumptions!$D$10,Assumptions!$F$10),(Assumptions!$F$10-Assumptions!$D$10)/3.29)*21</f>
        <v>1075694.9272159918</v>
      </c>
      <c r="J375" s="12">
        <f ca="1">NORMINV(RAND(),AVERAGE(Assumptions!$D$11,Assumptions!$F$11),(Assumptions!$F$11-Assumptions!$D$11)/3.29)*44</f>
        <v>4758314.3387062848</v>
      </c>
      <c r="K375" s="15">
        <f ca="1">_xlfn.NORM.INV(RAND(),AVERAGE(Assumptions!$D$12,Assumptions!$F$12),(Assumptions!$F$12-Assumptions!$D$12)/3.29)*44</f>
        <v>8051152.3441854939</v>
      </c>
      <c r="L375" s="3">
        <f ca="1">_xlfn.NORM.INV(RAND(),AVERAGE(Assumptions!$D$13,Assumptions!$F$13),(Assumptions!$F$13-Assumptions!$D$13)/3.29)*44</f>
        <v>15096900.104185287</v>
      </c>
      <c r="M375" s="6">
        <f ca="1">_xlfn.NORM.INV(RAND(),AVERAGE(Assumptions!$D$14,Assumptions!$F$14),(Assumptions!$F$14-Assumptions!$D$14)/3.29)*44</f>
        <v>6078584.7138312813</v>
      </c>
      <c r="N375" s="9">
        <f ca="1">_xlfn.NORM.INV(RAND(),AVERAGE(Assumptions!$D$16,Assumptions!$F$16),(Assumptions!$F$16-Assumptions!$D$16)/3.29)*44</f>
        <v>9409325.2182612605</v>
      </c>
      <c r="O375" s="12">
        <f ca="1">_xlfn.NORM.INV(RAND(),AVERAGE(Assumptions!$D$15,Assumptions!$F$15),(Assumptions!$F$15-Assumptions!$D$15)/3.29)*44</f>
        <v>86400214.908208013</v>
      </c>
      <c r="P375" s="15">
        <f>Assumptions!$D$18</f>
        <v>14641750.345627395</v>
      </c>
      <c r="Q375" s="3">
        <f t="shared" ca="1" si="10"/>
        <v>21700179.213193081</v>
      </c>
      <c r="R375" s="6">
        <f t="shared" ca="1" si="11"/>
        <v>36341929.558820479</v>
      </c>
    </row>
    <row r="376" spans="1:18">
      <c r="A376" s="20">
        <v>375</v>
      </c>
      <c r="B376" s="3">
        <f ca="1">_xlfn.NORM.INV(RAND(),AVERAGE(Assumptions!$D$4,Assumptions!$F$4),(Assumptions!$F$4-Assumptions!$D$4)/3.29)*44</f>
        <v>1147774.8522703541</v>
      </c>
      <c r="C376" s="6">
        <f ca="1">_xlfn.NORM.INV(RAND(),AVERAGE(Assumptions!$D$5,Assumptions!$F$5),(Assumptions!$F$5-Assumptions!$D$5)/3.29)*44</f>
        <v>1847675.0450751635</v>
      </c>
      <c r="D376" s="9">
        <f ca="1">_xlfn.NORM.INV(RAND(),AVERAGE(Assumptions!$D$6,Assumptions!$F$6),(Assumptions!$F$6-Assumptions!$D$6)/3.29)*RANDBETWEEN(2,5)</f>
        <v>3298496.989452906</v>
      </c>
      <c r="E376" s="12">
        <f ca="1">_xlfn.NORM.INV(RAND(),AVERAGE(Assumptions!$D$17,Assumptions!$F$17),(Assumptions!$F$17-Assumptions!$D$17)/3.29)*8</f>
        <v>1032330.0280039937</v>
      </c>
      <c r="F376" s="15">
        <f ca="1">_xlfn.NORM.INV(RAND(),AVERAGE(Assumptions!$D$7,Assumptions!$F$7),(Assumptions!$F$7-Assumptions!$D$7)/3.29)*RANDBETWEEN(1,3)</f>
        <v>9193840.7327638436</v>
      </c>
      <c r="G376" s="3">
        <f ca="1">_xlfn.NORM.INV(RAND(),AVERAGE(Assumptions!$D$8,Assumptions!$F$8),(Assumptions!$F$8-Assumptions!$D$8)/3.29)*44</f>
        <v>1360969.205494483</v>
      </c>
      <c r="H376" s="6">
        <f ca="1">_xlfn.NORM.INV(RAND(),AVERAGE(Assumptions!$D$9,Assumptions!$F$9),(Assumptions!$F$9-Assumptions!$D$9)/3.29)*21</f>
        <v>3833797.5860774931</v>
      </c>
      <c r="I376" s="9">
        <f ca="1">_xlfn.NORM.INV(RAND(),AVERAGE(Assumptions!$D$10,Assumptions!$F$10),(Assumptions!$F$10-Assumptions!$D$10)/3.29)*21</f>
        <v>912841.55117825326</v>
      </c>
      <c r="J376" s="12">
        <f ca="1">NORMINV(RAND(),AVERAGE(Assumptions!$D$11,Assumptions!$F$11),(Assumptions!$F$11-Assumptions!$D$11)/3.29)*44</f>
        <v>4167717.3113765097</v>
      </c>
      <c r="K376" s="15">
        <f ca="1">_xlfn.NORM.INV(RAND(),AVERAGE(Assumptions!$D$12,Assumptions!$F$12),(Assumptions!$F$12-Assumptions!$D$12)/3.29)*44</f>
        <v>9626772.5097388793</v>
      </c>
      <c r="L376" s="3">
        <f ca="1">_xlfn.NORM.INV(RAND(),AVERAGE(Assumptions!$D$13,Assumptions!$F$13),(Assumptions!$F$13-Assumptions!$D$13)/3.29)*44</f>
        <v>14304733.732205488</v>
      </c>
      <c r="M376" s="6">
        <f ca="1">_xlfn.NORM.INV(RAND(),AVERAGE(Assumptions!$D$14,Assumptions!$F$14),(Assumptions!$F$14-Assumptions!$D$14)/3.29)*44</f>
        <v>6331675.1239660289</v>
      </c>
      <c r="N376" s="9">
        <f ca="1">_xlfn.NORM.INV(RAND(),AVERAGE(Assumptions!$D$16,Assumptions!$F$16),(Assumptions!$F$16-Assumptions!$D$16)/3.29)*44</f>
        <v>10815962.796262896</v>
      </c>
      <c r="O376" s="12">
        <f ca="1">_xlfn.NORM.INV(RAND(),AVERAGE(Assumptions!$D$15,Assumptions!$F$15),(Assumptions!$F$15-Assumptions!$D$15)/3.29)*44</f>
        <v>151535208.84904912</v>
      </c>
      <c r="P376" s="15">
        <f>Assumptions!$D$18</f>
        <v>14641750.345627395</v>
      </c>
      <c r="Q376" s="3">
        <f t="shared" ca="1" si="10"/>
        <v>83660621.385182828</v>
      </c>
      <c r="R376" s="6">
        <f t="shared" ca="1" si="11"/>
        <v>98302371.730810225</v>
      </c>
    </row>
    <row r="377" spans="1:18">
      <c r="A377" s="20">
        <v>376</v>
      </c>
      <c r="B377" s="3">
        <f ca="1">_xlfn.NORM.INV(RAND(),AVERAGE(Assumptions!$D$4,Assumptions!$F$4),(Assumptions!$F$4-Assumptions!$D$4)/3.29)*44</f>
        <v>1180190.0296021309</v>
      </c>
      <c r="C377" s="6">
        <f ca="1">_xlfn.NORM.INV(RAND(),AVERAGE(Assumptions!$D$5,Assumptions!$F$5),(Assumptions!$F$5-Assumptions!$D$5)/3.29)*44</f>
        <v>1691623.8114844745</v>
      </c>
      <c r="D377" s="9">
        <f ca="1">_xlfn.NORM.INV(RAND(),AVERAGE(Assumptions!$D$6,Assumptions!$F$6),(Assumptions!$F$6-Assumptions!$D$6)/3.29)*RANDBETWEEN(2,5)</f>
        <v>5065190.114237858</v>
      </c>
      <c r="E377" s="12">
        <f ca="1">_xlfn.NORM.INV(RAND(),AVERAGE(Assumptions!$D$17,Assumptions!$F$17),(Assumptions!$F$17-Assumptions!$D$17)/3.29)*8</f>
        <v>901572.88416817447</v>
      </c>
      <c r="F377" s="15">
        <f ca="1">_xlfn.NORM.INV(RAND(),AVERAGE(Assumptions!$D$7,Assumptions!$F$7),(Assumptions!$F$7-Assumptions!$D$7)/3.29)*RANDBETWEEN(1,3)</f>
        <v>3297533.463453108</v>
      </c>
      <c r="G377" s="3">
        <f ca="1">_xlfn.NORM.INV(RAND(),AVERAGE(Assumptions!$D$8,Assumptions!$F$8),(Assumptions!$F$8-Assumptions!$D$8)/3.29)*44</f>
        <v>1025844.4041262416</v>
      </c>
      <c r="H377" s="6">
        <f ca="1">_xlfn.NORM.INV(RAND(),AVERAGE(Assumptions!$D$9,Assumptions!$F$9),(Assumptions!$F$9-Assumptions!$D$9)/3.29)*21</f>
        <v>5167954.1272387924</v>
      </c>
      <c r="I377" s="9">
        <f ca="1">_xlfn.NORM.INV(RAND(),AVERAGE(Assumptions!$D$10,Assumptions!$F$10),(Assumptions!$F$10-Assumptions!$D$10)/3.29)*21</f>
        <v>880720.41335245268</v>
      </c>
      <c r="J377" s="12">
        <f ca="1">NORMINV(RAND(),AVERAGE(Assumptions!$D$11,Assumptions!$F$11),(Assumptions!$F$11-Assumptions!$D$11)/3.29)*44</f>
        <v>1454448.5799388294</v>
      </c>
      <c r="K377" s="15">
        <f ca="1">_xlfn.NORM.INV(RAND(),AVERAGE(Assumptions!$D$12,Assumptions!$F$12),(Assumptions!$F$12-Assumptions!$D$12)/3.29)*44</f>
        <v>8138145.0122619085</v>
      </c>
      <c r="L377" s="3">
        <f ca="1">_xlfn.NORM.INV(RAND(),AVERAGE(Assumptions!$D$13,Assumptions!$F$13),(Assumptions!$F$13-Assumptions!$D$13)/3.29)*44</f>
        <v>15680143.955031503</v>
      </c>
      <c r="M377" s="6">
        <f ca="1">_xlfn.NORM.INV(RAND(),AVERAGE(Assumptions!$D$14,Assumptions!$F$14),(Assumptions!$F$14-Assumptions!$D$14)/3.29)*44</f>
        <v>5187491.6144766426</v>
      </c>
      <c r="N377" s="9">
        <f ca="1">_xlfn.NORM.INV(RAND(),AVERAGE(Assumptions!$D$16,Assumptions!$F$16),(Assumptions!$F$16-Assumptions!$D$16)/3.29)*44</f>
        <v>12161689.050389713</v>
      </c>
      <c r="O377" s="12">
        <f ca="1">_xlfn.NORM.INV(RAND(),AVERAGE(Assumptions!$D$15,Assumptions!$F$15),(Assumptions!$F$15-Assumptions!$D$15)/3.29)*44</f>
        <v>123336515.39524806</v>
      </c>
      <c r="P377" s="15">
        <f>Assumptions!$D$18</f>
        <v>14641750.345627395</v>
      </c>
      <c r="Q377" s="3">
        <f t="shared" ca="1" si="10"/>
        <v>61503967.93548622</v>
      </c>
      <c r="R377" s="6">
        <f t="shared" ca="1" si="11"/>
        <v>76145718.28111361</v>
      </c>
    </row>
    <row r="378" spans="1:18">
      <c r="A378" s="20">
        <v>377</v>
      </c>
      <c r="B378" s="3">
        <f ca="1">_xlfn.NORM.INV(RAND(),AVERAGE(Assumptions!$D$4,Assumptions!$F$4),(Assumptions!$F$4-Assumptions!$D$4)/3.29)*44</f>
        <v>1134343.1265738199</v>
      </c>
      <c r="C378" s="6">
        <f ca="1">_xlfn.NORM.INV(RAND(),AVERAGE(Assumptions!$D$5,Assumptions!$F$5),(Assumptions!$F$5-Assumptions!$D$5)/3.29)*44</f>
        <v>1713726.2489804081</v>
      </c>
      <c r="D378" s="9">
        <f ca="1">_xlfn.NORM.INV(RAND(),AVERAGE(Assumptions!$D$6,Assumptions!$F$6),(Assumptions!$F$6-Assumptions!$D$6)/3.29)*RANDBETWEEN(2,5)</f>
        <v>9743821.50464602</v>
      </c>
      <c r="E378" s="12">
        <f ca="1">_xlfn.NORM.INV(RAND(),AVERAGE(Assumptions!$D$17,Assumptions!$F$17),(Assumptions!$F$17-Assumptions!$D$17)/3.29)*8</f>
        <v>730217.58656940935</v>
      </c>
      <c r="F378" s="15">
        <f ca="1">_xlfn.NORM.INV(RAND(),AVERAGE(Assumptions!$D$7,Assumptions!$F$7),(Assumptions!$F$7-Assumptions!$D$7)/3.29)*RANDBETWEEN(1,3)</f>
        <v>5580942.9982679486</v>
      </c>
      <c r="G378" s="3">
        <f ca="1">_xlfn.NORM.INV(RAND(),AVERAGE(Assumptions!$D$8,Assumptions!$F$8),(Assumptions!$F$8-Assumptions!$D$8)/3.29)*44</f>
        <v>1106048.1912829871</v>
      </c>
      <c r="H378" s="6">
        <f ca="1">_xlfn.NORM.INV(RAND(),AVERAGE(Assumptions!$D$9,Assumptions!$F$9),(Assumptions!$F$9-Assumptions!$D$9)/3.29)*21</f>
        <v>5301552.1397015108</v>
      </c>
      <c r="I378" s="9">
        <f ca="1">_xlfn.NORM.INV(RAND(),AVERAGE(Assumptions!$D$10,Assumptions!$F$10),(Assumptions!$F$10-Assumptions!$D$10)/3.29)*21</f>
        <v>1072348.3660052298</v>
      </c>
      <c r="J378" s="12">
        <f ca="1">NORMINV(RAND(),AVERAGE(Assumptions!$D$11,Assumptions!$F$11),(Assumptions!$F$11-Assumptions!$D$11)/3.29)*44</f>
        <v>5300103.2628076095</v>
      </c>
      <c r="K378" s="15">
        <f ca="1">_xlfn.NORM.INV(RAND(),AVERAGE(Assumptions!$D$12,Assumptions!$F$12),(Assumptions!$F$12-Assumptions!$D$12)/3.29)*44</f>
        <v>9646037.0526593719</v>
      </c>
      <c r="L378" s="3">
        <f ca="1">_xlfn.NORM.INV(RAND(),AVERAGE(Assumptions!$D$13,Assumptions!$F$13),(Assumptions!$F$13-Assumptions!$D$13)/3.29)*44</f>
        <v>13543935.90186826</v>
      </c>
      <c r="M378" s="6">
        <f ca="1">_xlfn.NORM.INV(RAND(),AVERAGE(Assumptions!$D$14,Assumptions!$F$14),(Assumptions!$F$14-Assumptions!$D$14)/3.29)*44</f>
        <v>7348461.919837052</v>
      </c>
      <c r="N378" s="9">
        <f ca="1">_xlfn.NORM.INV(RAND(),AVERAGE(Assumptions!$D$16,Assumptions!$F$16),(Assumptions!$F$16-Assumptions!$D$16)/3.29)*44</f>
        <v>1366483.8926328751</v>
      </c>
      <c r="O378" s="12">
        <f ca="1">_xlfn.NORM.INV(RAND(),AVERAGE(Assumptions!$D$15,Assumptions!$F$15),(Assumptions!$F$15-Assumptions!$D$15)/3.29)*44</f>
        <v>76211765.146811679</v>
      </c>
      <c r="P378" s="15">
        <f>Assumptions!$D$18</f>
        <v>14641750.345627395</v>
      </c>
      <c r="Q378" s="3">
        <f t="shared" ca="1" si="10"/>
        <v>12623742.954979181</v>
      </c>
      <c r="R378" s="6">
        <f t="shared" ca="1" si="11"/>
        <v>27265493.300606579</v>
      </c>
    </row>
    <row r="379" spans="1:18">
      <c r="A379" s="20">
        <v>378</v>
      </c>
      <c r="B379" s="3">
        <f ca="1">_xlfn.NORM.INV(RAND(),AVERAGE(Assumptions!$D$4,Assumptions!$F$4),(Assumptions!$F$4-Assumptions!$D$4)/3.29)*44</f>
        <v>1256837.3471853158</v>
      </c>
      <c r="C379" s="6">
        <f ca="1">_xlfn.NORM.INV(RAND(),AVERAGE(Assumptions!$D$5,Assumptions!$F$5),(Assumptions!$F$5-Assumptions!$D$5)/3.29)*44</f>
        <v>2058154.6108934104</v>
      </c>
      <c r="D379" s="9">
        <f ca="1">_xlfn.NORM.INV(RAND(),AVERAGE(Assumptions!$D$6,Assumptions!$F$6),(Assumptions!$F$6-Assumptions!$D$6)/3.29)*RANDBETWEEN(2,5)</f>
        <v>6378772.0771705359</v>
      </c>
      <c r="E379" s="12">
        <f ca="1">_xlfn.NORM.INV(RAND(),AVERAGE(Assumptions!$D$17,Assumptions!$F$17),(Assumptions!$F$17-Assumptions!$D$17)/3.29)*8</f>
        <v>1194263.5465037595</v>
      </c>
      <c r="F379" s="15">
        <f ca="1">_xlfn.NORM.INV(RAND(),AVERAGE(Assumptions!$D$7,Assumptions!$F$7),(Assumptions!$F$7-Assumptions!$D$7)/3.29)*RANDBETWEEN(1,3)</f>
        <v>7773309.6584191136</v>
      </c>
      <c r="G379" s="3">
        <f ca="1">_xlfn.NORM.INV(RAND(),AVERAGE(Assumptions!$D$8,Assumptions!$F$8),(Assumptions!$F$8-Assumptions!$D$8)/3.29)*44</f>
        <v>775741.27498678409</v>
      </c>
      <c r="H379" s="6">
        <f ca="1">_xlfn.NORM.INV(RAND(),AVERAGE(Assumptions!$D$9,Assumptions!$F$9),(Assumptions!$F$9-Assumptions!$D$9)/3.29)*21</f>
        <v>3071172.3380315551</v>
      </c>
      <c r="I379" s="9">
        <f ca="1">_xlfn.NORM.INV(RAND(),AVERAGE(Assumptions!$D$10,Assumptions!$F$10),(Assumptions!$F$10-Assumptions!$D$10)/3.29)*21</f>
        <v>995040.90164912771</v>
      </c>
      <c r="J379" s="12">
        <f ca="1">NORMINV(RAND(),AVERAGE(Assumptions!$D$11,Assumptions!$F$11),(Assumptions!$F$11-Assumptions!$D$11)/3.29)*44</f>
        <v>3175941.3855038551</v>
      </c>
      <c r="K379" s="15">
        <f ca="1">_xlfn.NORM.INV(RAND(),AVERAGE(Assumptions!$D$12,Assumptions!$F$12),(Assumptions!$F$12-Assumptions!$D$12)/3.29)*44</f>
        <v>10082451.010497421</v>
      </c>
      <c r="L379" s="3">
        <f ca="1">_xlfn.NORM.INV(RAND(),AVERAGE(Assumptions!$D$13,Assumptions!$F$13),(Assumptions!$F$13-Assumptions!$D$13)/3.29)*44</f>
        <v>16460764.441782126</v>
      </c>
      <c r="M379" s="6">
        <f ca="1">_xlfn.NORM.INV(RAND(),AVERAGE(Assumptions!$D$14,Assumptions!$F$14),(Assumptions!$F$14-Assumptions!$D$14)/3.29)*44</f>
        <v>7447538.4814216578</v>
      </c>
      <c r="N379" s="9">
        <f ca="1">_xlfn.NORM.INV(RAND(),AVERAGE(Assumptions!$D$16,Assumptions!$F$16),(Assumptions!$F$16-Assumptions!$D$16)/3.29)*44</f>
        <v>4462940.8711730614</v>
      </c>
      <c r="O379" s="12">
        <f ca="1">_xlfn.NORM.INV(RAND(),AVERAGE(Assumptions!$D$15,Assumptions!$F$15),(Assumptions!$F$15-Assumptions!$D$15)/3.29)*44</f>
        <v>139502922.62263122</v>
      </c>
      <c r="P379" s="15">
        <f>Assumptions!$D$18</f>
        <v>14641750.345627395</v>
      </c>
      <c r="Q379" s="3">
        <f t="shared" ca="1" si="10"/>
        <v>74369994.677413493</v>
      </c>
      <c r="R379" s="6">
        <f t="shared" ca="1" si="11"/>
        <v>89011745.023040891</v>
      </c>
    </row>
    <row r="380" spans="1:18">
      <c r="A380" s="20">
        <v>379</v>
      </c>
      <c r="B380" s="3">
        <f ca="1">_xlfn.NORM.INV(RAND(),AVERAGE(Assumptions!$D$4,Assumptions!$F$4),(Assumptions!$F$4-Assumptions!$D$4)/3.29)*44</f>
        <v>1252428.9074651159</v>
      </c>
      <c r="C380" s="6">
        <f ca="1">_xlfn.NORM.INV(RAND(),AVERAGE(Assumptions!$D$5,Assumptions!$F$5),(Assumptions!$F$5-Assumptions!$D$5)/3.29)*44</f>
        <v>2043904.8198259731</v>
      </c>
      <c r="D380" s="9">
        <f ca="1">_xlfn.NORM.INV(RAND(),AVERAGE(Assumptions!$D$6,Assumptions!$F$6),(Assumptions!$F$6-Assumptions!$D$6)/3.29)*RANDBETWEEN(2,5)</f>
        <v>3815987.4872426139</v>
      </c>
      <c r="E380" s="12">
        <f ca="1">_xlfn.NORM.INV(RAND(),AVERAGE(Assumptions!$D$17,Assumptions!$F$17),(Assumptions!$F$17-Assumptions!$D$17)/3.29)*8</f>
        <v>795870.84775400092</v>
      </c>
      <c r="F380" s="15">
        <f ca="1">_xlfn.NORM.INV(RAND(),AVERAGE(Assumptions!$D$7,Assumptions!$F$7),(Assumptions!$F$7-Assumptions!$D$7)/3.29)*RANDBETWEEN(1,3)</f>
        <v>5115542.3234169241</v>
      </c>
      <c r="G380" s="3">
        <f ca="1">_xlfn.NORM.INV(RAND(),AVERAGE(Assumptions!$D$8,Assumptions!$F$8),(Assumptions!$F$8-Assumptions!$D$8)/3.29)*44</f>
        <v>1000497.9682085735</v>
      </c>
      <c r="H380" s="6">
        <f ca="1">_xlfn.NORM.INV(RAND(),AVERAGE(Assumptions!$D$9,Assumptions!$F$9),(Assumptions!$F$9-Assumptions!$D$9)/3.29)*21</f>
        <v>1346974.3538699364</v>
      </c>
      <c r="I380" s="9">
        <f ca="1">_xlfn.NORM.INV(RAND(),AVERAGE(Assumptions!$D$10,Assumptions!$F$10),(Assumptions!$F$10-Assumptions!$D$10)/3.29)*21</f>
        <v>966815.20362381893</v>
      </c>
      <c r="J380" s="12">
        <f ca="1">NORMINV(RAND(),AVERAGE(Assumptions!$D$11,Assumptions!$F$11),(Assumptions!$F$11-Assumptions!$D$11)/3.29)*44</f>
        <v>4008316.682049307</v>
      </c>
      <c r="K380" s="15">
        <f ca="1">_xlfn.NORM.INV(RAND(),AVERAGE(Assumptions!$D$12,Assumptions!$F$12),(Assumptions!$F$12-Assumptions!$D$12)/3.29)*44</f>
        <v>10150509.982482985</v>
      </c>
      <c r="L380" s="3">
        <f ca="1">_xlfn.NORM.INV(RAND(),AVERAGE(Assumptions!$D$13,Assumptions!$F$13),(Assumptions!$F$13-Assumptions!$D$13)/3.29)*44</f>
        <v>19835954.256239694</v>
      </c>
      <c r="M380" s="6">
        <f ca="1">_xlfn.NORM.INV(RAND(),AVERAGE(Assumptions!$D$14,Assumptions!$F$14),(Assumptions!$F$14-Assumptions!$D$14)/3.29)*44</f>
        <v>8083102.0113881705</v>
      </c>
      <c r="N380" s="9">
        <f ca="1">_xlfn.NORM.INV(RAND(),AVERAGE(Assumptions!$D$16,Assumptions!$F$16),(Assumptions!$F$16-Assumptions!$D$16)/3.29)*44</f>
        <v>531439.65940833045</v>
      </c>
      <c r="O380" s="12">
        <f ca="1">_xlfn.NORM.INV(RAND(),AVERAGE(Assumptions!$D$15,Assumptions!$F$15),(Assumptions!$F$15-Assumptions!$D$15)/3.29)*44</f>
        <v>104200968.06877971</v>
      </c>
      <c r="P380" s="15">
        <f>Assumptions!$D$18</f>
        <v>14641750.345627395</v>
      </c>
      <c r="Q380" s="3">
        <f t="shared" ca="1" si="10"/>
        <v>45253623.565804265</v>
      </c>
      <c r="R380" s="6">
        <f t="shared" ca="1" si="11"/>
        <v>59895373.911431663</v>
      </c>
    </row>
    <row r="381" spans="1:18">
      <c r="A381" s="20">
        <v>380</v>
      </c>
      <c r="B381" s="3">
        <f ca="1">_xlfn.NORM.INV(RAND(),AVERAGE(Assumptions!$D$4,Assumptions!$F$4),(Assumptions!$F$4-Assumptions!$D$4)/3.29)*44</f>
        <v>1319831.9190907732</v>
      </c>
      <c r="C381" s="6">
        <f ca="1">_xlfn.NORM.INV(RAND(),AVERAGE(Assumptions!$D$5,Assumptions!$F$5),(Assumptions!$F$5-Assumptions!$D$5)/3.29)*44</f>
        <v>1856201.6260919091</v>
      </c>
      <c r="D381" s="9">
        <f ca="1">_xlfn.NORM.INV(RAND(),AVERAGE(Assumptions!$D$6,Assumptions!$F$6),(Assumptions!$F$6-Assumptions!$D$6)/3.29)*RANDBETWEEN(2,5)</f>
        <v>1825239.8521277755</v>
      </c>
      <c r="E381" s="12">
        <f ca="1">_xlfn.NORM.INV(RAND(),AVERAGE(Assumptions!$D$17,Assumptions!$F$17),(Assumptions!$F$17-Assumptions!$D$17)/3.29)*8</f>
        <v>956904.41659442824</v>
      </c>
      <c r="F381" s="15">
        <f ca="1">_xlfn.NORM.INV(RAND(),AVERAGE(Assumptions!$D$7,Assumptions!$F$7),(Assumptions!$F$7-Assumptions!$D$7)/3.29)*RANDBETWEEN(1,3)</f>
        <v>7789067.1227343306</v>
      </c>
      <c r="G381" s="3">
        <f ca="1">_xlfn.NORM.INV(RAND(),AVERAGE(Assumptions!$D$8,Assumptions!$F$8),(Assumptions!$F$8-Assumptions!$D$8)/3.29)*44</f>
        <v>1249788.9841039046</v>
      </c>
      <c r="H381" s="6">
        <f ca="1">_xlfn.NORM.INV(RAND(),AVERAGE(Assumptions!$D$9,Assumptions!$F$9),(Assumptions!$F$9-Assumptions!$D$9)/3.29)*21</f>
        <v>3646834.2105213609</v>
      </c>
      <c r="I381" s="9">
        <f ca="1">_xlfn.NORM.INV(RAND(),AVERAGE(Assumptions!$D$10,Assumptions!$F$10),(Assumptions!$F$10-Assumptions!$D$10)/3.29)*21</f>
        <v>892836.64406761806</v>
      </c>
      <c r="J381" s="12">
        <f ca="1">NORMINV(RAND(),AVERAGE(Assumptions!$D$11,Assumptions!$F$11),(Assumptions!$F$11-Assumptions!$D$11)/3.29)*44</f>
        <v>348985.21522148536</v>
      </c>
      <c r="K381" s="15">
        <f ca="1">_xlfn.NORM.INV(RAND(),AVERAGE(Assumptions!$D$12,Assumptions!$F$12),(Assumptions!$F$12-Assumptions!$D$12)/3.29)*44</f>
        <v>9318812.4101544917</v>
      </c>
      <c r="L381" s="3">
        <f ca="1">_xlfn.NORM.INV(RAND(),AVERAGE(Assumptions!$D$13,Assumptions!$F$13),(Assumptions!$F$13-Assumptions!$D$13)/3.29)*44</f>
        <v>17667227.625424817</v>
      </c>
      <c r="M381" s="6">
        <f ca="1">_xlfn.NORM.INV(RAND(),AVERAGE(Assumptions!$D$14,Assumptions!$F$14),(Assumptions!$F$14-Assumptions!$D$14)/3.29)*44</f>
        <v>4973160.9267189242</v>
      </c>
      <c r="N381" s="9">
        <f ca="1">_xlfn.NORM.INV(RAND(),AVERAGE(Assumptions!$D$16,Assumptions!$F$16),(Assumptions!$F$16-Assumptions!$D$16)/3.29)*44</f>
        <v>10101073.751258105</v>
      </c>
      <c r="O381" s="12">
        <f ca="1">_xlfn.NORM.INV(RAND(),AVERAGE(Assumptions!$D$15,Assumptions!$F$15),(Assumptions!$F$15-Assumptions!$D$15)/3.29)*44</f>
        <v>45005008.716671258</v>
      </c>
      <c r="P381" s="15">
        <f>Assumptions!$D$18</f>
        <v>14641750.345627395</v>
      </c>
      <c r="Q381" s="3">
        <f t="shared" ca="1" si="10"/>
        <v>-16940955.987438664</v>
      </c>
      <c r="R381" s="6">
        <f t="shared" ca="1" si="11"/>
        <v>-2299205.6418112684</v>
      </c>
    </row>
    <row r="382" spans="1:18">
      <c r="A382" s="20">
        <v>381</v>
      </c>
      <c r="B382" s="3">
        <f ca="1">_xlfn.NORM.INV(RAND(),AVERAGE(Assumptions!$D$4,Assumptions!$F$4),(Assumptions!$F$4-Assumptions!$D$4)/3.29)*44</f>
        <v>1209239.2222509796</v>
      </c>
      <c r="C382" s="6">
        <f ca="1">_xlfn.NORM.INV(RAND(),AVERAGE(Assumptions!$D$5,Assumptions!$F$5),(Assumptions!$F$5-Assumptions!$D$5)/3.29)*44</f>
        <v>1640778.1618502701</v>
      </c>
      <c r="D382" s="9">
        <f ca="1">_xlfn.NORM.INV(RAND(),AVERAGE(Assumptions!$D$6,Assumptions!$F$6),(Assumptions!$F$6-Assumptions!$D$6)/3.29)*RANDBETWEEN(2,5)</f>
        <v>6883775.4889810774</v>
      </c>
      <c r="E382" s="12">
        <f ca="1">_xlfn.NORM.INV(RAND(),AVERAGE(Assumptions!$D$17,Assumptions!$F$17),(Assumptions!$F$17-Assumptions!$D$17)/3.29)*8</f>
        <v>813455.72282186581</v>
      </c>
      <c r="F382" s="15">
        <f ca="1">_xlfn.NORM.INV(RAND(),AVERAGE(Assumptions!$D$7,Assumptions!$F$7),(Assumptions!$F$7-Assumptions!$D$7)/3.29)*RANDBETWEEN(1,3)</f>
        <v>1008735.5778153285</v>
      </c>
      <c r="G382" s="3">
        <f ca="1">_xlfn.NORM.INV(RAND(),AVERAGE(Assumptions!$D$8,Assumptions!$F$8),(Assumptions!$F$8-Assumptions!$D$8)/3.29)*44</f>
        <v>835930.62887112086</v>
      </c>
      <c r="H382" s="6">
        <f ca="1">_xlfn.NORM.INV(RAND(),AVERAGE(Assumptions!$D$9,Assumptions!$F$9),(Assumptions!$F$9-Assumptions!$D$9)/3.29)*21</f>
        <v>4065920.1157407295</v>
      </c>
      <c r="I382" s="9">
        <f ca="1">_xlfn.NORM.INV(RAND(),AVERAGE(Assumptions!$D$10,Assumptions!$F$10),(Assumptions!$F$10-Assumptions!$D$10)/3.29)*21</f>
        <v>786717.62192058167</v>
      </c>
      <c r="J382" s="12">
        <f ca="1">NORMINV(RAND(),AVERAGE(Assumptions!$D$11,Assumptions!$F$11),(Assumptions!$F$11-Assumptions!$D$11)/3.29)*44</f>
        <v>509370.4098824723</v>
      </c>
      <c r="K382" s="15">
        <f ca="1">_xlfn.NORM.INV(RAND(),AVERAGE(Assumptions!$D$12,Assumptions!$F$12),(Assumptions!$F$12-Assumptions!$D$12)/3.29)*44</f>
        <v>8298585.0092360182</v>
      </c>
      <c r="L382" s="3">
        <f ca="1">_xlfn.NORM.INV(RAND(),AVERAGE(Assumptions!$D$13,Assumptions!$F$13),(Assumptions!$F$13-Assumptions!$D$13)/3.29)*44</f>
        <v>8772353.0834333338</v>
      </c>
      <c r="M382" s="6">
        <f ca="1">_xlfn.NORM.INV(RAND(),AVERAGE(Assumptions!$D$14,Assumptions!$F$14),(Assumptions!$F$14-Assumptions!$D$14)/3.29)*44</f>
        <v>7228327.3610911909</v>
      </c>
      <c r="N382" s="9">
        <f ca="1">_xlfn.NORM.INV(RAND(),AVERAGE(Assumptions!$D$16,Assumptions!$F$16),(Assumptions!$F$16-Assumptions!$D$16)/3.29)*44</f>
        <v>10884011.233126184</v>
      </c>
      <c r="O382" s="12">
        <f ca="1">_xlfn.NORM.INV(RAND(),AVERAGE(Assumptions!$D$15,Assumptions!$F$15),(Assumptions!$F$15-Assumptions!$D$15)/3.29)*44</f>
        <v>-35048160.561978422</v>
      </c>
      <c r="P382" s="15">
        <f>Assumptions!$D$18</f>
        <v>14641750.345627395</v>
      </c>
      <c r="Q382" s="3">
        <f t="shared" ca="1" si="10"/>
        <v>-87985360.198999584</v>
      </c>
      <c r="R382" s="6">
        <f t="shared" ca="1" si="11"/>
        <v>-73343609.853372186</v>
      </c>
    </row>
    <row r="383" spans="1:18">
      <c r="A383" s="20">
        <v>382</v>
      </c>
      <c r="B383" s="3">
        <f ca="1">_xlfn.NORM.INV(RAND(),AVERAGE(Assumptions!$D$4,Assumptions!$F$4),(Assumptions!$F$4-Assumptions!$D$4)/3.29)*44</f>
        <v>1163247.4007501386</v>
      </c>
      <c r="C383" s="6">
        <f ca="1">_xlfn.NORM.INV(RAND(),AVERAGE(Assumptions!$D$5,Assumptions!$F$5),(Assumptions!$F$5-Assumptions!$D$5)/3.29)*44</f>
        <v>1742041.2634842028</v>
      </c>
      <c r="D383" s="9">
        <f ca="1">_xlfn.NORM.INV(RAND(),AVERAGE(Assumptions!$D$6,Assumptions!$F$6),(Assumptions!$F$6-Assumptions!$D$6)/3.29)*RANDBETWEEN(2,5)</f>
        <v>3049655.9516794756</v>
      </c>
      <c r="E383" s="12">
        <f ca="1">_xlfn.NORM.INV(RAND(),AVERAGE(Assumptions!$D$17,Assumptions!$F$17),(Assumptions!$F$17-Assumptions!$D$17)/3.29)*8</f>
        <v>931885.50470767578</v>
      </c>
      <c r="F383" s="15">
        <f ca="1">_xlfn.NORM.INV(RAND(),AVERAGE(Assumptions!$D$7,Assumptions!$F$7),(Assumptions!$F$7-Assumptions!$D$7)/3.29)*RANDBETWEEN(1,3)</f>
        <v>2702026.3204986909</v>
      </c>
      <c r="G383" s="3">
        <f ca="1">_xlfn.NORM.INV(RAND(),AVERAGE(Assumptions!$D$8,Assumptions!$F$8),(Assumptions!$F$8-Assumptions!$D$8)/3.29)*44</f>
        <v>1069380.7984474981</v>
      </c>
      <c r="H383" s="6">
        <f ca="1">_xlfn.NORM.INV(RAND(),AVERAGE(Assumptions!$D$9,Assumptions!$F$9),(Assumptions!$F$9-Assumptions!$D$9)/3.29)*21</f>
        <v>3011458.174879245</v>
      </c>
      <c r="I383" s="9">
        <f ca="1">_xlfn.NORM.INV(RAND(),AVERAGE(Assumptions!$D$10,Assumptions!$F$10),(Assumptions!$F$10-Assumptions!$D$10)/3.29)*21</f>
        <v>923783.45307963737</v>
      </c>
      <c r="J383" s="12">
        <f ca="1">NORMINV(RAND(),AVERAGE(Assumptions!$D$11,Assumptions!$F$11),(Assumptions!$F$11-Assumptions!$D$11)/3.29)*44</f>
        <v>1154493.485431982</v>
      </c>
      <c r="K383" s="15">
        <f ca="1">_xlfn.NORM.INV(RAND(),AVERAGE(Assumptions!$D$12,Assumptions!$F$12),(Assumptions!$F$12-Assumptions!$D$12)/3.29)*44</f>
        <v>7628935.7347451188</v>
      </c>
      <c r="L383" s="3">
        <f ca="1">_xlfn.NORM.INV(RAND(),AVERAGE(Assumptions!$D$13,Assumptions!$F$13),(Assumptions!$F$13-Assumptions!$D$13)/3.29)*44</f>
        <v>10353399.26172181</v>
      </c>
      <c r="M383" s="6">
        <f ca="1">_xlfn.NORM.INV(RAND(),AVERAGE(Assumptions!$D$14,Assumptions!$F$14),(Assumptions!$F$14-Assumptions!$D$14)/3.29)*44</f>
        <v>6073464.8727291618</v>
      </c>
      <c r="N383" s="9">
        <f ca="1">_xlfn.NORM.INV(RAND(),AVERAGE(Assumptions!$D$16,Assumptions!$F$16),(Assumptions!$F$16-Assumptions!$D$16)/3.29)*44</f>
        <v>904172.92755019653</v>
      </c>
      <c r="O383" s="12">
        <f ca="1">_xlfn.NORM.INV(RAND(),AVERAGE(Assumptions!$D$15,Assumptions!$F$15),(Assumptions!$F$15-Assumptions!$D$15)/3.29)*44</f>
        <v>91404828.906146377</v>
      </c>
      <c r="P383" s="15">
        <f>Assumptions!$D$18</f>
        <v>14641750.345627395</v>
      </c>
      <c r="Q383" s="3">
        <f t="shared" ca="1" si="10"/>
        <v>50696883.756441541</v>
      </c>
      <c r="R383" s="6">
        <f t="shared" ca="1" si="11"/>
        <v>65338634.102068938</v>
      </c>
    </row>
    <row r="384" spans="1:18">
      <c r="A384" s="20">
        <v>383</v>
      </c>
      <c r="B384" s="3">
        <f ca="1">_xlfn.NORM.INV(RAND(),AVERAGE(Assumptions!$D$4,Assumptions!$F$4),(Assumptions!$F$4-Assumptions!$D$4)/3.29)*44</f>
        <v>1193105.7148795901</v>
      </c>
      <c r="C384" s="6">
        <f ca="1">_xlfn.NORM.INV(RAND(),AVERAGE(Assumptions!$D$5,Assumptions!$F$5),(Assumptions!$F$5-Assumptions!$D$5)/3.29)*44</f>
        <v>1965040.3608377776</v>
      </c>
      <c r="D384" s="9">
        <f ca="1">_xlfn.NORM.INV(RAND(),AVERAGE(Assumptions!$D$6,Assumptions!$F$6),(Assumptions!$F$6-Assumptions!$D$6)/3.29)*RANDBETWEEN(2,5)</f>
        <v>894054.06963320193</v>
      </c>
      <c r="E384" s="12">
        <f ca="1">_xlfn.NORM.INV(RAND(),AVERAGE(Assumptions!$D$17,Assumptions!$F$17),(Assumptions!$F$17-Assumptions!$D$17)/3.29)*8</f>
        <v>864258.78021164925</v>
      </c>
      <c r="F384" s="15">
        <f ca="1">_xlfn.NORM.INV(RAND(),AVERAGE(Assumptions!$D$7,Assumptions!$F$7),(Assumptions!$F$7-Assumptions!$D$7)/3.29)*RANDBETWEEN(1,3)</f>
        <v>12107832.263398726</v>
      </c>
      <c r="G384" s="3">
        <f ca="1">_xlfn.NORM.INV(RAND(),AVERAGE(Assumptions!$D$8,Assumptions!$F$8),(Assumptions!$F$8-Assumptions!$D$8)/3.29)*44</f>
        <v>979860.72755473084</v>
      </c>
      <c r="H384" s="6">
        <f ca="1">_xlfn.NORM.INV(RAND(),AVERAGE(Assumptions!$D$9,Assumptions!$F$9),(Assumptions!$F$9-Assumptions!$D$9)/3.29)*21</f>
        <v>1580185.1438682233</v>
      </c>
      <c r="I384" s="9">
        <f ca="1">_xlfn.NORM.INV(RAND(),AVERAGE(Assumptions!$D$10,Assumptions!$F$10),(Assumptions!$F$10-Assumptions!$D$10)/3.29)*21</f>
        <v>715579.58174501883</v>
      </c>
      <c r="J384" s="12">
        <f ca="1">NORMINV(RAND(),AVERAGE(Assumptions!$D$11,Assumptions!$F$11),(Assumptions!$F$11-Assumptions!$D$11)/3.29)*44</f>
        <v>5433330.2888274109</v>
      </c>
      <c r="K384" s="15">
        <f ca="1">_xlfn.NORM.INV(RAND(),AVERAGE(Assumptions!$D$12,Assumptions!$F$12),(Assumptions!$F$12-Assumptions!$D$12)/3.29)*44</f>
        <v>6809578.191149367</v>
      </c>
      <c r="L384" s="3">
        <f ca="1">_xlfn.NORM.INV(RAND(),AVERAGE(Assumptions!$D$13,Assumptions!$F$13),(Assumptions!$F$13-Assumptions!$D$13)/3.29)*44</f>
        <v>17326242.598372478</v>
      </c>
      <c r="M384" s="6">
        <f ca="1">_xlfn.NORM.INV(RAND(),AVERAGE(Assumptions!$D$14,Assumptions!$F$14),(Assumptions!$F$14-Assumptions!$D$14)/3.29)*44</f>
        <v>4784681.1643558098</v>
      </c>
      <c r="N384" s="9">
        <f ca="1">_xlfn.NORM.INV(RAND(),AVERAGE(Assumptions!$D$16,Assumptions!$F$16),(Assumptions!$F$16-Assumptions!$D$16)/3.29)*44</f>
        <v>17384006.74503481</v>
      </c>
      <c r="O384" s="12">
        <f ca="1">_xlfn.NORM.INV(RAND(),AVERAGE(Assumptions!$D$15,Assumptions!$F$15),(Assumptions!$F$15-Assumptions!$D$15)/3.29)*44</f>
        <v>118165263.22781646</v>
      </c>
      <c r="P384" s="15">
        <f>Assumptions!$D$18</f>
        <v>14641750.345627395</v>
      </c>
      <c r="Q384" s="3">
        <f t="shared" ca="1" si="10"/>
        <v>46127507.597947687</v>
      </c>
      <c r="R384" s="6">
        <f t="shared" ca="1" si="11"/>
        <v>60769257.943575084</v>
      </c>
    </row>
    <row r="385" spans="1:18">
      <c r="A385" s="20">
        <v>384</v>
      </c>
      <c r="B385" s="3">
        <f ca="1">_xlfn.NORM.INV(RAND(),AVERAGE(Assumptions!$D$4,Assumptions!$F$4),(Assumptions!$F$4-Assumptions!$D$4)/3.29)*44</f>
        <v>1233036.2448141081</v>
      </c>
      <c r="C385" s="6">
        <f ca="1">_xlfn.NORM.INV(RAND(),AVERAGE(Assumptions!$D$5,Assumptions!$F$5),(Assumptions!$F$5-Assumptions!$D$5)/3.29)*44</f>
        <v>1820703.7674688313</v>
      </c>
      <c r="D385" s="9">
        <f ca="1">_xlfn.NORM.INV(RAND(),AVERAGE(Assumptions!$D$6,Assumptions!$F$6),(Assumptions!$F$6-Assumptions!$D$6)/3.29)*RANDBETWEEN(2,5)</f>
        <v>7697856.8306127936</v>
      </c>
      <c r="E385" s="12">
        <f ca="1">_xlfn.NORM.INV(RAND(),AVERAGE(Assumptions!$D$17,Assumptions!$F$17),(Assumptions!$F$17-Assumptions!$D$17)/3.29)*8</f>
        <v>768423.17811520142</v>
      </c>
      <c r="F385" s="15">
        <f ca="1">_xlfn.NORM.INV(RAND(),AVERAGE(Assumptions!$D$7,Assumptions!$F$7),(Assumptions!$F$7-Assumptions!$D$7)/3.29)*RANDBETWEEN(1,3)</f>
        <v>2248340.1600783956</v>
      </c>
      <c r="G385" s="3">
        <f ca="1">_xlfn.NORM.INV(RAND(),AVERAGE(Assumptions!$D$8,Assumptions!$F$8),(Assumptions!$F$8-Assumptions!$D$8)/3.29)*44</f>
        <v>1147425.2073051587</v>
      </c>
      <c r="H385" s="6">
        <f ca="1">_xlfn.NORM.INV(RAND(),AVERAGE(Assumptions!$D$9,Assumptions!$F$9),(Assumptions!$F$9-Assumptions!$D$9)/3.29)*21</f>
        <v>4055682.3606588696</v>
      </c>
      <c r="I385" s="9">
        <f ca="1">_xlfn.NORM.INV(RAND(),AVERAGE(Assumptions!$D$10,Assumptions!$F$10),(Assumptions!$F$10-Assumptions!$D$10)/3.29)*21</f>
        <v>486824.00682325859</v>
      </c>
      <c r="J385" s="12">
        <f ca="1">NORMINV(RAND(),AVERAGE(Assumptions!$D$11,Assumptions!$F$11),(Assumptions!$F$11-Assumptions!$D$11)/3.29)*44</f>
        <v>4964603.5068460759</v>
      </c>
      <c r="K385" s="15">
        <f ca="1">_xlfn.NORM.INV(RAND(),AVERAGE(Assumptions!$D$12,Assumptions!$F$12),(Assumptions!$F$12-Assumptions!$D$12)/3.29)*44</f>
        <v>10133244.126763152</v>
      </c>
      <c r="L385" s="3">
        <f ca="1">_xlfn.NORM.INV(RAND(),AVERAGE(Assumptions!$D$13,Assumptions!$F$13),(Assumptions!$F$13-Assumptions!$D$13)/3.29)*44</f>
        <v>8421581.1081187744</v>
      </c>
      <c r="M385" s="6">
        <f ca="1">_xlfn.NORM.INV(RAND(),AVERAGE(Assumptions!$D$14,Assumptions!$F$14),(Assumptions!$F$14-Assumptions!$D$14)/3.29)*44</f>
        <v>4718375.7115004659</v>
      </c>
      <c r="N385" s="9">
        <f ca="1">_xlfn.NORM.INV(RAND(),AVERAGE(Assumptions!$D$16,Assumptions!$F$16),(Assumptions!$F$16-Assumptions!$D$16)/3.29)*44</f>
        <v>13863167.910757357</v>
      </c>
      <c r="O385" s="12">
        <f ca="1">_xlfn.NORM.INV(RAND(),AVERAGE(Assumptions!$D$15,Assumptions!$F$15),(Assumptions!$F$15-Assumptions!$D$15)/3.29)*44</f>
        <v>98585824.264592618</v>
      </c>
      <c r="P385" s="15">
        <f>Assumptions!$D$18</f>
        <v>14641750.345627395</v>
      </c>
      <c r="Q385" s="3">
        <f t="shared" ca="1" si="10"/>
        <v>37026560.144730173</v>
      </c>
      <c r="R385" s="6">
        <f t="shared" ca="1" si="11"/>
        <v>51668310.49035757</v>
      </c>
    </row>
    <row r="386" spans="1:18">
      <c r="A386" s="20">
        <v>385</v>
      </c>
      <c r="B386" s="3">
        <f ca="1">_xlfn.NORM.INV(RAND(),AVERAGE(Assumptions!$D$4,Assumptions!$F$4),(Assumptions!$F$4-Assumptions!$D$4)/3.29)*44</f>
        <v>1107050.9207492755</v>
      </c>
      <c r="C386" s="6">
        <f ca="1">_xlfn.NORM.INV(RAND(),AVERAGE(Assumptions!$D$5,Assumptions!$F$5),(Assumptions!$F$5-Assumptions!$D$5)/3.29)*44</f>
        <v>1840830.0091450519</v>
      </c>
      <c r="D386" s="9">
        <f ca="1">_xlfn.NORM.INV(RAND(),AVERAGE(Assumptions!$D$6,Assumptions!$F$6),(Assumptions!$F$6-Assumptions!$D$6)/3.29)*RANDBETWEEN(2,5)</f>
        <v>4725307.2257279409</v>
      </c>
      <c r="E386" s="12">
        <f ca="1">_xlfn.NORM.INV(RAND(),AVERAGE(Assumptions!$D$17,Assumptions!$F$17),(Assumptions!$F$17-Assumptions!$D$17)/3.29)*8</f>
        <v>917770.20716700167</v>
      </c>
      <c r="F386" s="15">
        <f ca="1">_xlfn.NORM.INV(RAND(),AVERAGE(Assumptions!$D$7,Assumptions!$F$7),(Assumptions!$F$7-Assumptions!$D$7)/3.29)*RANDBETWEEN(1,3)</f>
        <v>3096257.8255827241</v>
      </c>
      <c r="G386" s="3">
        <f ca="1">_xlfn.NORM.INV(RAND(),AVERAGE(Assumptions!$D$8,Assumptions!$F$8),(Assumptions!$F$8-Assumptions!$D$8)/3.29)*44</f>
        <v>761905.27342642553</v>
      </c>
      <c r="H386" s="6">
        <f ca="1">_xlfn.NORM.INV(RAND(),AVERAGE(Assumptions!$D$9,Assumptions!$F$9),(Assumptions!$F$9-Assumptions!$D$9)/3.29)*21</f>
        <v>4771533.7733088415</v>
      </c>
      <c r="I386" s="9">
        <f ca="1">_xlfn.NORM.INV(RAND(),AVERAGE(Assumptions!$D$10,Assumptions!$F$10),(Assumptions!$F$10-Assumptions!$D$10)/3.29)*21</f>
        <v>755419.50480759016</v>
      </c>
      <c r="J386" s="12">
        <f ca="1">NORMINV(RAND(),AVERAGE(Assumptions!$D$11,Assumptions!$F$11),(Assumptions!$F$11-Assumptions!$D$11)/3.29)*44</f>
        <v>4135249.169065055</v>
      </c>
      <c r="K386" s="15">
        <f ca="1">_xlfn.NORM.INV(RAND(),AVERAGE(Assumptions!$D$12,Assumptions!$F$12),(Assumptions!$F$12-Assumptions!$D$12)/3.29)*44</f>
        <v>9089093.0605304223</v>
      </c>
      <c r="L386" s="3">
        <f ca="1">_xlfn.NORM.INV(RAND(),AVERAGE(Assumptions!$D$13,Assumptions!$F$13),(Assumptions!$F$13-Assumptions!$D$13)/3.29)*44</f>
        <v>17148386.975578897</v>
      </c>
      <c r="M386" s="6">
        <f ca="1">_xlfn.NORM.INV(RAND(),AVERAGE(Assumptions!$D$14,Assumptions!$F$14),(Assumptions!$F$14-Assumptions!$D$14)/3.29)*44</f>
        <v>6718847.1143609462</v>
      </c>
      <c r="N386" s="9">
        <f ca="1">_xlfn.NORM.INV(RAND(),AVERAGE(Assumptions!$D$16,Assumptions!$F$16),(Assumptions!$F$16-Assumptions!$D$16)/3.29)*44</f>
        <v>9054599.0019977074</v>
      </c>
      <c r="O386" s="12">
        <f ca="1">_xlfn.NORM.INV(RAND(),AVERAGE(Assumptions!$D$15,Assumptions!$F$15),(Assumptions!$F$15-Assumptions!$D$15)/3.29)*44</f>
        <v>83975838.157614291</v>
      </c>
      <c r="P386" s="15">
        <f>Assumptions!$D$18</f>
        <v>14641750.345627395</v>
      </c>
      <c r="Q386" s="3">
        <f t="shared" ca="1" si="10"/>
        <v>19853588.096166417</v>
      </c>
      <c r="R386" s="6">
        <f t="shared" ca="1" si="11"/>
        <v>34495338.441793814</v>
      </c>
    </row>
    <row r="387" spans="1:18">
      <c r="A387" s="20">
        <v>386</v>
      </c>
      <c r="B387" s="3">
        <f ca="1">_xlfn.NORM.INV(RAND(),AVERAGE(Assumptions!$D$4,Assumptions!$F$4),(Assumptions!$F$4-Assumptions!$D$4)/3.29)*44</f>
        <v>1236734.6500710424</v>
      </c>
      <c r="C387" s="6">
        <f ca="1">_xlfn.NORM.INV(RAND(),AVERAGE(Assumptions!$D$5,Assumptions!$F$5),(Assumptions!$F$5-Assumptions!$D$5)/3.29)*44</f>
        <v>1927273.6166356432</v>
      </c>
      <c r="D387" s="9">
        <f ca="1">_xlfn.NORM.INV(RAND(),AVERAGE(Assumptions!$D$6,Assumptions!$F$6),(Assumptions!$F$6-Assumptions!$D$6)/3.29)*RANDBETWEEN(2,5)</f>
        <v>2722732.4424296971</v>
      </c>
      <c r="E387" s="12">
        <f ca="1">_xlfn.NORM.INV(RAND(),AVERAGE(Assumptions!$D$17,Assumptions!$F$17),(Assumptions!$F$17-Assumptions!$D$17)/3.29)*8</f>
        <v>1087600.2799366664</v>
      </c>
      <c r="F387" s="15">
        <f ca="1">_xlfn.NORM.INV(RAND(),AVERAGE(Assumptions!$D$7,Assumptions!$F$7),(Assumptions!$F$7-Assumptions!$D$7)/3.29)*RANDBETWEEN(1,3)</f>
        <v>9373353.6554150023</v>
      </c>
      <c r="G387" s="3">
        <f ca="1">_xlfn.NORM.INV(RAND(),AVERAGE(Assumptions!$D$8,Assumptions!$F$8),(Assumptions!$F$8-Assumptions!$D$8)/3.29)*44</f>
        <v>945162.19920537388</v>
      </c>
      <c r="H387" s="6">
        <f ca="1">_xlfn.NORM.INV(RAND(),AVERAGE(Assumptions!$D$9,Assumptions!$F$9),(Assumptions!$F$9-Assumptions!$D$9)/3.29)*21</f>
        <v>5108911.5778227663</v>
      </c>
      <c r="I387" s="9">
        <f ca="1">_xlfn.NORM.INV(RAND(),AVERAGE(Assumptions!$D$10,Assumptions!$F$10),(Assumptions!$F$10-Assumptions!$D$10)/3.29)*21</f>
        <v>815491.9357092703</v>
      </c>
      <c r="J387" s="12">
        <f ca="1">NORMINV(RAND(),AVERAGE(Assumptions!$D$11,Assumptions!$F$11),(Assumptions!$F$11-Assumptions!$D$11)/3.29)*44</f>
        <v>2664356.1990386406</v>
      </c>
      <c r="K387" s="15">
        <f ca="1">_xlfn.NORM.INV(RAND(),AVERAGE(Assumptions!$D$12,Assumptions!$F$12),(Assumptions!$F$12-Assumptions!$D$12)/3.29)*44</f>
        <v>10223642.837154908</v>
      </c>
      <c r="L387" s="3">
        <f ca="1">_xlfn.NORM.INV(RAND(),AVERAGE(Assumptions!$D$13,Assumptions!$F$13),(Assumptions!$F$13-Assumptions!$D$13)/3.29)*44</f>
        <v>9614420.4870570246</v>
      </c>
      <c r="M387" s="6">
        <f ca="1">_xlfn.NORM.INV(RAND(),AVERAGE(Assumptions!$D$14,Assumptions!$F$14),(Assumptions!$F$14-Assumptions!$D$14)/3.29)*44</f>
        <v>5962862.8515955349</v>
      </c>
      <c r="N387" s="9">
        <f ca="1">_xlfn.NORM.INV(RAND(),AVERAGE(Assumptions!$D$16,Assumptions!$F$16),(Assumptions!$F$16-Assumptions!$D$16)/3.29)*44</f>
        <v>10793173.928074179</v>
      </c>
      <c r="O387" s="12">
        <f ca="1">_xlfn.NORM.INV(RAND(),AVERAGE(Assumptions!$D$15,Assumptions!$F$15),(Assumptions!$F$15-Assumptions!$D$15)/3.29)*44</f>
        <v>88174779.43210426</v>
      </c>
      <c r="P387" s="15">
        <f>Assumptions!$D$18</f>
        <v>14641750.345627395</v>
      </c>
      <c r="Q387" s="3">
        <f t="shared" ref="Q387:Q450" ca="1" si="12">O387-(B387+C387+D387+F387+G387+H387+I387+J387+K387+L387+M387+N387+E387)</f>
        <v>25699062.771958515</v>
      </c>
      <c r="R387" s="6">
        <f t="shared" ref="R387:R450" ca="1" si="13">Q387+P387</f>
        <v>40340813.117585912</v>
      </c>
    </row>
    <row r="388" spans="1:18">
      <c r="A388" s="20">
        <v>387</v>
      </c>
      <c r="B388" s="3">
        <f ca="1">_xlfn.NORM.INV(RAND(),AVERAGE(Assumptions!$D$4,Assumptions!$F$4),(Assumptions!$F$4-Assumptions!$D$4)/3.29)*44</f>
        <v>1275653.9514786478</v>
      </c>
      <c r="C388" s="6">
        <f ca="1">_xlfn.NORM.INV(RAND(),AVERAGE(Assumptions!$D$5,Assumptions!$F$5),(Assumptions!$F$5-Assumptions!$D$5)/3.29)*44</f>
        <v>1817398.441622175</v>
      </c>
      <c r="D388" s="9">
        <f ca="1">_xlfn.NORM.INV(RAND(),AVERAGE(Assumptions!$D$6,Assumptions!$F$6),(Assumptions!$F$6-Assumptions!$D$6)/3.29)*RANDBETWEEN(2,5)</f>
        <v>2657276.4660445866</v>
      </c>
      <c r="E388" s="12">
        <f ca="1">_xlfn.NORM.INV(RAND(),AVERAGE(Assumptions!$D$17,Assumptions!$F$17),(Assumptions!$F$17-Assumptions!$D$17)/3.29)*8</f>
        <v>1245383.5617346717</v>
      </c>
      <c r="F388" s="15">
        <f ca="1">_xlfn.NORM.INV(RAND(),AVERAGE(Assumptions!$D$7,Assumptions!$F$7),(Assumptions!$F$7-Assumptions!$D$7)/3.29)*RANDBETWEEN(1,3)</f>
        <v>718660.41067051468</v>
      </c>
      <c r="G388" s="3">
        <f ca="1">_xlfn.NORM.INV(RAND(),AVERAGE(Assumptions!$D$8,Assumptions!$F$8),(Assumptions!$F$8-Assumptions!$D$8)/3.29)*44</f>
        <v>1240176.7414791558</v>
      </c>
      <c r="H388" s="6">
        <f ca="1">_xlfn.NORM.INV(RAND(),AVERAGE(Assumptions!$D$9,Assumptions!$F$9),(Assumptions!$F$9-Assumptions!$D$9)/3.29)*21</f>
        <v>2917216.4506546147</v>
      </c>
      <c r="I388" s="9">
        <f ca="1">_xlfn.NORM.INV(RAND(),AVERAGE(Assumptions!$D$10,Assumptions!$F$10),(Assumptions!$F$10-Assumptions!$D$10)/3.29)*21</f>
        <v>805823.74134363909</v>
      </c>
      <c r="J388" s="12">
        <f ca="1">NORMINV(RAND(),AVERAGE(Assumptions!$D$11,Assumptions!$F$11),(Assumptions!$F$11-Assumptions!$D$11)/3.29)*44</f>
        <v>3849554.5198295848</v>
      </c>
      <c r="K388" s="15">
        <f ca="1">_xlfn.NORM.INV(RAND(),AVERAGE(Assumptions!$D$12,Assumptions!$F$12),(Assumptions!$F$12-Assumptions!$D$12)/3.29)*44</f>
        <v>8050143.6075059809</v>
      </c>
      <c r="L388" s="3">
        <f ca="1">_xlfn.NORM.INV(RAND(),AVERAGE(Assumptions!$D$13,Assumptions!$F$13),(Assumptions!$F$13-Assumptions!$D$13)/3.29)*44</f>
        <v>13532049.111875318</v>
      </c>
      <c r="M388" s="6">
        <f ca="1">_xlfn.NORM.INV(RAND(),AVERAGE(Assumptions!$D$14,Assumptions!$F$14),(Assumptions!$F$14-Assumptions!$D$14)/3.29)*44</f>
        <v>6795872.1356116552</v>
      </c>
      <c r="N388" s="9">
        <f ca="1">_xlfn.NORM.INV(RAND(),AVERAGE(Assumptions!$D$16,Assumptions!$F$16),(Assumptions!$F$16-Assumptions!$D$16)/3.29)*44</f>
        <v>15709734.168228183</v>
      </c>
      <c r="O388" s="12">
        <f ca="1">_xlfn.NORM.INV(RAND(),AVERAGE(Assumptions!$D$15,Assumptions!$F$15),(Assumptions!$F$15-Assumptions!$D$15)/3.29)*44</f>
        <v>4017757.728403924</v>
      </c>
      <c r="P388" s="15">
        <f>Assumptions!$D$18</f>
        <v>14641750.345627395</v>
      </c>
      <c r="Q388" s="3">
        <f t="shared" ca="1" si="12"/>
        <v>-56597185.579674803</v>
      </c>
      <c r="R388" s="6">
        <f t="shared" ca="1" si="13"/>
        <v>-41955435.234047405</v>
      </c>
    </row>
    <row r="389" spans="1:18">
      <c r="A389" s="20">
        <v>388</v>
      </c>
      <c r="B389" s="3">
        <f ca="1">_xlfn.NORM.INV(RAND(),AVERAGE(Assumptions!$D$4,Assumptions!$F$4),(Assumptions!$F$4-Assumptions!$D$4)/3.29)*44</f>
        <v>1377665.3837651608</v>
      </c>
      <c r="C389" s="6">
        <f ca="1">_xlfn.NORM.INV(RAND(),AVERAGE(Assumptions!$D$5,Assumptions!$F$5),(Assumptions!$F$5-Assumptions!$D$5)/3.29)*44</f>
        <v>1626573.6414220696</v>
      </c>
      <c r="D389" s="9">
        <f ca="1">_xlfn.NORM.INV(RAND(),AVERAGE(Assumptions!$D$6,Assumptions!$F$6),(Assumptions!$F$6-Assumptions!$D$6)/3.29)*RANDBETWEEN(2,5)</f>
        <v>4067644.2517642393</v>
      </c>
      <c r="E389" s="12">
        <f ca="1">_xlfn.NORM.INV(RAND(),AVERAGE(Assumptions!$D$17,Assumptions!$F$17),(Assumptions!$F$17-Assumptions!$D$17)/3.29)*8</f>
        <v>904891.63192126702</v>
      </c>
      <c r="F389" s="15">
        <f ca="1">_xlfn.NORM.INV(RAND(),AVERAGE(Assumptions!$D$7,Assumptions!$F$7),(Assumptions!$F$7-Assumptions!$D$7)/3.29)*RANDBETWEEN(1,3)</f>
        <v>8297229.7988374643</v>
      </c>
      <c r="G389" s="3">
        <f ca="1">_xlfn.NORM.INV(RAND(),AVERAGE(Assumptions!$D$8,Assumptions!$F$8),(Assumptions!$F$8-Assumptions!$D$8)/3.29)*44</f>
        <v>1627079.0325608822</v>
      </c>
      <c r="H389" s="6">
        <f ca="1">_xlfn.NORM.INV(RAND(),AVERAGE(Assumptions!$D$9,Assumptions!$F$9),(Assumptions!$F$9-Assumptions!$D$9)/3.29)*21</f>
        <v>3445546.4241016037</v>
      </c>
      <c r="I389" s="9">
        <f ca="1">_xlfn.NORM.INV(RAND(),AVERAGE(Assumptions!$D$10,Assumptions!$F$10),(Assumptions!$F$10-Assumptions!$D$10)/3.29)*21</f>
        <v>921610.31746799638</v>
      </c>
      <c r="J389" s="12">
        <f ca="1">NORMINV(RAND(),AVERAGE(Assumptions!$D$11,Assumptions!$F$11),(Assumptions!$F$11-Assumptions!$D$11)/3.29)*44</f>
        <v>3262161.9297002801</v>
      </c>
      <c r="K389" s="15">
        <f ca="1">_xlfn.NORM.INV(RAND(),AVERAGE(Assumptions!$D$12,Assumptions!$F$12),(Assumptions!$F$12-Assumptions!$D$12)/3.29)*44</f>
        <v>11247019.304922279</v>
      </c>
      <c r="L389" s="3">
        <f ca="1">_xlfn.NORM.INV(RAND(),AVERAGE(Assumptions!$D$13,Assumptions!$F$13),(Assumptions!$F$13-Assumptions!$D$13)/3.29)*44</f>
        <v>20407650.257305272</v>
      </c>
      <c r="M389" s="6">
        <f ca="1">_xlfn.NORM.INV(RAND(),AVERAGE(Assumptions!$D$14,Assumptions!$F$14),(Assumptions!$F$14-Assumptions!$D$14)/3.29)*44</f>
        <v>6889394.9035415612</v>
      </c>
      <c r="N389" s="9">
        <f ca="1">_xlfn.NORM.INV(RAND(),AVERAGE(Assumptions!$D$16,Assumptions!$F$16),(Assumptions!$F$16-Assumptions!$D$16)/3.29)*44</f>
        <v>9554593.5269485842</v>
      </c>
      <c r="O389" s="12">
        <f ca="1">_xlfn.NORM.INV(RAND(),AVERAGE(Assumptions!$D$15,Assumptions!$F$15),(Assumptions!$F$15-Assumptions!$D$15)/3.29)*44</f>
        <v>120151319.11296728</v>
      </c>
      <c r="P389" s="15">
        <f>Assumptions!$D$18</f>
        <v>14641750.345627395</v>
      </c>
      <c r="Q389" s="3">
        <f t="shared" ca="1" si="12"/>
        <v>46522258.708708629</v>
      </c>
      <c r="R389" s="6">
        <f t="shared" ca="1" si="13"/>
        <v>61164009.054336026</v>
      </c>
    </row>
    <row r="390" spans="1:18">
      <c r="A390" s="20">
        <v>389</v>
      </c>
      <c r="B390" s="3">
        <f ca="1">_xlfn.NORM.INV(RAND(),AVERAGE(Assumptions!$D$4,Assumptions!$F$4),(Assumptions!$F$4-Assumptions!$D$4)/3.29)*44</f>
        <v>1271328.9750373124</v>
      </c>
      <c r="C390" s="6">
        <f ca="1">_xlfn.NORM.INV(RAND(),AVERAGE(Assumptions!$D$5,Assumptions!$F$5),(Assumptions!$F$5-Assumptions!$D$5)/3.29)*44</f>
        <v>1718861.6496158736</v>
      </c>
      <c r="D390" s="9">
        <f ca="1">_xlfn.NORM.INV(RAND(),AVERAGE(Assumptions!$D$6,Assumptions!$F$6),(Assumptions!$F$6-Assumptions!$D$6)/3.29)*RANDBETWEEN(2,5)</f>
        <v>6879316.1541233324</v>
      </c>
      <c r="E390" s="12">
        <f ca="1">_xlfn.NORM.INV(RAND(),AVERAGE(Assumptions!$D$17,Assumptions!$F$17),(Assumptions!$F$17-Assumptions!$D$17)/3.29)*8</f>
        <v>1265597.425725894</v>
      </c>
      <c r="F390" s="15">
        <f ca="1">_xlfn.NORM.INV(RAND(),AVERAGE(Assumptions!$D$7,Assumptions!$F$7),(Assumptions!$F$7-Assumptions!$D$7)/3.29)*RANDBETWEEN(1,3)</f>
        <v>2434861.9449616754</v>
      </c>
      <c r="G390" s="3">
        <f ca="1">_xlfn.NORM.INV(RAND(),AVERAGE(Assumptions!$D$8,Assumptions!$F$8),(Assumptions!$F$8-Assumptions!$D$8)/3.29)*44</f>
        <v>1066233.6733774312</v>
      </c>
      <c r="H390" s="6">
        <f ca="1">_xlfn.NORM.INV(RAND(),AVERAGE(Assumptions!$D$9,Assumptions!$F$9),(Assumptions!$F$9-Assumptions!$D$9)/3.29)*21</f>
        <v>3679865.5707573136</v>
      </c>
      <c r="I390" s="9">
        <f ca="1">_xlfn.NORM.INV(RAND(),AVERAGE(Assumptions!$D$10,Assumptions!$F$10),(Assumptions!$F$10-Assumptions!$D$10)/3.29)*21</f>
        <v>809993.86971797643</v>
      </c>
      <c r="J390" s="12">
        <f ca="1">NORMINV(RAND(),AVERAGE(Assumptions!$D$11,Assumptions!$F$11),(Assumptions!$F$11-Assumptions!$D$11)/3.29)*44</f>
        <v>4941040.6421764288</v>
      </c>
      <c r="K390" s="15">
        <f ca="1">_xlfn.NORM.INV(RAND(),AVERAGE(Assumptions!$D$12,Assumptions!$F$12),(Assumptions!$F$12-Assumptions!$D$12)/3.29)*44</f>
        <v>5111709.0192245394</v>
      </c>
      <c r="L390" s="3">
        <f ca="1">_xlfn.NORM.INV(RAND(),AVERAGE(Assumptions!$D$13,Assumptions!$F$13),(Assumptions!$F$13-Assumptions!$D$13)/3.29)*44</f>
        <v>9052040.9819243308</v>
      </c>
      <c r="M390" s="6">
        <f ca="1">_xlfn.NORM.INV(RAND(),AVERAGE(Assumptions!$D$14,Assumptions!$F$14),(Assumptions!$F$14-Assumptions!$D$14)/3.29)*44</f>
        <v>6738613.4065107964</v>
      </c>
      <c r="N390" s="9">
        <f ca="1">_xlfn.NORM.INV(RAND(),AVERAGE(Assumptions!$D$16,Assumptions!$F$16),(Assumptions!$F$16-Assumptions!$D$16)/3.29)*44</f>
        <v>16813065.710095145</v>
      </c>
      <c r="O390" s="12">
        <f ca="1">_xlfn.NORM.INV(RAND(),AVERAGE(Assumptions!$D$15,Assumptions!$F$15),(Assumptions!$F$15-Assumptions!$D$15)/3.29)*44</f>
        <v>97988441.599824056</v>
      </c>
      <c r="P390" s="15">
        <f>Assumptions!$D$18</f>
        <v>14641750.345627395</v>
      </c>
      <c r="Q390" s="3">
        <f t="shared" ca="1" si="12"/>
        <v>36205912.576576002</v>
      </c>
      <c r="R390" s="6">
        <f t="shared" ca="1" si="13"/>
        <v>50847662.922203399</v>
      </c>
    </row>
    <row r="391" spans="1:18">
      <c r="A391" s="20">
        <v>390</v>
      </c>
      <c r="B391" s="3">
        <f ca="1">_xlfn.NORM.INV(RAND(),AVERAGE(Assumptions!$D$4,Assumptions!$F$4),(Assumptions!$F$4-Assumptions!$D$4)/3.29)*44</f>
        <v>1254313.2209290743</v>
      </c>
      <c r="C391" s="6">
        <f ca="1">_xlfn.NORM.INV(RAND(),AVERAGE(Assumptions!$D$5,Assumptions!$F$5),(Assumptions!$F$5-Assumptions!$D$5)/3.29)*44</f>
        <v>1964556.3236831836</v>
      </c>
      <c r="D391" s="9">
        <f ca="1">_xlfn.NORM.INV(RAND(),AVERAGE(Assumptions!$D$6,Assumptions!$F$6),(Assumptions!$F$6-Assumptions!$D$6)/3.29)*RANDBETWEEN(2,5)</f>
        <v>1599903.6761591514</v>
      </c>
      <c r="E391" s="12">
        <f ca="1">_xlfn.NORM.INV(RAND(),AVERAGE(Assumptions!$D$17,Assumptions!$F$17),(Assumptions!$F$17-Assumptions!$D$17)/3.29)*8</f>
        <v>906707.33461929811</v>
      </c>
      <c r="F391" s="15">
        <f ca="1">_xlfn.NORM.INV(RAND(),AVERAGE(Assumptions!$D$7,Assumptions!$F$7),(Assumptions!$F$7-Assumptions!$D$7)/3.29)*RANDBETWEEN(1,3)</f>
        <v>5434697.033360892</v>
      </c>
      <c r="G391" s="3">
        <f ca="1">_xlfn.NORM.INV(RAND(),AVERAGE(Assumptions!$D$8,Assumptions!$F$8),(Assumptions!$F$8-Assumptions!$D$8)/3.29)*44</f>
        <v>1333908.3841510359</v>
      </c>
      <c r="H391" s="6">
        <f ca="1">_xlfn.NORM.INV(RAND(),AVERAGE(Assumptions!$D$9,Assumptions!$F$9),(Assumptions!$F$9-Assumptions!$D$9)/3.29)*21</f>
        <v>4782055.2467511324</v>
      </c>
      <c r="I391" s="9">
        <f ca="1">_xlfn.NORM.INV(RAND(),AVERAGE(Assumptions!$D$10,Assumptions!$F$10),(Assumptions!$F$10-Assumptions!$D$10)/3.29)*21</f>
        <v>535297.28114025539</v>
      </c>
      <c r="J391" s="12">
        <f ca="1">NORMINV(RAND(),AVERAGE(Assumptions!$D$11,Assumptions!$F$11),(Assumptions!$F$11-Assumptions!$D$11)/3.29)*44</f>
        <v>4265452.4576925933</v>
      </c>
      <c r="K391" s="15">
        <f ca="1">_xlfn.NORM.INV(RAND(),AVERAGE(Assumptions!$D$12,Assumptions!$F$12),(Assumptions!$F$12-Assumptions!$D$12)/3.29)*44</f>
        <v>10495714.819252731</v>
      </c>
      <c r="L391" s="3">
        <f ca="1">_xlfn.NORM.INV(RAND(),AVERAGE(Assumptions!$D$13,Assumptions!$F$13),(Assumptions!$F$13-Assumptions!$D$13)/3.29)*44</f>
        <v>12112421.917103702</v>
      </c>
      <c r="M391" s="6">
        <f ca="1">_xlfn.NORM.INV(RAND(),AVERAGE(Assumptions!$D$14,Assumptions!$F$14),(Assumptions!$F$14-Assumptions!$D$14)/3.29)*44</f>
        <v>6770607.3250422189</v>
      </c>
      <c r="N391" s="9">
        <f ca="1">_xlfn.NORM.INV(RAND(),AVERAGE(Assumptions!$D$16,Assumptions!$F$16),(Assumptions!$F$16-Assumptions!$D$16)/3.29)*44</f>
        <v>12982580.550056219</v>
      </c>
      <c r="O391" s="12">
        <f ca="1">_xlfn.NORM.INV(RAND(),AVERAGE(Assumptions!$D$15,Assumptions!$F$15),(Assumptions!$F$15-Assumptions!$D$15)/3.29)*44</f>
        <v>2725869.3558144998</v>
      </c>
      <c r="P391" s="15">
        <f>Assumptions!$D$18</f>
        <v>14641750.345627395</v>
      </c>
      <c r="Q391" s="3">
        <f t="shared" ca="1" si="12"/>
        <v>-61712346.214126982</v>
      </c>
      <c r="R391" s="6">
        <f t="shared" ca="1" si="13"/>
        <v>-47070595.868499584</v>
      </c>
    </row>
    <row r="392" spans="1:18">
      <c r="A392" s="20">
        <v>391</v>
      </c>
      <c r="B392" s="3">
        <f ca="1">_xlfn.NORM.INV(RAND(),AVERAGE(Assumptions!$D$4,Assumptions!$F$4),(Assumptions!$F$4-Assumptions!$D$4)/3.29)*44</f>
        <v>1189193.5828236528</v>
      </c>
      <c r="C392" s="6">
        <f ca="1">_xlfn.NORM.INV(RAND(),AVERAGE(Assumptions!$D$5,Assumptions!$F$5),(Assumptions!$F$5-Assumptions!$D$5)/3.29)*44</f>
        <v>2075331.0552863562</v>
      </c>
      <c r="D392" s="9">
        <f ca="1">_xlfn.NORM.INV(RAND(),AVERAGE(Assumptions!$D$6,Assumptions!$F$6),(Assumptions!$F$6-Assumptions!$D$6)/3.29)*RANDBETWEEN(2,5)</f>
        <v>3980212.83693654</v>
      </c>
      <c r="E392" s="12">
        <f ca="1">_xlfn.NORM.INV(RAND(),AVERAGE(Assumptions!$D$17,Assumptions!$F$17),(Assumptions!$F$17-Assumptions!$D$17)/3.29)*8</f>
        <v>1010342.3416506846</v>
      </c>
      <c r="F392" s="15">
        <f ca="1">_xlfn.NORM.INV(RAND(),AVERAGE(Assumptions!$D$7,Assumptions!$F$7),(Assumptions!$F$7-Assumptions!$D$7)/3.29)*RANDBETWEEN(1,3)</f>
        <v>10073213.156187357</v>
      </c>
      <c r="G392" s="3">
        <f ca="1">_xlfn.NORM.INV(RAND(),AVERAGE(Assumptions!$D$8,Assumptions!$F$8),(Assumptions!$F$8-Assumptions!$D$8)/3.29)*44</f>
        <v>1367394.1525396064</v>
      </c>
      <c r="H392" s="6">
        <f ca="1">_xlfn.NORM.INV(RAND(),AVERAGE(Assumptions!$D$9,Assumptions!$F$9),(Assumptions!$F$9-Assumptions!$D$9)/3.29)*21</f>
        <v>4128962.0291960104</v>
      </c>
      <c r="I392" s="9">
        <f ca="1">_xlfn.NORM.INV(RAND(),AVERAGE(Assumptions!$D$10,Assumptions!$F$10),(Assumptions!$F$10-Assumptions!$D$10)/3.29)*21</f>
        <v>1031870.6663839944</v>
      </c>
      <c r="J392" s="12">
        <f ca="1">NORMINV(RAND(),AVERAGE(Assumptions!$D$11,Assumptions!$F$11),(Assumptions!$F$11-Assumptions!$D$11)/3.29)*44</f>
        <v>4624178.289304832</v>
      </c>
      <c r="K392" s="15">
        <f ca="1">_xlfn.NORM.INV(RAND(),AVERAGE(Assumptions!$D$12,Assumptions!$F$12),(Assumptions!$F$12-Assumptions!$D$12)/3.29)*44</f>
        <v>8551442.8723971937</v>
      </c>
      <c r="L392" s="3">
        <f ca="1">_xlfn.NORM.INV(RAND(),AVERAGE(Assumptions!$D$13,Assumptions!$F$13),(Assumptions!$F$13-Assumptions!$D$13)/3.29)*44</f>
        <v>13490953.222841883</v>
      </c>
      <c r="M392" s="6">
        <f ca="1">_xlfn.NORM.INV(RAND(),AVERAGE(Assumptions!$D$14,Assumptions!$F$14),(Assumptions!$F$14-Assumptions!$D$14)/3.29)*44</f>
        <v>6493149.3438346172</v>
      </c>
      <c r="N392" s="9">
        <f ca="1">_xlfn.NORM.INV(RAND(),AVERAGE(Assumptions!$D$16,Assumptions!$F$16),(Assumptions!$F$16-Assumptions!$D$16)/3.29)*44</f>
        <v>3842130.1672926666</v>
      </c>
      <c r="O392" s="12">
        <f ca="1">_xlfn.NORM.INV(RAND(),AVERAGE(Assumptions!$D$15,Assumptions!$F$15),(Assumptions!$F$15-Assumptions!$D$15)/3.29)*44</f>
        <v>96721686.025045827</v>
      </c>
      <c r="P392" s="15">
        <f>Assumptions!$D$18</f>
        <v>14641750.345627395</v>
      </c>
      <c r="Q392" s="3">
        <f t="shared" ca="1" si="12"/>
        <v>34863312.308370434</v>
      </c>
      <c r="R392" s="6">
        <f t="shared" ca="1" si="13"/>
        <v>49505062.653997831</v>
      </c>
    </row>
    <row r="393" spans="1:18">
      <c r="A393" s="20">
        <v>392</v>
      </c>
      <c r="B393" s="3">
        <f ca="1">_xlfn.NORM.INV(RAND(),AVERAGE(Assumptions!$D$4,Assumptions!$F$4),(Assumptions!$F$4-Assumptions!$D$4)/3.29)*44</f>
        <v>1261297.8680633933</v>
      </c>
      <c r="C393" s="6">
        <f ca="1">_xlfn.NORM.INV(RAND(),AVERAGE(Assumptions!$D$5,Assumptions!$F$5),(Assumptions!$F$5-Assumptions!$D$5)/3.29)*44</f>
        <v>1602059.2663550337</v>
      </c>
      <c r="D393" s="9">
        <f ca="1">_xlfn.NORM.INV(RAND(),AVERAGE(Assumptions!$D$6,Assumptions!$F$6),(Assumptions!$F$6-Assumptions!$D$6)/3.29)*RANDBETWEEN(2,5)</f>
        <v>4691029.6434626728</v>
      </c>
      <c r="E393" s="12">
        <f ca="1">_xlfn.NORM.INV(RAND(),AVERAGE(Assumptions!$D$17,Assumptions!$F$17),(Assumptions!$F$17-Assumptions!$D$17)/3.29)*8</f>
        <v>874451.66170209204</v>
      </c>
      <c r="F393" s="15">
        <f ca="1">_xlfn.NORM.INV(RAND(),AVERAGE(Assumptions!$D$7,Assumptions!$F$7),(Assumptions!$F$7-Assumptions!$D$7)/3.29)*RANDBETWEEN(1,3)</f>
        <v>3764615.3944758517</v>
      </c>
      <c r="G393" s="3">
        <f ca="1">_xlfn.NORM.INV(RAND(),AVERAGE(Assumptions!$D$8,Assumptions!$F$8),(Assumptions!$F$8-Assumptions!$D$8)/3.29)*44</f>
        <v>1390375.1956714904</v>
      </c>
      <c r="H393" s="6">
        <f ca="1">_xlfn.NORM.INV(RAND(),AVERAGE(Assumptions!$D$9,Assumptions!$F$9),(Assumptions!$F$9-Assumptions!$D$9)/3.29)*21</f>
        <v>6846768.962736479</v>
      </c>
      <c r="I393" s="9">
        <f ca="1">_xlfn.NORM.INV(RAND(),AVERAGE(Assumptions!$D$10,Assumptions!$F$10),(Assumptions!$F$10-Assumptions!$D$10)/3.29)*21</f>
        <v>639613.48818330257</v>
      </c>
      <c r="J393" s="12">
        <f ca="1">NORMINV(RAND(),AVERAGE(Assumptions!$D$11,Assumptions!$F$11),(Assumptions!$F$11-Assumptions!$D$11)/3.29)*44</f>
        <v>4089287.3573643528</v>
      </c>
      <c r="K393" s="15">
        <f ca="1">_xlfn.NORM.INV(RAND(),AVERAGE(Assumptions!$D$12,Assumptions!$F$12),(Assumptions!$F$12-Assumptions!$D$12)/3.29)*44</f>
        <v>8170431.5005331812</v>
      </c>
      <c r="L393" s="3">
        <f ca="1">_xlfn.NORM.INV(RAND(),AVERAGE(Assumptions!$D$13,Assumptions!$F$13),(Assumptions!$F$13-Assumptions!$D$13)/3.29)*44</f>
        <v>16645953.619104724</v>
      </c>
      <c r="M393" s="6">
        <f ca="1">_xlfn.NORM.INV(RAND(),AVERAGE(Assumptions!$D$14,Assumptions!$F$14),(Assumptions!$F$14-Assumptions!$D$14)/3.29)*44</f>
        <v>6033339.5216767238</v>
      </c>
      <c r="N393" s="9">
        <f ca="1">_xlfn.NORM.INV(RAND(),AVERAGE(Assumptions!$D$16,Assumptions!$F$16),(Assumptions!$F$16-Assumptions!$D$16)/3.29)*44</f>
        <v>958943.36356618081</v>
      </c>
      <c r="O393" s="12">
        <f ca="1">_xlfn.NORM.INV(RAND(),AVERAGE(Assumptions!$D$15,Assumptions!$F$15),(Assumptions!$F$15-Assumptions!$D$15)/3.29)*44</f>
        <v>60422652.846284419</v>
      </c>
      <c r="P393" s="15">
        <f>Assumptions!$D$18</f>
        <v>14641750.345627395</v>
      </c>
      <c r="Q393" s="3">
        <f t="shared" ca="1" si="12"/>
        <v>3454486.0033889338</v>
      </c>
      <c r="R393" s="6">
        <f t="shared" ca="1" si="13"/>
        <v>18096236.349016331</v>
      </c>
    </row>
    <row r="394" spans="1:18">
      <c r="A394" s="20">
        <v>393</v>
      </c>
      <c r="B394" s="3">
        <f ca="1">_xlfn.NORM.INV(RAND(),AVERAGE(Assumptions!$D$4,Assumptions!$F$4),(Assumptions!$F$4-Assumptions!$D$4)/3.29)*44</f>
        <v>1217867.4676497274</v>
      </c>
      <c r="C394" s="6">
        <f ca="1">_xlfn.NORM.INV(RAND(),AVERAGE(Assumptions!$D$5,Assumptions!$F$5),(Assumptions!$F$5-Assumptions!$D$5)/3.29)*44</f>
        <v>2082881.6968573942</v>
      </c>
      <c r="D394" s="9">
        <f ca="1">_xlfn.NORM.INV(RAND(),AVERAGE(Assumptions!$D$6,Assumptions!$F$6),(Assumptions!$F$6-Assumptions!$D$6)/3.29)*RANDBETWEEN(2,5)</f>
        <v>3353303.2281449428</v>
      </c>
      <c r="E394" s="12">
        <f ca="1">_xlfn.NORM.INV(RAND(),AVERAGE(Assumptions!$D$17,Assumptions!$F$17),(Assumptions!$F$17-Assumptions!$D$17)/3.29)*8</f>
        <v>927397.02639267128</v>
      </c>
      <c r="F394" s="15">
        <f ca="1">_xlfn.NORM.INV(RAND(),AVERAGE(Assumptions!$D$7,Assumptions!$F$7),(Assumptions!$F$7-Assumptions!$D$7)/3.29)*RANDBETWEEN(1,3)</f>
        <v>12593704.444231192</v>
      </c>
      <c r="G394" s="3">
        <f ca="1">_xlfn.NORM.INV(RAND(),AVERAGE(Assumptions!$D$8,Assumptions!$F$8),(Assumptions!$F$8-Assumptions!$D$8)/3.29)*44</f>
        <v>1124778.8141342569</v>
      </c>
      <c r="H394" s="6">
        <f ca="1">_xlfn.NORM.INV(RAND(),AVERAGE(Assumptions!$D$9,Assumptions!$F$9),(Assumptions!$F$9-Assumptions!$D$9)/3.29)*21</f>
        <v>4946461.9706742642</v>
      </c>
      <c r="I394" s="9">
        <f ca="1">_xlfn.NORM.INV(RAND(),AVERAGE(Assumptions!$D$10,Assumptions!$F$10),(Assumptions!$F$10-Assumptions!$D$10)/3.29)*21</f>
        <v>746789.34366542124</v>
      </c>
      <c r="J394" s="12">
        <f ca="1">NORMINV(RAND(),AVERAGE(Assumptions!$D$11,Assumptions!$F$11),(Assumptions!$F$11-Assumptions!$D$11)/3.29)*44</f>
        <v>3125546.411207444</v>
      </c>
      <c r="K394" s="15">
        <f ca="1">_xlfn.NORM.INV(RAND(),AVERAGE(Assumptions!$D$12,Assumptions!$F$12),(Assumptions!$F$12-Assumptions!$D$12)/3.29)*44</f>
        <v>9072201.9817363787</v>
      </c>
      <c r="L394" s="3">
        <f ca="1">_xlfn.NORM.INV(RAND(),AVERAGE(Assumptions!$D$13,Assumptions!$F$13),(Assumptions!$F$13-Assumptions!$D$13)/3.29)*44</f>
        <v>12891779.656794652</v>
      </c>
      <c r="M394" s="6">
        <f ca="1">_xlfn.NORM.INV(RAND(),AVERAGE(Assumptions!$D$14,Assumptions!$F$14),(Assumptions!$F$14-Assumptions!$D$14)/3.29)*44</f>
        <v>5344444.6185247852</v>
      </c>
      <c r="N394" s="9">
        <f ca="1">_xlfn.NORM.INV(RAND(),AVERAGE(Assumptions!$D$16,Assumptions!$F$16),(Assumptions!$F$16-Assumptions!$D$16)/3.29)*44</f>
        <v>13558917.637611408</v>
      </c>
      <c r="O394" s="12">
        <f ca="1">_xlfn.NORM.INV(RAND(),AVERAGE(Assumptions!$D$15,Assumptions!$F$15),(Assumptions!$F$15-Assumptions!$D$15)/3.29)*44</f>
        <v>53682091.756546348</v>
      </c>
      <c r="P394" s="15">
        <f>Assumptions!$D$18</f>
        <v>14641750.345627395</v>
      </c>
      <c r="Q394" s="3">
        <f t="shared" ca="1" si="12"/>
        <v>-17303982.54107818</v>
      </c>
      <c r="R394" s="6">
        <f t="shared" ca="1" si="13"/>
        <v>-2662232.1954507846</v>
      </c>
    </row>
    <row r="395" spans="1:18">
      <c r="A395" s="20">
        <v>394</v>
      </c>
      <c r="B395" s="3">
        <f ca="1">_xlfn.NORM.INV(RAND(),AVERAGE(Assumptions!$D$4,Assumptions!$F$4),(Assumptions!$F$4-Assumptions!$D$4)/3.29)*44</f>
        <v>1149807.7561277365</v>
      </c>
      <c r="C395" s="6">
        <f ca="1">_xlfn.NORM.INV(RAND(),AVERAGE(Assumptions!$D$5,Assumptions!$F$5),(Assumptions!$F$5-Assumptions!$D$5)/3.29)*44</f>
        <v>1797252.3679791142</v>
      </c>
      <c r="D395" s="9">
        <f ca="1">_xlfn.NORM.INV(RAND(),AVERAGE(Assumptions!$D$6,Assumptions!$F$6),(Assumptions!$F$6-Assumptions!$D$6)/3.29)*RANDBETWEEN(2,5)</f>
        <v>2039554.6154409281</v>
      </c>
      <c r="E395" s="12">
        <f ca="1">_xlfn.NORM.INV(RAND(),AVERAGE(Assumptions!$D$17,Assumptions!$F$17),(Assumptions!$F$17-Assumptions!$D$17)/3.29)*8</f>
        <v>890405.69198913604</v>
      </c>
      <c r="F395" s="15">
        <f ca="1">_xlfn.NORM.INV(RAND(),AVERAGE(Assumptions!$D$7,Assumptions!$F$7),(Assumptions!$F$7-Assumptions!$D$7)/3.29)*RANDBETWEEN(1,3)</f>
        <v>5705895.8094313778</v>
      </c>
      <c r="G395" s="3">
        <f ca="1">_xlfn.NORM.INV(RAND(),AVERAGE(Assumptions!$D$8,Assumptions!$F$8),(Assumptions!$F$8-Assumptions!$D$8)/3.29)*44</f>
        <v>1490333.2230762281</v>
      </c>
      <c r="H395" s="6">
        <f ca="1">_xlfn.NORM.INV(RAND(),AVERAGE(Assumptions!$D$9,Assumptions!$F$9),(Assumptions!$F$9-Assumptions!$D$9)/3.29)*21</f>
        <v>3302508.342778929</v>
      </c>
      <c r="I395" s="9">
        <f ca="1">_xlfn.NORM.INV(RAND(),AVERAGE(Assumptions!$D$10,Assumptions!$F$10),(Assumptions!$F$10-Assumptions!$D$10)/3.29)*21</f>
        <v>1257297.608725606</v>
      </c>
      <c r="J395" s="12">
        <f ca="1">NORMINV(RAND(),AVERAGE(Assumptions!$D$11,Assumptions!$F$11),(Assumptions!$F$11-Assumptions!$D$11)/3.29)*44</f>
        <v>2483092.6331391046</v>
      </c>
      <c r="K395" s="15">
        <f ca="1">_xlfn.NORM.INV(RAND(),AVERAGE(Assumptions!$D$12,Assumptions!$F$12),(Assumptions!$F$12-Assumptions!$D$12)/3.29)*44</f>
        <v>8774773.247940354</v>
      </c>
      <c r="L395" s="3">
        <f ca="1">_xlfn.NORM.INV(RAND(),AVERAGE(Assumptions!$D$13,Assumptions!$F$13),(Assumptions!$F$13-Assumptions!$D$13)/3.29)*44</f>
        <v>15420178.549381491</v>
      </c>
      <c r="M395" s="6">
        <f ca="1">_xlfn.NORM.INV(RAND(),AVERAGE(Assumptions!$D$14,Assumptions!$F$14),(Assumptions!$F$14-Assumptions!$D$14)/3.29)*44</f>
        <v>7390110.2125333389</v>
      </c>
      <c r="N395" s="9">
        <f ca="1">_xlfn.NORM.INV(RAND(),AVERAGE(Assumptions!$D$16,Assumptions!$F$16),(Assumptions!$F$16-Assumptions!$D$16)/3.29)*44</f>
        <v>11075624.374263281</v>
      </c>
      <c r="O395" s="12">
        <f ca="1">_xlfn.NORM.INV(RAND(),AVERAGE(Assumptions!$D$15,Assumptions!$F$15),(Assumptions!$F$15-Assumptions!$D$15)/3.29)*44</f>
        <v>40573098.04832764</v>
      </c>
      <c r="P395" s="15">
        <f>Assumptions!$D$18</f>
        <v>14641750.345627395</v>
      </c>
      <c r="Q395" s="3">
        <f t="shared" ca="1" si="12"/>
        <v>-22203736.384478986</v>
      </c>
      <c r="R395" s="6">
        <f t="shared" ca="1" si="13"/>
        <v>-7561986.0388515908</v>
      </c>
    </row>
    <row r="396" spans="1:18">
      <c r="A396" s="20">
        <v>395</v>
      </c>
      <c r="B396" s="3">
        <f ca="1">_xlfn.NORM.INV(RAND(),AVERAGE(Assumptions!$D$4,Assumptions!$F$4),(Assumptions!$F$4-Assumptions!$D$4)/3.29)*44</f>
        <v>1233385.0942476231</v>
      </c>
      <c r="C396" s="6">
        <f ca="1">_xlfn.NORM.INV(RAND(),AVERAGE(Assumptions!$D$5,Assumptions!$F$5),(Assumptions!$F$5-Assumptions!$D$5)/3.29)*44</f>
        <v>2011452.9354666127</v>
      </c>
      <c r="D396" s="9">
        <f ca="1">_xlfn.NORM.INV(RAND(),AVERAGE(Assumptions!$D$6,Assumptions!$F$6),(Assumptions!$F$6-Assumptions!$D$6)/3.29)*RANDBETWEEN(2,5)</f>
        <v>1768822.0820344165</v>
      </c>
      <c r="E396" s="12">
        <f ca="1">_xlfn.NORM.INV(RAND(),AVERAGE(Assumptions!$D$17,Assumptions!$F$17),(Assumptions!$F$17-Assumptions!$D$17)/3.29)*8</f>
        <v>839572.03024089651</v>
      </c>
      <c r="F396" s="15">
        <f ca="1">_xlfn.NORM.INV(RAND(),AVERAGE(Assumptions!$D$7,Assumptions!$F$7),(Assumptions!$F$7-Assumptions!$D$7)/3.29)*RANDBETWEEN(1,3)</f>
        <v>6792110.2205787404</v>
      </c>
      <c r="G396" s="3">
        <f ca="1">_xlfn.NORM.INV(RAND(),AVERAGE(Assumptions!$D$8,Assumptions!$F$8),(Assumptions!$F$8-Assumptions!$D$8)/3.29)*44</f>
        <v>1253927.7412609837</v>
      </c>
      <c r="H396" s="6">
        <f ca="1">_xlfn.NORM.INV(RAND(),AVERAGE(Assumptions!$D$9,Assumptions!$F$9),(Assumptions!$F$9-Assumptions!$D$9)/3.29)*21</f>
        <v>4217877.7320648711</v>
      </c>
      <c r="I396" s="9">
        <f ca="1">_xlfn.NORM.INV(RAND(),AVERAGE(Assumptions!$D$10,Assumptions!$F$10),(Assumptions!$F$10-Assumptions!$D$10)/3.29)*21</f>
        <v>1219300.51937067</v>
      </c>
      <c r="J396" s="12">
        <f ca="1">NORMINV(RAND(),AVERAGE(Assumptions!$D$11,Assumptions!$F$11),(Assumptions!$F$11-Assumptions!$D$11)/3.29)*44</f>
        <v>2481902.7991603203</v>
      </c>
      <c r="K396" s="15">
        <f ca="1">_xlfn.NORM.INV(RAND(),AVERAGE(Assumptions!$D$12,Assumptions!$F$12),(Assumptions!$F$12-Assumptions!$D$12)/3.29)*44</f>
        <v>3960618.7697398905</v>
      </c>
      <c r="L396" s="3">
        <f ca="1">_xlfn.NORM.INV(RAND(),AVERAGE(Assumptions!$D$13,Assumptions!$F$13),(Assumptions!$F$13-Assumptions!$D$13)/3.29)*44</f>
        <v>11905707.461439418</v>
      </c>
      <c r="M396" s="6">
        <f ca="1">_xlfn.NORM.INV(RAND(),AVERAGE(Assumptions!$D$14,Assumptions!$F$14),(Assumptions!$F$14-Assumptions!$D$14)/3.29)*44</f>
        <v>6206573.2689540312</v>
      </c>
      <c r="N396" s="9">
        <f ca="1">_xlfn.NORM.INV(RAND(),AVERAGE(Assumptions!$D$16,Assumptions!$F$16),(Assumptions!$F$16-Assumptions!$D$16)/3.29)*44</f>
        <v>13667090.378022488</v>
      </c>
      <c r="O396" s="12">
        <f ca="1">_xlfn.NORM.INV(RAND(),AVERAGE(Assumptions!$D$15,Assumptions!$F$15),(Assumptions!$F$15-Assumptions!$D$15)/3.29)*44</f>
        <v>78375271.657456845</v>
      </c>
      <c r="P396" s="15">
        <f>Assumptions!$D$18</f>
        <v>14641750.345627395</v>
      </c>
      <c r="Q396" s="3">
        <f t="shared" ca="1" si="12"/>
        <v>20816930.624875888</v>
      </c>
      <c r="R396" s="6">
        <f t="shared" ca="1" si="13"/>
        <v>35458680.970503286</v>
      </c>
    </row>
    <row r="397" spans="1:18">
      <c r="A397" s="20">
        <v>396</v>
      </c>
      <c r="B397" s="3">
        <f ca="1">_xlfn.NORM.INV(RAND(),AVERAGE(Assumptions!$D$4,Assumptions!$F$4),(Assumptions!$F$4-Assumptions!$D$4)/3.29)*44</f>
        <v>1199034.0371187062</v>
      </c>
      <c r="C397" s="6">
        <f ca="1">_xlfn.NORM.INV(RAND(),AVERAGE(Assumptions!$D$5,Assumptions!$F$5),(Assumptions!$F$5-Assumptions!$D$5)/3.29)*44</f>
        <v>1682836.1745488255</v>
      </c>
      <c r="D397" s="9">
        <f ca="1">_xlfn.NORM.INV(RAND(),AVERAGE(Assumptions!$D$6,Assumptions!$F$6),(Assumptions!$F$6-Assumptions!$D$6)/3.29)*RANDBETWEEN(2,5)</f>
        <v>3813306.0295294533</v>
      </c>
      <c r="E397" s="12">
        <f ca="1">_xlfn.NORM.INV(RAND(),AVERAGE(Assumptions!$D$17,Assumptions!$F$17),(Assumptions!$F$17-Assumptions!$D$17)/3.29)*8</f>
        <v>968085.47281780757</v>
      </c>
      <c r="F397" s="15">
        <f ca="1">_xlfn.NORM.INV(RAND(),AVERAGE(Assumptions!$D$7,Assumptions!$F$7),(Assumptions!$F$7-Assumptions!$D$7)/3.29)*RANDBETWEEN(1,3)</f>
        <v>4505472.8394987769</v>
      </c>
      <c r="G397" s="3">
        <f ca="1">_xlfn.NORM.INV(RAND(),AVERAGE(Assumptions!$D$8,Assumptions!$F$8),(Assumptions!$F$8-Assumptions!$D$8)/3.29)*44</f>
        <v>1182966.4918217305</v>
      </c>
      <c r="H397" s="6">
        <f ca="1">_xlfn.NORM.INV(RAND(),AVERAGE(Assumptions!$D$9,Assumptions!$F$9),(Assumptions!$F$9-Assumptions!$D$9)/3.29)*21</f>
        <v>2917401.41355365</v>
      </c>
      <c r="I397" s="9">
        <f ca="1">_xlfn.NORM.INV(RAND(),AVERAGE(Assumptions!$D$10,Assumptions!$F$10),(Assumptions!$F$10-Assumptions!$D$10)/3.29)*21</f>
        <v>1225626.8106392988</v>
      </c>
      <c r="J397" s="12">
        <f ca="1">NORMINV(RAND(),AVERAGE(Assumptions!$D$11,Assumptions!$F$11),(Assumptions!$F$11-Assumptions!$D$11)/3.29)*44</f>
        <v>4582338.3771827007</v>
      </c>
      <c r="K397" s="15">
        <f ca="1">_xlfn.NORM.INV(RAND(),AVERAGE(Assumptions!$D$12,Assumptions!$F$12),(Assumptions!$F$12-Assumptions!$D$12)/3.29)*44</f>
        <v>8681741.3945737723</v>
      </c>
      <c r="L397" s="3">
        <f ca="1">_xlfn.NORM.INV(RAND(),AVERAGE(Assumptions!$D$13,Assumptions!$F$13),(Assumptions!$F$13-Assumptions!$D$13)/3.29)*44</f>
        <v>16201949.611455077</v>
      </c>
      <c r="M397" s="6">
        <f ca="1">_xlfn.NORM.INV(RAND(),AVERAGE(Assumptions!$D$14,Assumptions!$F$14),(Assumptions!$F$14-Assumptions!$D$14)/3.29)*44</f>
        <v>5142976.5861835396</v>
      </c>
      <c r="N397" s="9">
        <f ca="1">_xlfn.NORM.INV(RAND(),AVERAGE(Assumptions!$D$16,Assumptions!$F$16),(Assumptions!$F$16-Assumptions!$D$16)/3.29)*44</f>
        <v>7042176.125267555</v>
      </c>
      <c r="O397" s="12">
        <f ca="1">_xlfn.NORM.INV(RAND(),AVERAGE(Assumptions!$D$15,Assumptions!$F$15),(Assumptions!$F$15-Assumptions!$D$15)/3.29)*44</f>
        <v>142463393.1701003</v>
      </c>
      <c r="P397" s="15">
        <f>Assumptions!$D$18</f>
        <v>14641750.345627395</v>
      </c>
      <c r="Q397" s="3">
        <f t="shared" ca="1" si="12"/>
        <v>83317481.805909395</v>
      </c>
      <c r="R397" s="6">
        <f t="shared" ca="1" si="13"/>
        <v>97959232.151536793</v>
      </c>
    </row>
    <row r="398" spans="1:18">
      <c r="A398" s="20">
        <v>397</v>
      </c>
      <c r="B398" s="3">
        <f ca="1">_xlfn.NORM.INV(RAND(),AVERAGE(Assumptions!$D$4,Assumptions!$F$4),(Assumptions!$F$4-Assumptions!$D$4)/3.29)*44</f>
        <v>1167699.4139752602</v>
      </c>
      <c r="C398" s="6">
        <f ca="1">_xlfn.NORM.INV(RAND(),AVERAGE(Assumptions!$D$5,Assumptions!$F$5),(Assumptions!$F$5-Assumptions!$D$5)/3.29)*44</f>
        <v>1880024.1512028291</v>
      </c>
      <c r="D398" s="9">
        <f ca="1">_xlfn.NORM.INV(RAND(),AVERAGE(Assumptions!$D$6,Assumptions!$F$6),(Assumptions!$F$6-Assumptions!$D$6)/3.29)*RANDBETWEEN(2,5)</f>
        <v>2408974.9949706881</v>
      </c>
      <c r="E398" s="12">
        <f ca="1">_xlfn.NORM.INV(RAND(),AVERAGE(Assumptions!$D$17,Assumptions!$F$17),(Assumptions!$F$17-Assumptions!$D$17)/3.29)*8</f>
        <v>963560.56980285142</v>
      </c>
      <c r="F398" s="15">
        <f ca="1">_xlfn.NORM.INV(RAND(),AVERAGE(Assumptions!$D$7,Assumptions!$F$7),(Assumptions!$F$7-Assumptions!$D$7)/3.29)*RANDBETWEEN(1,3)</f>
        <v>4129046.5643329709</v>
      </c>
      <c r="G398" s="3">
        <f ca="1">_xlfn.NORM.INV(RAND(),AVERAGE(Assumptions!$D$8,Assumptions!$F$8),(Assumptions!$F$8-Assumptions!$D$8)/3.29)*44</f>
        <v>1454524.4462275149</v>
      </c>
      <c r="H398" s="6">
        <f ca="1">_xlfn.NORM.INV(RAND(),AVERAGE(Assumptions!$D$9,Assumptions!$F$9),(Assumptions!$F$9-Assumptions!$D$9)/3.29)*21</f>
        <v>3526085.6548535652</v>
      </c>
      <c r="I398" s="9">
        <f ca="1">_xlfn.NORM.INV(RAND(),AVERAGE(Assumptions!$D$10,Assumptions!$F$10),(Assumptions!$F$10-Assumptions!$D$10)/3.29)*21</f>
        <v>899594.23584604543</v>
      </c>
      <c r="J398" s="12">
        <f ca="1">NORMINV(RAND(),AVERAGE(Assumptions!$D$11,Assumptions!$F$11),(Assumptions!$F$11-Assumptions!$D$11)/3.29)*44</f>
        <v>1438524.2565868704</v>
      </c>
      <c r="K398" s="15">
        <f ca="1">_xlfn.NORM.INV(RAND(),AVERAGE(Assumptions!$D$12,Assumptions!$F$12),(Assumptions!$F$12-Assumptions!$D$12)/3.29)*44</f>
        <v>9234698.7821926661</v>
      </c>
      <c r="L398" s="3">
        <f ca="1">_xlfn.NORM.INV(RAND(),AVERAGE(Assumptions!$D$13,Assumptions!$F$13),(Assumptions!$F$13-Assumptions!$D$13)/3.29)*44</f>
        <v>16599013.612207945</v>
      </c>
      <c r="M398" s="6">
        <f ca="1">_xlfn.NORM.INV(RAND(),AVERAGE(Assumptions!$D$14,Assumptions!$F$14),(Assumptions!$F$14-Assumptions!$D$14)/3.29)*44</f>
        <v>6416187.325112693</v>
      </c>
      <c r="N398" s="9">
        <f ca="1">_xlfn.NORM.INV(RAND(),AVERAGE(Assumptions!$D$16,Assumptions!$F$16),(Assumptions!$F$16-Assumptions!$D$16)/3.29)*44</f>
        <v>16227961.306360723</v>
      </c>
      <c r="O398" s="12">
        <f ca="1">_xlfn.NORM.INV(RAND(),AVERAGE(Assumptions!$D$15,Assumptions!$F$15),(Assumptions!$F$15-Assumptions!$D$15)/3.29)*44</f>
        <v>75427010.866174579</v>
      </c>
      <c r="P398" s="15">
        <f>Assumptions!$D$18</f>
        <v>14641750.345627395</v>
      </c>
      <c r="Q398" s="3">
        <f t="shared" ca="1" si="12"/>
        <v>9081115.5525019541</v>
      </c>
      <c r="R398" s="6">
        <f t="shared" ca="1" si="13"/>
        <v>23722865.898129351</v>
      </c>
    </row>
    <row r="399" spans="1:18">
      <c r="A399" s="20">
        <v>398</v>
      </c>
      <c r="B399" s="3">
        <f ca="1">_xlfn.NORM.INV(RAND(),AVERAGE(Assumptions!$D$4,Assumptions!$F$4),(Assumptions!$F$4-Assumptions!$D$4)/3.29)*44</f>
        <v>1266189.9321276513</v>
      </c>
      <c r="C399" s="6">
        <f ca="1">_xlfn.NORM.INV(RAND(),AVERAGE(Assumptions!$D$5,Assumptions!$F$5),(Assumptions!$F$5-Assumptions!$D$5)/3.29)*44</f>
        <v>2159243.2043912318</v>
      </c>
      <c r="D399" s="9">
        <f ca="1">_xlfn.NORM.INV(RAND(),AVERAGE(Assumptions!$D$6,Assumptions!$F$6),(Assumptions!$F$6-Assumptions!$D$6)/3.29)*RANDBETWEEN(2,5)</f>
        <v>6289409.0717045162</v>
      </c>
      <c r="E399" s="12">
        <f ca="1">_xlfn.NORM.INV(RAND(),AVERAGE(Assumptions!$D$17,Assumptions!$F$17),(Assumptions!$F$17-Assumptions!$D$17)/3.29)*8</f>
        <v>762169.26269806025</v>
      </c>
      <c r="F399" s="15">
        <f ca="1">_xlfn.NORM.INV(RAND(),AVERAGE(Assumptions!$D$7,Assumptions!$F$7),(Assumptions!$F$7-Assumptions!$D$7)/3.29)*RANDBETWEEN(1,3)</f>
        <v>4793384.8491475619</v>
      </c>
      <c r="G399" s="3">
        <f ca="1">_xlfn.NORM.INV(RAND(),AVERAGE(Assumptions!$D$8,Assumptions!$F$8),(Assumptions!$F$8-Assumptions!$D$8)/3.29)*44</f>
        <v>1396457.6106408397</v>
      </c>
      <c r="H399" s="6">
        <f ca="1">_xlfn.NORM.INV(RAND(),AVERAGE(Assumptions!$D$9,Assumptions!$F$9),(Assumptions!$F$9-Assumptions!$D$9)/3.29)*21</f>
        <v>7482750.5279942239</v>
      </c>
      <c r="I399" s="9">
        <f ca="1">_xlfn.NORM.INV(RAND(),AVERAGE(Assumptions!$D$10,Assumptions!$F$10),(Assumptions!$F$10-Assumptions!$D$10)/3.29)*21</f>
        <v>747525.74980663334</v>
      </c>
      <c r="J399" s="12">
        <f ca="1">NORMINV(RAND(),AVERAGE(Assumptions!$D$11,Assumptions!$F$11),(Assumptions!$F$11-Assumptions!$D$11)/3.29)*44</f>
        <v>3167163.6880463804</v>
      </c>
      <c r="K399" s="15">
        <f ca="1">_xlfn.NORM.INV(RAND(),AVERAGE(Assumptions!$D$12,Assumptions!$F$12),(Assumptions!$F$12-Assumptions!$D$12)/3.29)*44</f>
        <v>8477926.0487367548</v>
      </c>
      <c r="L399" s="3">
        <f ca="1">_xlfn.NORM.INV(RAND(),AVERAGE(Assumptions!$D$13,Assumptions!$F$13),(Assumptions!$F$13-Assumptions!$D$13)/3.29)*44</f>
        <v>17450437.107992202</v>
      </c>
      <c r="M399" s="6">
        <f ca="1">_xlfn.NORM.INV(RAND(),AVERAGE(Assumptions!$D$14,Assumptions!$F$14),(Assumptions!$F$14-Assumptions!$D$14)/3.29)*44</f>
        <v>4875229.9023605669</v>
      </c>
      <c r="N399" s="9">
        <f ca="1">_xlfn.NORM.INV(RAND(),AVERAGE(Assumptions!$D$16,Assumptions!$F$16),(Assumptions!$F$16-Assumptions!$D$16)/3.29)*44</f>
        <v>8837644.282773871</v>
      </c>
      <c r="O399" s="12">
        <f ca="1">_xlfn.NORM.INV(RAND(),AVERAGE(Assumptions!$D$15,Assumptions!$F$15),(Assumptions!$F$15-Assumptions!$D$15)/3.29)*44</f>
        <v>185305138.35829502</v>
      </c>
      <c r="P399" s="15">
        <f>Assumptions!$D$18</f>
        <v>14641750.345627395</v>
      </c>
      <c r="Q399" s="3">
        <f t="shared" ca="1" si="12"/>
        <v>117599607.11987454</v>
      </c>
      <c r="R399" s="6">
        <f t="shared" ca="1" si="13"/>
        <v>132241357.46550193</v>
      </c>
    </row>
    <row r="400" spans="1:18">
      <c r="A400" s="20">
        <v>399</v>
      </c>
      <c r="B400" s="3">
        <f ca="1">_xlfn.NORM.INV(RAND(),AVERAGE(Assumptions!$D$4,Assumptions!$F$4),(Assumptions!$F$4-Assumptions!$D$4)/3.29)*44</f>
        <v>1148371.1004974809</v>
      </c>
      <c r="C400" s="6">
        <f ca="1">_xlfn.NORM.INV(RAND(),AVERAGE(Assumptions!$D$5,Assumptions!$F$5),(Assumptions!$F$5-Assumptions!$D$5)/3.29)*44</f>
        <v>1753425.0240422948</v>
      </c>
      <c r="D400" s="9">
        <f ca="1">_xlfn.NORM.INV(RAND(),AVERAGE(Assumptions!$D$6,Assumptions!$F$6),(Assumptions!$F$6-Assumptions!$D$6)/3.29)*RANDBETWEEN(2,5)</f>
        <v>8714242.1124208942</v>
      </c>
      <c r="E400" s="12">
        <f ca="1">_xlfn.NORM.INV(RAND(),AVERAGE(Assumptions!$D$17,Assumptions!$F$17),(Assumptions!$F$17-Assumptions!$D$17)/3.29)*8</f>
        <v>1124533.0822911053</v>
      </c>
      <c r="F400" s="15">
        <f ca="1">_xlfn.NORM.INV(RAND(),AVERAGE(Assumptions!$D$7,Assumptions!$F$7),(Assumptions!$F$7-Assumptions!$D$7)/3.29)*RANDBETWEEN(1,3)</f>
        <v>3241737.913665798</v>
      </c>
      <c r="G400" s="3">
        <f ca="1">_xlfn.NORM.INV(RAND(),AVERAGE(Assumptions!$D$8,Assumptions!$F$8),(Assumptions!$F$8-Assumptions!$D$8)/3.29)*44</f>
        <v>1328534.1476315672</v>
      </c>
      <c r="H400" s="6">
        <f ca="1">_xlfn.NORM.INV(RAND(),AVERAGE(Assumptions!$D$9,Assumptions!$F$9),(Assumptions!$F$9-Assumptions!$D$9)/3.29)*21</f>
        <v>2652234.1944513014</v>
      </c>
      <c r="I400" s="9">
        <f ca="1">_xlfn.NORM.INV(RAND(),AVERAGE(Assumptions!$D$10,Assumptions!$F$10),(Assumptions!$F$10-Assumptions!$D$10)/3.29)*21</f>
        <v>813191.58360233088</v>
      </c>
      <c r="J400" s="12">
        <f ca="1">NORMINV(RAND(),AVERAGE(Assumptions!$D$11,Assumptions!$F$11),(Assumptions!$F$11-Assumptions!$D$11)/3.29)*44</f>
        <v>3463710.1050372031</v>
      </c>
      <c r="K400" s="15">
        <f ca="1">_xlfn.NORM.INV(RAND(),AVERAGE(Assumptions!$D$12,Assumptions!$F$12),(Assumptions!$F$12-Assumptions!$D$12)/3.29)*44</f>
        <v>7940171.7859827261</v>
      </c>
      <c r="L400" s="3">
        <f ca="1">_xlfn.NORM.INV(RAND(),AVERAGE(Assumptions!$D$13,Assumptions!$F$13),(Assumptions!$F$13-Assumptions!$D$13)/3.29)*44</f>
        <v>28420818.143782198</v>
      </c>
      <c r="M400" s="6">
        <f ca="1">_xlfn.NORM.INV(RAND(),AVERAGE(Assumptions!$D$14,Assumptions!$F$14),(Assumptions!$F$14-Assumptions!$D$14)/3.29)*44</f>
        <v>5146959.0157502862</v>
      </c>
      <c r="N400" s="9">
        <f ca="1">_xlfn.NORM.INV(RAND(),AVERAGE(Assumptions!$D$16,Assumptions!$F$16),(Assumptions!$F$16-Assumptions!$D$16)/3.29)*44</f>
        <v>12090338.917532619</v>
      </c>
      <c r="O400" s="12">
        <f ca="1">_xlfn.NORM.INV(RAND(),AVERAGE(Assumptions!$D$15,Assumptions!$F$15),(Assumptions!$F$15-Assumptions!$D$15)/3.29)*44</f>
        <v>79424616.663074046</v>
      </c>
      <c r="P400" s="15">
        <f>Assumptions!$D$18</f>
        <v>14641750.345627395</v>
      </c>
      <c r="Q400" s="3">
        <f t="shared" ca="1" si="12"/>
        <v>1586349.5363862365</v>
      </c>
      <c r="R400" s="6">
        <f t="shared" ca="1" si="13"/>
        <v>16228099.882013632</v>
      </c>
    </row>
    <row r="401" spans="1:18">
      <c r="A401" s="20">
        <v>400</v>
      </c>
      <c r="B401" s="3">
        <f ca="1">_xlfn.NORM.INV(RAND(),AVERAGE(Assumptions!$D$4,Assumptions!$F$4),(Assumptions!$F$4-Assumptions!$D$4)/3.29)*44</f>
        <v>1163137.6493622356</v>
      </c>
      <c r="C401" s="6">
        <f ca="1">_xlfn.NORM.INV(RAND(),AVERAGE(Assumptions!$D$5,Assumptions!$F$5),(Assumptions!$F$5-Assumptions!$D$5)/3.29)*44</f>
        <v>1862047.1745385032</v>
      </c>
      <c r="D401" s="9">
        <f ca="1">_xlfn.NORM.INV(RAND(),AVERAGE(Assumptions!$D$6,Assumptions!$F$6),(Assumptions!$F$6-Assumptions!$D$6)/3.29)*RANDBETWEEN(2,5)</f>
        <v>4864269.7719567381</v>
      </c>
      <c r="E401" s="12">
        <f ca="1">_xlfn.NORM.INV(RAND(),AVERAGE(Assumptions!$D$17,Assumptions!$F$17),(Assumptions!$F$17-Assumptions!$D$17)/3.29)*8</f>
        <v>932595.66295153426</v>
      </c>
      <c r="F401" s="15">
        <f ca="1">_xlfn.NORM.INV(RAND(),AVERAGE(Assumptions!$D$7,Assumptions!$F$7),(Assumptions!$F$7-Assumptions!$D$7)/3.29)*RANDBETWEEN(1,3)</f>
        <v>8328334.0148402685</v>
      </c>
      <c r="G401" s="3">
        <f ca="1">_xlfn.NORM.INV(RAND(),AVERAGE(Assumptions!$D$8,Assumptions!$F$8),(Assumptions!$F$8-Assumptions!$D$8)/3.29)*44</f>
        <v>1382948.7513878883</v>
      </c>
      <c r="H401" s="6">
        <f ca="1">_xlfn.NORM.INV(RAND(),AVERAGE(Assumptions!$D$9,Assumptions!$F$9),(Assumptions!$F$9-Assumptions!$D$9)/3.29)*21</f>
        <v>2870528.3876570002</v>
      </c>
      <c r="I401" s="9">
        <f ca="1">_xlfn.NORM.INV(RAND(),AVERAGE(Assumptions!$D$10,Assumptions!$F$10),(Assumptions!$F$10-Assumptions!$D$10)/3.29)*21</f>
        <v>778349.42316809017</v>
      </c>
      <c r="J401" s="12">
        <f ca="1">NORMINV(RAND(),AVERAGE(Assumptions!$D$11,Assumptions!$F$11),(Assumptions!$F$11-Assumptions!$D$11)/3.29)*44</f>
        <v>3887654.9662269303</v>
      </c>
      <c r="K401" s="15">
        <f ca="1">_xlfn.NORM.INV(RAND(),AVERAGE(Assumptions!$D$12,Assumptions!$F$12),(Assumptions!$F$12-Assumptions!$D$12)/3.29)*44</f>
        <v>8718919.6104468312</v>
      </c>
      <c r="L401" s="3">
        <f ca="1">_xlfn.NORM.INV(RAND(),AVERAGE(Assumptions!$D$13,Assumptions!$F$13),(Assumptions!$F$13-Assumptions!$D$13)/3.29)*44</f>
        <v>7229843.9342251001</v>
      </c>
      <c r="M401" s="6">
        <f ca="1">_xlfn.NORM.INV(RAND(),AVERAGE(Assumptions!$D$14,Assumptions!$F$14),(Assumptions!$F$14-Assumptions!$D$14)/3.29)*44</f>
        <v>6071537.7246637261</v>
      </c>
      <c r="N401" s="9">
        <f ca="1">_xlfn.NORM.INV(RAND(),AVERAGE(Assumptions!$D$16,Assumptions!$F$16),(Assumptions!$F$16-Assumptions!$D$16)/3.29)*44</f>
        <v>14416165.996748764</v>
      </c>
      <c r="O401" s="12">
        <f ca="1">_xlfn.NORM.INV(RAND(),AVERAGE(Assumptions!$D$15,Assumptions!$F$15),(Assumptions!$F$15-Assumptions!$D$15)/3.29)*44</f>
        <v>-10161286.616788672</v>
      </c>
      <c r="P401" s="15">
        <f>Assumptions!$D$18</f>
        <v>14641750.345627395</v>
      </c>
      <c r="Q401" s="3">
        <f t="shared" ca="1" si="12"/>
        <v>-72667619.684962288</v>
      </c>
      <c r="R401" s="6">
        <f t="shared" ca="1" si="13"/>
        <v>-58025869.33933489</v>
      </c>
    </row>
    <row r="402" spans="1:18">
      <c r="A402" s="20">
        <v>401</v>
      </c>
      <c r="B402" s="3">
        <f ca="1">_xlfn.NORM.INV(RAND(),AVERAGE(Assumptions!$D$4,Assumptions!$F$4),(Assumptions!$F$4-Assumptions!$D$4)/3.29)*44</f>
        <v>1158039.4162746572</v>
      </c>
      <c r="C402" s="6">
        <f ca="1">_xlfn.NORM.INV(RAND(),AVERAGE(Assumptions!$D$5,Assumptions!$F$5),(Assumptions!$F$5-Assumptions!$D$5)/3.29)*44</f>
        <v>1549764.1441660582</v>
      </c>
      <c r="D402" s="9">
        <f ca="1">_xlfn.NORM.INV(RAND(),AVERAGE(Assumptions!$D$6,Assumptions!$F$6),(Assumptions!$F$6-Assumptions!$D$6)/3.29)*RANDBETWEEN(2,5)</f>
        <v>4217747.2824564939</v>
      </c>
      <c r="E402" s="12">
        <f ca="1">_xlfn.NORM.INV(RAND(),AVERAGE(Assumptions!$D$17,Assumptions!$F$17),(Assumptions!$F$17-Assumptions!$D$17)/3.29)*8</f>
        <v>989278.80583819898</v>
      </c>
      <c r="F402" s="15">
        <f ca="1">_xlfn.NORM.INV(RAND(),AVERAGE(Assumptions!$D$7,Assumptions!$F$7),(Assumptions!$F$7-Assumptions!$D$7)/3.29)*RANDBETWEEN(1,3)</f>
        <v>5464893.7249110974</v>
      </c>
      <c r="G402" s="3">
        <f ca="1">_xlfn.NORM.INV(RAND(),AVERAGE(Assumptions!$D$8,Assumptions!$F$8),(Assumptions!$F$8-Assumptions!$D$8)/3.29)*44</f>
        <v>1086595.3567721432</v>
      </c>
      <c r="H402" s="6">
        <f ca="1">_xlfn.NORM.INV(RAND(),AVERAGE(Assumptions!$D$9,Assumptions!$F$9),(Assumptions!$F$9-Assumptions!$D$9)/3.29)*21</f>
        <v>2266951.7726872037</v>
      </c>
      <c r="I402" s="9">
        <f ca="1">_xlfn.NORM.INV(RAND(),AVERAGE(Assumptions!$D$10,Assumptions!$F$10),(Assumptions!$F$10-Assumptions!$D$10)/3.29)*21</f>
        <v>997675.3098865361</v>
      </c>
      <c r="J402" s="12">
        <f ca="1">NORMINV(RAND(),AVERAGE(Assumptions!$D$11,Assumptions!$F$11),(Assumptions!$F$11-Assumptions!$D$11)/3.29)*44</f>
        <v>4741735.0835935324</v>
      </c>
      <c r="K402" s="15">
        <f ca="1">_xlfn.NORM.INV(RAND(),AVERAGE(Assumptions!$D$12,Assumptions!$F$12),(Assumptions!$F$12-Assumptions!$D$12)/3.29)*44</f>
        <v>7407765.4613077622</v>
      </c>
      <c r="L402" s="3">
        <f ca="1">_xlfn.NORM.INV(RAND(),AVERAGE(Assumptions!$D$13,Assumptions!$F$13),(Assumptions!$F$13-Assumptions!$D$13)/3.29)*44</f>
        <v>14985439.825722469</v>
      </c>
      <c r="M402" s="6">
        <f ca="1">_xlfn.NORM.INV(RAND(),AVERAGE(Assumptions!$D$14,Assumptions!$F$14),(Assumptions!$F$14-Assumptions!$D$14)/3.29)*44</f>
        <v>6232452.5108451741</v>
      </c>
      <c r="N402" s="9">
        <f ca="1">_xlfn.NORM.INV(RAND(),AVERAGE(Assumptions!$D$16,Assumptions!$F$16),(Assumptions!$F$16-Assumptions!$D$16)/3.29)*44</f>
        <v>2927923.6988730254</v>
      </c>
      <c r="O402" s="12">
        <f ca="1">_xlfn.NORM.INV(RAND(),AVERAGE(Assumptions!$D$15,Assumptions!$F$15),(Assumptions!$F$15-Assumptions!$D$15)/3.29)*44</f>
        <v>129778310.18200389</v>
      </c>
      <c r="P402" s="15">
        <f>Assumptions!$D$18</f>
        <v>14641750.345627395</v>
      </c>
      <c r="Q402" s="3">
        <f t="shared" ca="1" si="12"/>
        <v>75752047.788669527</v>
      </c>
      <c r="R402" s="6">
        <f t="shared" ca="1" si="13"/>
        <v>90393798.134296924</v>
      </c>
    </row>
    <row r="403" spans="1:18">
      <c r="A403" s="20">
        <v>402</v>
      </c>
      <c r="B403" s="3">
        <f ca="1">_xlfn.NORM.INV(RAND(),AVERAGE(Assumptions!$D$4,Assumptions!$F$4),(Assumptions!$F$4-Assumptions!$D$4)/3.29)*44</f>
        <v>1103185.5005821863</v>
      </c>
      <c r="C403" s="6">
        <f ca="1">_xlfn.NORM.INV(RAND(),AVERAGE(Assumptions!$D$5,Assumptions!$F$5),(Assumptions!$F$5-Assumptions!$D$5)/3.29)*44</f>
        <v>1895214.2212962783</v>
      </c>
      <c r="D403" s="9">
        <f ca="1">_xlfn.NORM.INV(RAND(),AVERAGE(Assumptions!$D$6,Assumptions!$F$6),(Assumptions!$F$6-Assumptions!$D$6)/3.29)*RANDBETWEEN(2,5)</f>
        <v>3846447.9068305879</v>
      </c>
      <c r="E403" s="12">
        <f ca="1">_xlfn.NORM.INV(RAND(),AVERAGE(Assumptions!$D$17,Assumptions!$F$17),(Assumptions!$F$17-Assumptions!$D$17)/3.29)*8</f>
        <v>849636.95598512352</v>
      </c>
      <c r="F403" s="15">
        <f ca="1">_xlfn.NORM.INV(RAND(),AVERAGE(Assumptions!$D$7,Assumptions!$F$7),(Assumptions!$F$7-Assumptions!$D$7)/3.29)*RANDBETWEEN(1,3)</f>
        <v>5653869.5651091058</v>
      </c>
      <c r="G403" s="3">
        <f ca="1">_xlfn.NORM.INV(RAND(),AVERAGE(Assumptions!$D$8,Assumptions!$F$8),(Assumptions!$F$8-Assumptions!$D$8)/3.29)*44</f>
        <v>939773.25291989837</v>
      </c>
      <c r="H403" s="6">
        <f ca="1">_xlfn.NORM.INV(RAND(),AVERAGE(Assumptions!$D$9,Assumptions!$F$9),(Assumptions!$F$9-Assumptions!$D$9)/3.29)*21</f>
        <v>6394002.2507579383</v>
      </c>
      <c r="I403" s="9">
        <f ca="1">_xlfn.NORM.INV(RAND(),AVERAGE(Assumptions!$D$10,Assumptions!$F$10),(Assumptions!$F$10-Assumptions!$D$10)/3.29)*21</f>
        <v>561895.18058675085</v>
      </c>
      <c r="J403" s="12">
        <f ca="1">NORMINV(RAND(),AVERAGE(Assumptions!$D$11,Assumptions!$F$11),(Assumptions!$F$11-Assumptions!$D$11)/3.29)*44</f>
        <v>3316003.5345311295</v>
      </c>
      <c r="K403" s="15">
        <f ca="1">_xlfn.NORM.INV(RAND(),AVERAGE(Assumptions!$D$12,Assumptions!$F$12),(Assumptions!$F$12-Assumptions!$D$12)/3.29)*44</f>
        <v>7864867.036067077</v>
      </c>
      <c r="L403" s="3">
        <f ca="1">_xlfn.NORM.INV(RAND(),AVERAGE(Assumptions!$D$13,Assumptions!$F$13),(Assumptions!$F$13-Assumptions!$D$13)/3.29)*44</f>
        <v>10616650.356813645</v>
      </c>
      <c r="M403" s="6">
        <f ca="1">_xlfn.NORM.INV(RAND(),AVERAGE(Assumptions!$D$14,Assumptions!$F$14),(Assumptions!$F$14-Assumptions!$D$14)/3.29)*44</f>
        <v>5575323.1230637254</v>
      </c>
      <c r="N403" s="9">
        <f ca="1">_xlfn.NORM.INV(RAND(),AVERAGE(Assumptions!$D$16,Assumptions!$F$16),(Assumptions!$F$16-Assumptions!$D$16)/3.29)*44</f>
        <v>6904715.2872781269</v>
      </c>
      <c r="O403" s="12">
        <f ca="1">_xlfn.NORM.INV(RAND(),AVERAGE(Assumptions!$D$15,Assumptions!$F$15),(Assumptions!$F$15-Assumptions!$D$15)/3.29)*44</f>
        <v>83211448.173153833</v>
      </c>
      <c r="P403" s="15">
        <f>Assumptions!$D$18</f>
        <v>14641750.345627395</v>
      </c>
      <c r="Q403" s="3">
        <f t="shared" ca="1" si="12"/>
        <v>27689864.001332261</v>
      </c>
      <c r="R403" s="6">
        <f t="shared" ca="1" si="13"/>
        <v>42331614.346959658</v>
      </c>
    </row>
    <row r="404" spans="1:18">
      <c r="A404" s="20">
        <v>403</v>
      </c>
      <c r="B404" s="3">
        <f ca="1">_xlfn.NORM.INV(RAND(),AVERAGE(Assumptions!$D$4,Assumptions!$F$4),(Assumptions!$F$4-Assumptions!$D$4)/3.29)*44</f>
        <v>1281874.2915987936</v>
      </c>
      <c r="C404" s="6">
        <f ca="1">_xlfn.NORM.INV(RAND(),AVERAGE(Assumptions!$D$5,Assumptions!$F$5),(Assumptions!$F$5-Assumptions!$D$5)/3.29)*44</f>
        <v>1645724.8011641125</v>
      </c>
      <c r="D404" s="9">
        <f ca="1">_xlfn.NORM.INV(RAND(),AVERAGE(Assumptions!$D$6,Assumptions!$F$6),(Assumptions!$F$6-Assumptions!$D$6)/3.29)*RANDBETWEEN(2,5)</f>
        <v>3581700.2122362703</v>
      </c>
      <c r="E404" s="12">
        <f ca="1">_xlfn.NORM.INV(RAND(),AVERAGE(Assumptions!$D$17,Assumptions!$F$17),(Assumptions!$F$17-Assumptions!$D$17)/3.29)*8</f>
        <v>820264.966254325</v>
      </c>
      <c r="F404" s="15">
        <f ca="1">_xlfn.NORM.INV(RAND(),AVERAGE(Assumptions!$D$7,Assumptions!$F$7),(Assumptions!$F$7-Assumptions!$D$7)/3.29)*RANDBETWEEN(1,3)</f>
        <v>8136080.6119256932</v>
      </c>
      <c r="G404" s="3">
        <f ca="1">_xlfn.NORM.INV(RAND(),AVERAGE(Assumptions!$D$8,Assumptions!$F$8),(Assumptions!$F$8-Assumptions!$D$8)/3.29)*44</f>
        <v>1107309.6066129641</v>
      </c>
      <c r="H404" s="6">
        <f ca="1">_xlfn.NORM.INV(RAND(),AVERAGE(Assumptions!$D$9,Assumptions!$F$9),(Assumptions!$F$9-Assumptions!$D$9)/3.29)*21</f>
        <v>5064854.7841823678</v>
      </c>
      <c r="I404" s="9">
        <f ca="1">_xlfn.NORM.INV(RAND(),AVERAGE(Assumptions!$D$10,Assumptions!$F$10),(Assumptions!$F$10-Assumptions!$D$10)/3.29)*21</f>
        <v>861618.35312907887</v>
      </c>
      <c r="J404" s="12">
        <f ca="1">NORMINV(RAND(),AVERAGE(Assumptions!$D$11,Assumptions!$F$11),(Assumptions!$F$11-Assumptions!$D$11)/3.29)*44</f>
        <v>4203519.4129035976</v>
      </c>
      <c r="K404" s="15">
        <f ca="1">_xlfn.NORM.INV(RAND(),AVERAGE(Assumptions!$D$12,Assumptions!$F$12),(Assumptions!$F$12-Assumptions!$D$12)/3.29)*44</f>
        <v>6561697.819512059</v>
      </c>
      <c r="L404" s="3">
        <f ca="1">_xlfn.NORM.INV(RAND(),AVERAGE(Assumptions!$D$13,Assumptions!$F$13),(Assumptions!$F$13-Assumptions!$D$13)/3.29)*44</f>
        <v>695372.98853791296</v>
      </c>
      <c r="M404" s="6">
        <f ca="1">_xlfn.NORM.INV(RAND(),AVERAGE(Assumptions!$D$14,Assumptions!$F$14),(Assumptions!$F$14-Assumptions!$D$14)/3.29)*44</f>
        <v>5261647.8768416373</v>
      </c>
      <c r="N404" s="9">
        <f ca="1">_xlfn.NORM.INV(RAND(),AVERAGE(Assumptions!$D$16,Assumptions!$F$16),(Assumptions!$F$16-Assumptions!$D$16)/3.29)*44</f>
        <v>10773271.977046095</v>
      </c>
      <c r="O404" s="12">
        <f ca="1">_xlfn.NORM.INV(RAND(),AVERAGE(Assumptions!$D$15,Assumptions!$F$15),(Assumptions!$F$15-Assumptions!$D$15)/3.29)*44</f>
        <v>7205685.158055542</v>
      </c>
      <c r="P404" s="15">
        <f>Assumptions!$D$18</f>
        <v>14641750.345627395</v>
      </c>
      <c r="Q404" s="3">
        <f t="shared" ca="1" si="12"/>
        <v>-42789252.543889351</v>
      </c>
      <c r="R404" s="6">
        <f t="shared" ca="1" si="13"/>
        <v>-28147502.198261954</v>
      </c>
    </row>
    <row r="405" spans="1:18">
      <c r="A405" s="20">
        <v>404</v>
      </c>
      <c r="B405" s="3">
        <f ca="1">_xlfn.NORM.INV(RAND(),AVERAGE(Assumptions!$D$4,Assumptions!$F$4),(Assumptions!$F$4-Assumptions!$D$4)/3.29)*44</f>
        <v>1297728.6644791302</v>
      </c>
      <c r="C405" s="6">
        <f ca="1">_xlfn.NORM.INV(RAND(),AVERAGE(Assumptions!$D$5,Assumptions!$F$5),(Assumptions!$F$5-Assumptions!$D$5)/3.29)*44</f>
        <v>1633552.9370550399</v>
      </c>
      <c r="D405" s="9">
        <f ca="1">_xlfn.NORM.INV(RAND(),AVERAGE(Assumptions!$D$6,Assumptions!$F$6),(Assumptions!$F$6-Assumptions!$D$6)/3.29)*RANDBETWEEN(2,5)</f>
        <v>2262589.5457423208</v>
      </c>
      <c r="E405" s="12">
        <f ca="1">_xlfn.NORM.INV(RAND(),AVERAGE(Assumptions!$D$17,Assumptions!$F$17),(Assumptions!$F$17-Assumptions!$D$17)/3.29)*8</f>
        <v>842059.31798080483</v>
      </c>
      <c r="F405" s="15">
        <f ca="1">_xlfn.NORM.INV(RAND(),AVERAGE(Assumptions!$D$7,Assumptions!$F$7),(Assumptions!$F$7-Assumptions!$D$7)/3.29)*RANDBETWEEN(1,3)</f>
        <v>1676815.0009235893</v>
      </c>
      <c r="G405" s="3">
        <f ca="1">_xlfn.NORM.INV(RAND(),AVERAGE(Assumptions!$D$8,Assumptions!$F$8),(Assumptions!$F$8-Assumptions!$D$8)/3.29)*44</f>
        <v>847849.55139786773</v>
      </c>
      <c r="H405" s="6">
        <f ca="1">_xlfn.NORM.INV(RAND(),AVERAGE(Assumptions!$D$9,Assumptions!$F$9),(Assumptions!$F$9-Assumptions!$D$9)/3.29)*21</f>
        <v>6080592.5668174354</v>
      </c>
      <c r="I405" s="9">
        <f ca="1">_xlfn.NORM.INV(RAND(),AVERAGE(Assumptions!$D$10,Assumptions!$F$10),(Assumptions!$F$10-Assumptions!$D$10)/3.29)*21</f>
        <v>1044616.5866216557</v>
      </c>
      <c r="J405" s="12">
        <f ca="1">NORMINV(RAND(),AVERAGE(Assumptions!$D$11,Assumptions!$F$11),(Assumptions!$F$11-Assumptions!$D$11)/3.29)*44</f>
        <v>2988859.0862240265</v>
      </c>
      <c r="K405" s="15">
        <f ca="1">_xlfn.NORM.INV(RAND(),AVERAGE(Assumptions!$D$12,Assumptions!$F$12),(Assumptions!$F$12-Assumptions!$D$12)/3.29)*44</f>
        <v>8338069.4613651363</v>
      </c>
      <c r="L405" s="3">
        <f ca="1">_xlfn.NORM.INV(RAND(),AVERAGE(Assumptions!$D$13,Assumptions!$F$13),(Assumptions!$F$13-Assumptions!$D$13)/3.29)*44</f>
        <v>16412058.030367581</v>
      </c>
      <c r="M405" s="6">
        <f ca="1">_xlfn.NORM.INV(RAND(),AVERAGE(Assumptions!$D$14,Assumptions!$F$14),(Assumptions!$F$14-Assumptions!$D$14)/3.29)*44</f>
        <v>4648192.0152570438</v>
      </c>
      <c r="N405" s="9">
        <f ca="1">_xlfn.NORM.INV(RAND(),AVERAGE(Assumptions!$D$16,Assumptions!$F$16),(Assumptions!$F$16-Assumptions!$D$16)/3.29)*44</f>
        <v>5621155.8242382174</v>
      </c>
      <c r="O405" s="12">
        <f ca="1">_xlfn.NORM.INV(RAND(),AVERAGE(Assumptions!$D$15,Assumptions!$F$15),(Assumptions!$F$15-Assumptions!$D$15)/3.29)*44</f>
        <v>85738799.213763654</v>
      </c>
      <c r="P405" s="15">
        <f>Assumptions!$D$18</f>
        <v>14641750.345627395</v>
      </c>
      <c r="Q405" s="3">
        <f t="shared" ca="1" si="12"/>
        <v>32044660.625293806</v>
      </c>
      <c r="R405" s="6">
        <f t="shared" ca="1" si="13"/>
        <v>46686410.970921203</v>
      </c>
    </row>
    <row r="406" spans="1:18">
      <c r="A406" s="20">
        <v>405</v>
      </c>
      <c r="B406" s="3">
        <f ca="1">_xlfn.NORM.INV(RAND(),AVERAGE(Assumptions!$D$4,Assumptions!$F$4),(Assumptions!$F$4-Assumptions!$D$4)/3.29)*44</f>
        <v>1126653.1803205754</v>
      </c>
      <c r="C406" s="6">
        <f ca="1">_xlfn.NORM.INV(RAND(),AVERAGE(Assumptions!$D$5,Assumptions!$F$5),(Assumptions!$F$5-Assumptions!$D$5)/3.29)*44</f>
        <v>1944750.9705044553</v>
      </c>
      <c r="D406" s="9">
        <f ca="1">_xlfn.NORM.INV(RAND(),AVERAGE(Assumptions!$D$6,Assumptions!$F$6),(Assumptions!$F$6-Assumptions!$D$6)/3.29)*RANDBETWEEN(2,5)</f>
        <v>1612694.4963451975</v>
      </c>
      <c r="E406" s="12">
        <f ca="1">_xlfn.NORM.INV(RAND(),AVERAGE(Assumptions!$D$17,Assumptions!$F$17),(Assumptions!$F$17-Assumptions!$D$17)/3.29)*8</f>
        <v>1028900.013347729</v>
      </c>
      <c r="F406" s="15">
        <f ca="1">_xlfn.NORM.INV(RAND(),AVERAGE(Assumptions!$D$7,Assumptions!$F$7),(Assumptions!$F$7-Assumptions!$D$7)/3.29)*RANDBETWEEN(1,3)</f>
        <v>6750730.0009915857</v>
      </c>
      <c r="G406" s="3">
        <f ca="1">_xlfn.NORM.INV(RAND(),AVERAGE(Assumptions!$D$8,Assumptions!$F$8),(Assumptions!$F$8-Assumptions!$D$8)/3.29)*44</f>
        <v>643178.33200685761</v>
      </c>
      <c r="H406" s="6">
        <f ca="1">_xlfn.NORM.INV(RAND(),AVERAGE(Assumptions!$D$9,Assumptions!$F$9),(Assumptions!$F$9-Assumptions!$D$9)/3.29)*21</f>
        <v>5734598.1367991483</v>
      </c>
      <c r="I406" s="9">
        <f ca="1">_xlfn.NORM.INV(RAND(),AVERAGE(Assumptions!$D$10,Assumptions!$F$10),(Assumptions!$F$10-Assumptions!$D$10)/3.29)*21</f>
        <v>873345.33699075284</v>
      </c>
      <c r="J406" s="12">
        <f ca="1">NORMINV(RAND(),AVERAGE(Assumptions!$D$11,Assumptions!$F$11),(Assumptions!$F$11-Assumptions!$D$11)/3.29)*44</f>
        <v>2463401.3601318984</v>
      </c>
      <c r="K406" s="15">
        <f ca="1">_xlfn.NORM.INV(RAND(),AVERAGE(Assumptions!$D$12,Assumptions!$F$12),(Assumptions!$F$12-Assumptions!$D$12)/3.29)*44</f>
        <v>10487296.066391081</v>
      </c>
      <c r="L406" s="3">
        <f ca="1">_xlfn.NORM.INV(RAND(),AVERAGE(Assumptions!$D$13,Assumptions!$F$13),(Assumptions!$F$13-Assumptions!$D$13)/3.29)*44</f>
        <v>16324907.59849745</v>
      </c>
      <c r="M406" s="6">
        <f ca="1">_xlfn.NORM.INV(RAND(),AVERAGE(Assumptions!$D$14,Assumptions!$F$14),(Assumptions!$F$14-Assumptions!$D$14)/3.29)*44</f>
        <v>5237247.7273330055</v>
      </c>
      <c r="N406" s="9">
        <f ca="1">_xlfn.NORM.INV(RAND(),AVERAGE(Assumptions!$D$16,Assumptions!$F$16),(Assumptions!$F$16-Assumptions!$D$16)/3.29)*44</f>
        <v>3685433.2326810504</v>
      </c>
      <c r="O406" s="12">
        <f ca="1">_xlfn.NORM.INV(RAND(),AVERAGE(Assumptions!$D$15,Assumptions!$F$15),(Assumptions!$F$15-Assumptions!$D$15)/3.29)*44</f>
        <v>117481330.88820371</v>
      </c>
      <c r="P406" s="15">
        <f>Assumptions!$D$18</f>
        <v>14641750.345627395</v>
      </c>
      <c r="Q406" s="3">
        <f t="shared" ca="1" si="12"/>
        <v>59568194.435862929</v>
      </c>
      <c r="R406" s="6">
        <f t="shared" ca="1" si="13"/>
        <v>74209944.781490326</v>
      </c>
    </row>
    <row r="407" spans="1:18">
      <c r="A407" s="20">
        <v>406</v>
      </c>
      <c r="B407" s="3">
        <f ca="1">_xlfn.NORM.INV(RAND(),AVERAGE(Assumptions!$D$4,Assumptions!$F$4),(Assumptions!$F$4-Assumptions!$D$4)/3.29)*44</f>
        <v>1084115.9953255656</v>
      </c>
      <c r="C407" s="6">
        <f ca="1">_xlfn.NORM.INV(RAND(),AVERAGE(Assumptions!$D$5,Assumptions!$F$5),(Assumptions!$F$5-Assumptions!$D$5)/3.29)*44</f>
        <v>1830773.3294936656</v>
      </c>
      <c r="D407" s="9">
        <f ca="1">_xlfn.NORM.INV(RAND(),AVERAGE(Assumptions!$D$6,Assumptions!$F$6),(Assumptions!$F$6-Assumptions!$D$6)/3.29)*RANDBETWEEN(2,5)</f>
        <v>5782335.1820638832</v>
      </c>
      <c r="E407" s="12">
        <f ca="1">_xlfn.NORM.INV(RAND(),AVERAGE(Assumptions!$D$17,Assumptions!$F$17),(Assumptions!$F$17-Assumptions!$D$17)/3.29)*8</f>
        <v>1027498.1578600775</v>
      </c>
      <c r="F407" s="15">
        <f ca="1">_xlfn.NORM.INV(RAND(),AVERAGE(Assumptions!$D$7,Assumptions!$F$7),(Assumptions!$F$7-Assumptions!$D$7)/3.29)*RANDBETWEEN(1,3)</f>
        <v>3328565.8602565494</v>
      </c>
      <c r="G407" s="3">
        <f ca="1">_xlfn.NORM.INV(RAND(),AVERAGE(Assumptions!$D$8,Assumptions!$F$8),(Assumptions!$F$8-Assumptions!$D$8)/3.29)*44</f>
        <v>1496250.3180201403</v>
      </c>
      <c r="H407" s="6">
        <f ca="1">_xlfn.NORM.INV(RAND(),AVERAGE(Assumptions!$D$9,Assumptions!$F$9),(Assumptions!$F$9-Assumptions!$D$9)/3.29)*21</f>
        <v>4930019.8358437428</v>
      </c>
      <c r="I407" s="9">
        <f ca="1">_xlfn.NORM.INV(RAND(),AVERAGE(Assumptions!$D$10,Assumptions!$F$10),(Assumptions!$F$10-Assumptions!$D$10)/3.29)*21</f>
        <v>960886.23722256417</v>
      </c>
      <c r="J407" s="12">
        <f ca="1">NORMINV(RAND(),AVERAGE(Assumptions!$D$11,Assumptions!$F$11),(Assumptions!$F$11-Assumptions!$D$11)/3.29)*44</f>
        <v>2931381.6758672623</v>
      </c>
      <c r="K407" s="15">
        <f ca="1">_xlfn.NORM.INV(RAND(),AVERAGE(Assumptions!$D$12,Assumptions!$F$12),(Assumptions!$F$12-Assumptions!$D$12)/3.29)*44</f>
        <v>7465137.9962320263</v>
      </c>
      <c r="L407" s="3">
        <f ca="1">_xlfn.NORM.INV(RAND(),AVERAGE(Assumptions!$D$13,Assumptions!$F$13),(Assumptions!$F$13-Assumptions!$D$13)/3.29)*44</f>
        <v>20250399.569284953</v>
      </c>
      <c r="M407" s="6">
        <f ca="1">_xlfn.NORM.INV(RAND(),AVERAGE(Assumptions!$D$14,Assumptions!$F$14),(Assumptions!$F$14-Assumptions!$D$14)/3.29)*44</f>
        <v>5056479.0396552552</v>
      </c>
      <c r="N407" s="9">
        <f ca="1">_xlfn.NORM.INV(RAND(),AVERAGE(Assumptions!$D$16,Assumptions!$F$16),(Assumptions!$F$16-Assumptions!$D$16)/3.29)*44</f>
        <v>17049751.356463034</v>
      </c>
      <c r="O407" s="12">
        <f ca="1">_xlfn.NORM.INV(RAND(),AVERAGE(Assumptions!$D$15,Assumptions!$F$15),(Assumptions!$F$15-Assumptions!$D$15)/3.29)*44</f>
        <v>151217502.97495374</v>
      </c>
      <c r="P407" s="15">
        <f>Assumptions!$D$18</f>
        <v>14641750.345627395</v>
      </c>
      <c r="Q407" s="3">
        <f t="shared" ca="1" si="12"/>
        <v>78023908.421365038</v>
      </c>
      <c r="R407" s="6">
        <f t="shared" ca="1" si="13"/>
        <v>92665658.766992435</v>
      </c>
    </row>
    <row r="408" spans="1:18">
      <c r="A408" s="20">
        <v>407</v>
      </c>
      <c r="B408" s="3">
        <f ca="1">_xlfn.NORM.INV(RAND(),AVERAGE(Assumptions!$D$4,Assumptions!$F$4),(Assumptions!$F$4-Assumptions!$D$4)/3.29)*44</f>
        <v>1118365.6862966768</v>
      </c>
      <c r="C408" s="6">
        <f ca="1">_xlfn.NORM.INV(RAND(),AVERAGE(Assumptions!$D$5,Assumptions!$F$5),(Assumptions!$F$5-Assumptions!$D$5)/3.29)*44</f>
        <v>1995545.7387196126</v>
      </c>
      <c r="D408" s="9">
        <f ca="1">_xlfn.NORM.INV(RAND(),AVERAGE(Assumptions!$D$6,Assumptions!$F$6),(Assumptions!$F$6-Assumptions!$D$6)/3.29)*RANDBETWEEN(2,5)</f>
        <v>2993717.3234691611</v>
      </c>
      <c r="E408" s="12">
        <f ca="1">_xlfn.NORM.INV(RAND(),AVERAGE(Assumptions!$D$17,Assumptions!$F$17),(Assumptions!$F$17-Assumptions!$D$17)/3.29)*8</f>
        <v>1125808.4409472381</v>
      </c>
      <c r="F408" s="15">
        <f ca="1">_xlfn.NORM.INV(RAND(),AVERAGE(Assumptions!$D$7,Assumptions!$F$7),(Assumptions!$F$7-Assumptions!$D$7)/3.29)*RANDBETWEEN(1,3)</f>
        <v>2188835.6286693341</v>
      </c>
      <c r="G408" s="3">
        <f ca="1">_xlfn.NORM.INV(RAND(),AVERAGE(Assumptions!$D$8,Assumptions!$F$8),(Assumptions!$F$8-Assumptions!$D$8)/3.29)*44</f>
        <v>1185172.1725539353</v>
      </c>
      <c r="H408" s="6">
        <f ca="1">_xlfn.NORM.INV(RAND(),AVERAGE(Assumptions!$D$9,Assumptions!$F$9),(Assumptions!$F$9-Assumptions!$D$9)/3.29)*21</f>
        <v>4479596.055286359</v>
      </c>
      <c r="I408" s="9">
        <f ca="1">_xlfn.NORM.INV(RAND(),AVERAGE(Assumptions!$D$10,Assumptions!$F$10),(Assumptions!$F$10-Assumptions!$D$10)/3.29)*21</f>
        <v>709572.89807140431</v>
      </c>
      <c r="J408" s="12">
        <f ca="1">NORMINV(RAND(),AVERAGE(Assumptions!$D$11,Assumptions!$F$11),(Assumptions!$F$11-Assumptions!$D$11)/3.29)*44</f>
        <v>3149027.9505455745</v>
      </c>
      <c r="K408" s="15">
        <f ca="1">_xlfn.NORM.INV(RAND(),AVERAGE(Assumptions!$D$12,Assumptions!$F$12),(Assumptions!$F$12-Assumptions!$D$12)/3.29)*44</f>
        <v>8217435.6980242012</v>
      </c>
      <c r="L408" s="3">
        <f ca="1">_xlfn.NORM.INV(RAND(),AVERAGE(Assumptions!$D$13,Assumptions!$F$13),(Assumptions!$F$13-Assumptions!$D$13)/3.29)*44</f>
        <v>10158050.925018482</v>
      </c>
      <c r="M408" s="6">
        <f ca="1">_xlfn.NORM.INV(RAND(),AVERAGE(Assumptions!$D$14,Assumptions!$F$14),(Assumptions!$F$14-Assumptions!$D$14)/3.29)*44</f>
        <v>5568952.5040263478</v>
      </c>
      <c r="N408" s="9">
        <f ca="1">_xlfn.NORM.INV(RAND(),AVERAGE(Assumptions!$D$16,Assumptions!$F$16),(Assumptions!$F$16-Assumptions!$D$16)/3.29)*44</f>
        <v>12146574.148293011</v>
      </c>
      <c r="O408" s="12">
        <f ca="1">_xlfn.NORM.INV(RAND(),AVERAGE(Assumptions!$D$15,Assumptions!$F$15),(Assumptions!$F$15-Assumptions!$D$15)/3.29)*44</f>
        <v>96511301.086991623</v>
      </c>
      <c r="P408" s="15">
        <f>Assumptions!$D$18</f>
        <v>14641750.345627395</v>
      </c>
      <c r="Q408" s="3">
        <f t="shared" ca="1" si="12"/>
        <v>41474645.917070284</v>
      </c>
      <c r="R408" s="6">
        <f t="shared" ca="1" si="13"/>
        <v>56116396.262697682</v>
      </c>
    </row>
    <row r="409" spans="1:18">
      <c r="A409" s="20">
        <v>408</v>
      </c>
      <c r="B409" s="3">
        <f ca="1">_xlfn.NORM.INV(RAND(),AVERAGE(Assumptions!$D$4,Assumptions!$F$4),(Assumptions!$F$4-Assumptions!$D$4)/3.29)*44</f>
        <v>1147274.0261184517</v>
      </c>
      <c r="C409" s="6">
        <f ca="1">_xlfn.NORM.INV(RAND(),AVERAGE(Assumptions!$D$5,Assumptions!$F$5),(Assumptions!$F$5-Assumptions!$D$5)/3.29)*44</f>
        <v>1861235.7848142611</v>
      </c>
      <c r="D409" s="9">
        <f ca="1">_xlfn.NORM.INV(RAND(),AVERAGE(Assumptions!$D$6,Assumptions!$F$6),(Assumptions!$F$6-Assumptions!$D$6)/3.29)*RANDBETWEEN(2,5)</f>
        <v>3055762.8560779355</v>
      </c>
      <c r="E409" s="12">
        <f ca="1">_xlfn.NORM.INV(RAND(),AVERAGE(Assumptions!$D$17,Assumptions!$F$17),(Assumptions!$F$17-Assumptions!$D$17)/3.29)*8</f>
        <v>1117288.3591757973</v>
      </c>
      <c r="F409" s="15">
        <f ca="1">_xlfn.NORM.INV(RAND(),AVERAGE(Assumptions!$D$7,Assumptions!$F$7),(Assumptions!$F$7-Assumptions!$D$7)/3.29)*RANDBETWEEN(1,3)</f>
        <v>3857516.3572348244</v>
      </c>
      <c r="G409" s="3">
        <f ca="1">_xlfn.NORM.INV(RAND(),AVERAGE(Assumptions!$D$8,Assumptions!$F$8),(Assumptions!$F$8-Assumptions!$D$8)/3.29)*44</f>
        <v>1256176.2879582308</v>
      </c>
      <c r="H409" s="6">
        <f ca="1">_xlfn.NORM.INV(RAND(),AVERAGE(Assumptions!$D$9,Assumptions!$F$9),(Assumptions!$F$9-Assumptions!$D$9)/3.29)*21</f>
        <v>4530272.1414454794</v>
      </c>
      <c r="I409" s="9">
        <f ca="1">_xlfn.NORM.INV(RAND(),AVERAGE(Assumptions!$D$10,Assumptions!$F$10),(Assumptions!$F$10-Assumptions!$D$10)/3.29)*21</f>
        <v>669814.84073755401</v>
      </c>
      <c r="J409" s="12">
        <f ca="1">NORMINV(RAND(),AVERAGE(Assumptions!$D$11,Assumptions!$F$11),(Assumptions!$F$11-Assumptions!$D$11)/3.29)*44</f>
        <v>1195683.7843581759</v>
      </c>
      <c r="K409" s="15">
        <f ca="1">_xlfn.NORM.INV(RAND(),AVERAGE(Assumptions!$D$12,Assumptions!$F$12),(Assumptions!$F$12-Assumptions!$D$12)/3.29)*44</f>
        <v>9087272.3930088952</v>
      </c>
      <c r="L409" s="3">
        <f ca="1">_xlfn.NORM.INV(RAND(),AVERAGE(Assumptions!$D$13,Assumptions!$F$13),(Assumptions!$F$13-Assumptions!$D$13)/3.29)*44</f>
        <v>11514184.996117193</v>
      </c>
      <c r="M409" s="6">
        <f ca="1">_xlfn.NORM.INV(RAND(),AVERAGE(Assumptions!$D$14,Assumptions!$F$14),(Assumptions!$F$14-Assumptions!$D$14)/3.29)*44</f>
        <v>5376749.6035985723</v>
      </c>
      <c r="N409" s="9">
        <f ca="1">_xlfn.NORM.INV(RAND(),AVERAGE(Assumptions!$D$16,Assumptions!$F$16),(Assumptions!$F$16-Assumptions!$D$16)/3.29)*44</f>
        <v>17989352.791706771</v>
      </c>
      <c r="O409" s="12">
        <f ca="1">_xlfn.NORM.INV(RAND(),AVERAGE(Assumptions!$D$15,Assumptions!$F$15),(Assumptions!$F$15-Assumptions!$D$15)/3.29)*44</f>
        <v>108949754.52152263</v>
      </c>
      <c r="P409" s="15">
        <f>Assumptions!$D$18</f>
        <v>14641750.345627395</v>
      </c>
      <c r="Q409" s="3">
        <f t="shared" ca="1" si="12"/>
        <v>46291170.299170494</v>
      </c>
      <c r="R409" s="6">
        <f t="shared" ca="1" si="13"/>
        <v>60932920.644797891</v>
      </c>
    </row>
    <row r="410" spans="1:18">
      <c r="A410" s="20">
        <v>409</v>
      </c>
      <c r="B410" s="3">
        <f ca="1">_xlfn.NORM.INV(RAND(),AVERAGE(Assumptions!$D$4,Assumptions!$F$4),(Assumptions!$F$4-Assumptions!$D$4)/3.29)*44</f>
        <v>1196220.4173449203</v>
      </c>
      <c r="C410" s="6">
        <f ca="1">_xlfn.NORM.INV(RAND(),AVERAGE(Assumptions!$D$5,Assumptions!$F$5),(Assumptions!$F$5-Assumptions!$D$5)/3.29)*44</f>
        <v>1673898.438355657</v>
      </c>
      <c r="D410" s="9">
        <f ca="1">_xlfn.NORM.INV(RAND(),AVERAGE(Assumptions!$D$6,Assumptions!$F$6),(Assumptions!$F$6-Assumptions!$D$6)/3.29)*RANDBETWEEN(2,5)</f>
        <v>4231384.7045242283</v>
      </c>
      <c r="E410" s="12">
        <f ca="1">_xlfn.NORM.INV(RAND(),AVERAGE(Assumptions!$D$17,Assumptions!$F$17),(Assumptions!$F$17-Assumptions!$D$17)/3.29)*8</f>
        <v>1157042.3420409909</v>
      </c>
      <c r="F410" s="15">
        <f ca="1">_xlfn.NORM.INV(RAND(),AVERAGE(Assumptions!$D$7,Assumptions!$F$7),(Assumptions!$F$7-Assumptions!$D$7)/3.29)*RANDBETWEEN(1,3)</f>
        <v>2092325.1544960798</v>
      </c>
      <c r="G410" s="3">
        <f ca="1">_xlfn.NORM.INV(RAND(),AVERAGE(Assumptions!$D$8,Assumptions!$F$8),(Assumptions!$F$8-Assumptions!$D$8)/3.29)*44</f>
        <v>1076646.0276573359</v>
      </c>
      <c r="H410" s="6">
        <f ca="1">_xlfn.NORM.INV(RAND(),AVERAGE(Assumptions!$D$9,Assumptions!$F$9),(Assumptions!$F$9-Assumptions!$D$9)/3.29)*21</f>
        <v>7716189.8855062975</v>
      </c>
      <c r="I410" s="9">
        <f ca="1">_xlfn.NORM.INV(RAND(),AVERAGE(Assumptions!$D$10,Assumptions!$F$10),(Assumptions!$F$10-Assumptions!$D$10)/3.29)*21</f>
        <v>1087195.5748301253</v>
      </c>
      <c r="J410" s="12">
        <f ca="1">NORMINV(RAND(),AVERAGE(Assumptions!$D$11,Assumptions!$F$11),(Assumptions!$F$11-Assumptions!$D$11)/3.29)*44</f>
        <v>4459653.0209392654</v>
      </c>
      <c r="K410" s="15">
        <f ca="1">_xlfn.NORM.INV(RAND(),AVERAGE(Assumptions!$D$12,Assumptions!$F$12),(Assumptions!$F$12-Assumptions!$D$12)/3.29)*44</f>
        <v>8299235.8686223235</v>
      </c>
      <c r="L410" s="3">
        <f ca="1">_xlfn.NORM.INV(RAND(),AVERAGE(Assumptions!$D$13,Assumptions!$F$13),(Assumptions!$F$13-Assumptions!$D$13)/3.29)*44</f>
        <v>18319692.510107722</v>
      </c>
      <c r="M410" s="6">
        <f ca="1">_xlfn.NORM.INV(RAND(),AVERAGE(Assumptions!$D$14,Assumptions!$F$14),(Assumptions!$F$14-Assumptions!$D$14)/3.29)*44</f>
        <v>6156938.1654020194</v>
      </c>
      <c r="N410" s="9">
        <f ca="1">_xlfn.NORM.INV(RAND(),AVERAGE(Assumptions!$D$16,Assumptions!$F$16),(Assumptions!$F$16-Assumptions!$D$16)/3.29)*44</f>
        <v>13186841.055985527</v>
      </c>
      <c r="O410" s="12">
        <f ca="1">_xlfn.NORM.INV(RAND(),AVERAGE(Assumptions!$D$15,Assumptions!$F$15),(Assumptions!$F$15-Assumptions!$D$15)/3.29)*44</f>
        <v>83781167.348260745</v>
      </c>
      <c r="P410" s="15">
        <f>Assumptions!$D$18</f>
        <v>14641750.345627395</v>
      </c>
      <c r="Q410" s="3">
        <f t="shared" ca="1" si="12"/>
        <v>13127904.182448253</v>
      </c>
      <c r="R410" s="6">
        <f t="shared" ca="1" si="13"/>
        <v>27769654.52807565</v>
      </c>
    </row>
    <row r="411" spans="1:18">
      <c r="A411" s="20">
        <v>410</v>
      </c>
      <c r="B411" s="3">
        <f ca="1">_xlfn.NORM.INV(RAND(),AVERAGE(Assumptions!$D$4,Assumptions!$F$4),(Assumptions!$F$4-Assumptions!$D$4)/3.29)*44</f>
        <v>1081044.5610650536</v>
      </c>
      <c r="C411" s="6">
        <f ca="1">_xlfn.NORM.INV(RAND(),AVERAGE(Assumptions!$D$5,Assumptions!$F$5),(Assumptions!$F$5-Assumptions!$D$5)/3.29)*44</f>
        <v>1770706.2984529249</v>
      </c>
      <c r="D411" s="9">
        <f ca="1">_xlfn.NORM.INV(RAND(),AVERAGE(Assumptions!$D$6,Assumptions!$F$6),(Assumptions!$F$6-Assumptions!$D$6)/3.29)*RANDBETWEEN(2,5)</f>
        <v>3354938.5364507558</v>
      </c>
      <c r="E411" s="12">
        <f ca="1">_xlfn.NORM.INV(RAND(),AVERAGE(Assumptions!$D$17,Assumptions!$F$17),(Assumptions!$F$17-Assumptions!$D$17)/3.29)*8</f>
        <v>914436.43022090662</v>
      </c>
      <c r="F411" s="15">
        <f ca="1">_xlfn.NORM.INV(RAND(),AVERAGE(Assumptions!$D$7,Assumptions!$F$7),(Assumptions!$F$7-Assumptions!$D$7)/3.29)*RANDBETWEEN(1,3)</f>
        <v>3870491.7077377965</v>
      </c>
      <c r="G411" s="3">
        <f ca="1">_xlfn.NORM.INV(RAND(),AVERAGE(Assumptions!$D$8,Assumptions!$F$8),(Assumptions!$F$8-Assumptions!$D$8)/3.29)*44</f>
        <v>618387.12362610316</v>
      </c>
      <c r="H411" s="6">
        <f ca="1">_xlfn.NORM.INV(RAND(),AVERAGE(Assumptions!$D$9,Assumptions!$F$9),(Assumptions!$F$9-Assumptions!$D$9)/3.29)*21</f>
        <v>3610071.1273006452</v>
      </c>
      <c r="I411" s="9">
        <f ca="1">_xlfn.NORM.INV(RAND(),AVERAGE(Assumptions!$D$10,Assumptions!$F$10),(Assumptions!$F$10-Assumptions!$D$10)/3.29)*21</f>
        <v>404174.25310042995</v>
      </c>
      <c r="J411" s="12">
        <f ca="1">NORMINV(RAND(),AVERAGE(Assumptions!$D$11,Assumptions!$F$11),(Assumptions!$F$11-Assumptions!$D$11)/3.29)*44</f>
        <v>1596444.3894995574</v>
      </c>
      <c r="K411" s="15">
        <f ca="1">_xlfn.NORM.INV(RAND(),AVERAGE(Assumptions!$D$12,Assumptions!$F$12),(Assumptions!$F$12-Assumptions!$D$12)/3.29)*44</f>
        <v>10633286.035507422</v>
      </c>
      <c r="L411" s="3">
        <f ca="1">_xlfn.NORM.INV(RAND(),AVERAGE(Assumptions!$D$13,Assumptions!$F$13),(Assumptions!$F$13-Assumptions!$D$13)/3.29)*44</f>
        <v>8938499.0417611394</v>
      </c>
      <c r="M411" s="6">
        <f ca="1">_xlfn.NORM.INV(RAND(),AVERAGE(Assumptions!$D$14,Assumptions!$F$14),(Assumptions!$F$14-Assumptions!$D$14)/3.29)*44</f>
        <v>4271803.8579648817</v>
      </c>
      <c r="N411" s="9">
        <f ca="1">_xlfn.NORM.INV(RAND(),AVERAGE(Assumptions!$D$16,Assumptions!$F$16),(Assumptions!$F$16-Assumptions!$D$16)/3.29)*44</f>
        <v>5801881.0445020301</v>
      </c>
      <c r="O411" s="12">
        <f ca="1">_xlfn.NORM.INV(RAND(),AVERAGE(Assumptions!$D$15,Assumptions!$F$15),(Assumptions!$F$15-Assumptions!$D$15)/3.29)*44</f>
        <v>106808803.75993611</v>
      </c>
      <c r="P411" s="15">
        <f>Assumptions!$D$18</f>
        <v>14641750.345627395</v>
      </c>
      <c r="Q411" s="3">
        <f t="shared" ca="1" si="12"/>
        <v>59942639.352746464</v>
      </c>
      <c r="R411" s="6">
        <f t="shared" ca="1" si="13"/>
        <v>74584389.698373854</v>
      </c>
    </row>
    <row r="412" spans="1:18">
      <c r="A412" s="20">
        <v>411</v>
      </c>
      <c r="B412" s="3">
        <f ca="1">_xlfn.NORM.INV(RAND(),AVERAGE(Assumptions!$D$4,Assumptions!$F$4),(Assumptions!$F$4-Assumptions!$D$4)/3.29)*44</f>
        <v>1110624.8466519241</v>
      </c>
      <c r="C412" s="6">
        <f ca="1">_xlfn.NORM.INV(RAND(),AVERAGE(Assumptions!$D$5,Assumptions!$F$5),(Assumptions!$F$5-Assumptions!$D$5)/3.29)*44</f>
        <v>1557737.7154095343</v>
      </c>
      <c r="D412" s="9">
        <f ca="1">_xlfn.NORM.INV(RAND(),AVERAGE(Assumptions!$D$6,Assumptions!$F$6),(Assumptions!$F$6-Assumptions!$D$6)/3.29)*RANDBETWEEN(2,5)</f>
        <v>6248116.180924261</v>
      </c>
      <c r="E412" s="12">
        <f ca="1">_xlfn.NORM.INV(RAND(),AVERAGE(Assumptions!$D$17,Assumptions!$F$17),(Assumptions!$F$17-Assumptions!$D$17)/3.29)*8</f>
        <v>1101771.6087861725</v>
      </c>
      <c r="F412" s="15">
        <f ca="1">_xlfn.NORM.INV(RAND(),AVERAGE(Assumptions!$D$7,Assumptions!$F$7),(Assumptions!$F$7-Assumptions!$D$7)/3.29)*RANDBETWEEN(1,3)</f>
        <v>7165856.8187820856</v>
      </c>
      <c r="G412" s="3">
        <f ca="1">_xlfn.NORM.INV(RAND(),AVERAGE(Assumptions!$D$8,Assumptions!$F$8),(Assumptions!$F$8-Assumptions!$D$8)/3.29)*44</f>
        <v>1056663.4205262682</v>
      </c>
      <c r="H412" s="6">
        <f ca="1">_xlfn.NORM.INV(RAND(),AVERAGE(Assumptions!$D$9,Assumptions!$F$9),(Assumptions!$F$9-Assumptions!$D$9)/3.29)*21</f>
        <v>5498715.2155929049</v>
      </c>
      <c r="I412" s="9">
        <f ca="1">_xlfn.NORM.INV(RAND(),AVERAGE(Assumptions!$D$10,Assumptions!$F$10),(Assumptions!$F$10-Assumptions!$D$10)/3.29)*21</f>
        <v>1415016.6818115653</v>
      </c>
      <c r="J412" s="12">
        <f ca="1">NORMINV(RAND(),AVERAGE(Assumptions!$D$11,Assumptions!$F$11),(Assumptions!$F$11-Assumptions!$D$11)/3.29)*44</f>
        <v>2686906.2876334046</v>
      </c>
      <c r="K412" s="15">
        <f ca="1">_xlfn.NORM.INV(RAND(),AVERAGE(Assumptions!$D$12,Assumptions!$F$12),(Assumptions!$F$12-Assumptions!$D$12)/3.29)*44</f>
        <v>7605176.9886253178</v>
      </c>
      <c r="L412" s="3">
        <f ca="1">_xlfn.NORM.INV(RAND(),AVERAGE(Assumptions!$D$13,Assumptions!$F$13),(Assumptions!$F$13-Assumptions!$D$13)/3.29)*44</f>
        <v>20723923.236913763</v>
      </c>
      <c r="M412" s="6">
        <f ca="1">_xlfn.NORM.INV(RAND(),AVERAGE(Assumptions!$D$14,Assumptions!$F$14),(Assumptions!$F$14-Assumptions!$D$14)/3.29)*44</f>
        <v>7310374.287276933</v>
      </c>
      <c r="N412" s="9">
        <f ca="1">_xlfn.NORM.INV(RAND(),AVERAGE(Assumptions!$D$16,Assumptions!$F$16),(Assumptions!$F$16-Assumptions!$D$16)/3.29)*44</f>
        <v>7728505.0681461785</v>
      </c>
      <c r="O412" s="12">
        <f ca="1">_xlfn.NORM.INV(RAND(),AVERAGE(Assumptions!$D$15,Assumptions!$F$15),(Assumptions!$F$15-Assumptions!$D$15)/3.29)*44</f>
        <v>186895133.53222445</v>
      </c>
      <c r="P412" s="15">
        <f>Assumptions!$D$18</f>
        <v>14641750.345627395</v>
      </c>
      <c r="Q412" s="3">
        <f t="shared" ca="1" si="12"/>
        <v>115685745.17514414</v>
      </c>
      <c r="R412" s="6">
        <f t="shared" ca="1" si="13"/>
        <v>130327495.52077153</v>
      </c>
    </row>
    <row r="413" spans="1:18">
      <c r="A413" s="20">
        <v>412</v>
      </c>
      <c r="B413" s="3">
        <f ca="1">_xlfn.NORM.INV(RAND(),AVERAGE(Assumptions!$D$4,Assumptions!$F$4),(Assumptions!$F$4-Assumptions!$D$4)/3.29)*44</f>
        <v>1322343.7351144708</v>
      </c>
      <c r="C413" s="6">
        <f ca="1">_xlfn.NORM.INV(RAND(),AVERAGE(Assumptions!$D$5,Assumptions!$F$5),(Assumptions!$F$5-Assumptions!$D$5)/3.29)*44</f>
        <v>1966627.8278037813</v>
      </c>
      <c r="D413" s="9">
        <f ca="1">_xlfn.NORM.INV(RAND(),AVERAGE(Assumptions!$D$6,Assumptions!$F$6),(Assumptions!$F$6-Assumptions!$D$6)/3.29)*RANDBETWEEN(2,5)</f>
        <v>6446999.0902728885</v>
      </c>
      <c r="E413" s="12">
        <f ca="1">_xlfn.NORM.INV(RAND(),AVERAGE(Assumptions!$D$17,Assumptions!$F$17),(Assumptions!$F$17-Assumptions!$D$17)/3.29)*8</f>
        <v>988765.54332470207</v>
      </c>
      <c r="F413" s="15">
        <f ca="1">_xlfn.NORM.INV(RAND(),AVERAGE(Assumptions!$D$7,Assumptions!$F$7),(Assumptions!$F$7-Assumptions!$D$7)/3.29)*RANDBETWEEN(1,3)</f>
        <v>9474082.6577337738</v>
      </c>
      <c r="G413" s="3">
        <f ca="1">_xlfn.NORM.INV(RAND(),AVERAGE(Assumptions!$D$8,Assumptions!$F$8),(Assumptions!$F$8-Assumptions!$D$8)/3.29)*44</f>
        <v>902128.16794026608</v>
      </c>
      <c r="H413" s="6">
        <f ca="1">_xlfn.NORM.INV(RAND(),AVERAGE(Assumptions!$D$9,Assumptions!$F$9),(Assumptions!$F$9-Assumptions!$D$9)/3.29)*21</f>
        <v>4791233.577784176</v>
      </c>
      <c r="I413" s="9">
        <f ca="1">_xlfn.NORM.INV(RAND(),AVERAGE(Assumptions!$D$10,Assumptions!$F$10),(Assumptions!$F$10-Assumptions!$D$10)/3.29)*21</f>
        <v>821975.85728392168</v>
      </c>
      <c r="J413" s="12">
        <f ca="1">NORMINV(RAND(),AVERAGE(Assumptions!$D$11,Assumptions!$F$11),(Assumptions!$F$11-Assumptions!$D$11)/3.29)*44</f>
        <v>4263694.1143246759</v>
      </c>
      <c r="K413" s="15">
        <f ca="1">_xlfn.NORM.INV(RAND(),AVERAGE(Assumptions!$D$12,Assumptions!$F$12),(Assumptions!$F$12-Assumptions!$D$12)/3.29)*44</f>
        <v>7494345.1763230758</v>
      </c>
      <c r="L413" s="3">
        <f ca="1">_xlfn.NORM.INV(RAND(),AVERAGE(Assumptions!$D$13,Assumptions!$F$13),(Assumptions!$F$13-Assumptions!$D$13)/3.29)*44</f>
        <v>19853208.997699689</v>
      </c>
      <c r="M413" s="6">
        <f ca="1">_xlfn.NORM.INV(RAND(),AVERAGE(Assumptions!$D$14,Assumptions!$F$14),(Assumptions!$F$14-Assumptions!$D$14)/3.29)*44</f>
        <v>4861779.8817764856</v>
      </c>
      <c r="N413" s="9">
        <f ca="1">_xlfn.NORM.INV(RAND(),AVERAGE(Assumptions!$D$16,Assumptions!$F$16),(Assumptions!$F$16-Assumptions!$D$16)/3.29)*44</f>
        <v>6777644.6807023454</v>
      </c>
      <c r="O413" s="12">
        <f ca="1">_xlfn.NORM.INV(RAND(),AVERAGE(Assumptions!$D$15,Assumptions!$F$15),(Assumptions!$F$15-Assumptions!$D$15)/3.29)*44</f>
        <v>120143009.36914147</v>
      </c>
      <c r="P413" s="15">
        <f>Assumptions!$D$18</f>
        <v>14641750.345627395</v>
      </c>
      <c r="Q413" s="3">
        <f t="shared" ca="1" si="12"/>
        <v>50178180.06105721</v>
      </c>
      <c r="R413" s="6">
        <f t="shared" ca="1" si="13"/>
        <v>64819930.406684607</v>
      </c>
    </row>
    <row r="414" spans="1:18">
      <c r="A414" s="20">
        <v>413</v>
      </c>
      <c r="B414" s="3">
        <f ca="1">_xlfn.NORM.INV(RAND(),AVERAGE(Assumptions!$D$4,Assumptions!$F$4),(Assumptions!$F$4-Assumptions!$D$4)/3.29)*44</f>
        <v>1270186.2975777397</v>
      </c>
      <c r="C414" s="6">
        <f ca="1">_xlfn.NORM.INV(RAND(),AVERAGE(Assumptions!$D$5,Assumptions!$F$5),(Assumptions!$F$5-Assumptions!$D$5)/3.29)*44</f>
        <v>1731631.3653085283</v>
      </c>
      <c r="D414" s="9">
        <f ca="1">_xlfn.NORM.INV(RAND(),AVERAGE(Assumptions!$D$6,Assumptions!$F$6),(Assumptions!$F$6-Assumptions!$D$6)/3.29)*RANDBETWEEN(2,5)</f>
        <v>8994881.0517995078</v>
      </c>
      <c r="E414" s="12">
        <f ca="1">_xlfn.NORM.INV(RAND(),AVERAGE(Assumptions!$D$17,Assumptions!$F$17),(Assumptions!$F$17-Assumptions!$D$17)/3.29)*8</f>
        <v>1080079.2028418167</v>
      </c>
      <c r="F414" s="15">
        <f ca="1">_xlfn.NORM.INV(RAND(),AVERAGE(Assumptions!$D$7,Assumptions!$F$7),(Assumptions!$F$7-Assumptions!$D$7)/3.29)*RANDBETWEEN(1,3)</f>
        <v>2624482.9717963557</v>
      </c>
      <c r="G414" s="3">
        <f ca="1">_xlfn.NORM.INV(RAND(),AVERAGE(Assumptions!$D$8,Assumptions!$F$8),(Assumptions!$F$8-Assumptions!$D$8)/3.29)*44</f>
        <v>1392292.9227163089</v>
      </c>
      <c r="H414" s="6">
        <f ca="1">_xlfn.NORM.INV(RAND(),AVERAGE(Assumptions!$D$9,Assumptions!$F$9),(Assumptions!$F$9-Assumptions!$D$9)/3.29)*21</f>
        <v>4893331.8384640738</v>
      </c>
      <c r="I414" s="9">
        <f ca="1">_xlfn.NORM.INV(RAND(),AVERAGE(Assumptions!$D$10,Assumptions!$F$10),(Assumptions!$F$10-Assumptions!$D$10)/3.29)*21</f>
        <v>603528.17818500882</v>
      </c>
      <c r="J414" s="12">
        <f ca="1">NORMINV(RAND(),AVERAGE(Assumptions!$D$11,Assumptions!$F$11),(Assumptions!$F$11-Assumptions!$D$11)/3.29)*44</f>
        <v>4876835.6707068635</v>
      </c>
      <c r="K414" s="15">
        <f ca="1">_xlfn.NORM.INV(RAND(),AVERAGE(Assumptions!$D$12,Assumptions!$F$12),(Assumptions!$F$12-Assumptions!$D$12)/3.29)*44</f>
        <v>7635465.6595207565</v>
      </c>
      <c r="L414" s="3">
        <f ca="1">_xlfn.NORM.INV(RAND(),AVERAGE(Assumptions!$D$13,Assumptions!$F$13),(Assumptions!$F$13-Assumptions!$D$13)/3.29)*44</f>
        <v>12273932.175290197</v>
      </c>
      <c r="M414" s="6">
        <f ca="1">_xlfn.NORM.INV(RAND(),AVERAGE(Assumptions!$D$14,Assumptions!$F$14),(Assumptions!$F$14-Assumptions!$D$14)/3.29)*44</f>
        <v>5268631.9868230373</v>
      </c>
      <c r="N414" s="9">
        <f ca="1">_xlfn.NORM.INV(RAND(),AVERAGE(Assumptions!$D$16,Assumptions!$F$16),(Assumptions!$F$16-Assumptions!$D$16)/3.29)*44</f>
        <v>19639196.603742465</v>
      </c>
      <c r="O414" s="12">
        <f ca="1">_xlfn.NORM.INV(RAND(),AVERAGE(Assumptions!$D$15,Assumptions!$F$15),(Assumptions!$F$15-Assumptions!$D$15)/3.29)*44</f>
        <v>130288338.85872531</v>
      </c>
      <c r="P414" s="15">
        <f>Assumptions!$D$18</f>
        <v>14641750.345627395</v>
      </c>
      <c r="Q414" s="3">
        <f t="shared" ca="1" si="12"/>
        <v>58003862.933952644</v>
      </c>
      <c r="R414" s="6">
        <f t="shared" ca="1" si="13"/>
        <v>72645613.279580042</v>
      </c>
    </row>
    <row r="415" spans="1:18">
      <c r="A415" s="20">
        <v>414</v>
      </c>
      <c r="B415" s="3">
        <f ca="1">_xlfn.NORM.INV(RAND(),AVERAGE(Assumptions!$D$4,Assumptions!$F$4),(Assumptions!$F$4-Assumptions!$D$4)/3.29)*44</f>
        <v>1158519.0249701068</v>
      </c>
      <c r="C415" s="6">
        <f ca="1">_xlfn.NORM.INV(RAND(),AVERAGE(Assumptions!$D$5,Assumptions!$F$5),(Assumptions!$F$5-Assumptions!$D$5)/3.29)*44</f>
        <v>1828986.1953925032</v>
      </c>
      <c r="D415" s="9">
        <f ca="1">_xlfn.NORM.INV(RAND(),AVERAGE(Assumptions!$D$6,Assumptions!$F$6),(Assumptions!$F$6-Assumptions!$D$6)/3.29)*RANDBETWEEN(2,5)</f>
        <v>5048906.5266691819</v>
      </c>
      <c r="E415" s="12">
        <f ca="1">_xlfn.NORM.INV(RAND(),AVERAGE(Assumptions!$D$17,Assumptions!$F$17),(Assumptions!$F$17-Assumptions!$D$17)/3.29)*8</f>
        <v>761516.64093731018</v>
      </c>
      <c r="F415" s="15">
        <f ca="1">_xlfn.NORM.INV(RAND(),AVERAGE(Assumptions!$D$7,Assumptions!$F$7),(Assumptions!$F$7-Assumptions!$D$7)/3.29)*RANDBETWEEN(1,3)</f>
        <v>8903478.3312698249</v>
      </c>
      <c r="G415" s="3">
        <f ca="1">_xlfn.NORM.INV(RAND(),AVERAGE(Assumptions!$D$8,Assumptions!$F$8),(Assumptions!$F$8-Assumptions!$D$8)/3.29)*44</f>
        <v>1323208.5094692223</v>
      </c>
      <c r="H415" s="6">
        <f ca="1">_xlfn.NORM.INV(RAND(),AVERAGE(Assumptions!$D$9,Assumptions!$F$9),(Assumptions!$F$9-Assumptions!$D$9)/3.29)*21</f>
        <v>4858233.8912467621</v>
      </c>
      <c r="I415" s="9">
        <f ca="1">_xlfn.NORM.INV(RAND(),AVERAGE(Assumptions!$D$10,Assumptions!$F$10),(Assumptions!$F$10-Assumptions!$D$10)/3.29)*21</f>
        <v>1196845.4927011491</v>
      </c>
      <c r="J415" s="12">
        <f ca="1">NORMINV(RAND(),AVERAGE(Assumptions!$D$11,Assumptions!$F$11),(Assumptions!$F$11-Assumptions!$D$11)/3.29)*44</f>
        <v>3211642.9661056208</v>
      </c>
      <c r="K415" s="15">
        <f ca="1">_xlfn.NORM.INV(RAND(),AVERAGE(Assumptions!$D$12,Assumptions!$F$12),(Assumptions!$F$12-Assumptions!$D$12)/3.29)*44</f>
        <v>9316601.6380849034</v>
      </c>
      <c r="L415" s="3">
        <f ca="1">_xlfn.NORM.INV(RAND(),AVERAGE(Assumptions!$D$13,Assumptions!$F$13),(Assumptions!$F$13-Assumptions!$D$13)/3.29)*44</f>
        <v>14807776.563950317</v>
      </c>
      <c r="M415" s="6">
        <f ca="1">_xlfn.NORM.INV(RAND(),AVERAGE(Assumptions!$D$14,Assumptions!$F$14),(Assumptions!$F$14-Assumptions!$D$14)/3.29)*44</f>
        <v>4353685.7042177832</v>
      </c>
      <c r="N415" s="9">
        <f ca="1">_xlfn.NORM.INV(RAND(),AVERAGE(Assumptions!$D$16,Assumptions!$F$16),(Assumptions!$F$16-Assumptions!$D$16)/3.29)*44</f>
        <v>10475835.875273388</v>
      </c>
      <c r="O415" s="12">
        <f ca="1">_xlfn.NORM.INV(RAND(),AVERAGE(Assumptions!$D$15,Assumptions!$F$15),(Assumptions!$F$15-Assumptions!$D$15)/3.29)*44</f>
        <v>6439926.6977515267</v>
      </c>
      <c r="P415" s="15">
        <f>Assumptions!$D$18</f>
        <v>14641750.345627395</v>
      </c>
      <c r="Q415" s="3">
        <f t="shared" ca="1" si="12"/>
        <v>-60805310.662536539</v>
      </c>
      <c r="R415" s="6">
        <f t="shared" ca="1" si="13"/>
        <v>-46163560.316909142</v>
      </c>
    </row>
    <row r="416" spans="1:18">
      <c r="A416" s="20">
        <v>415</v>
      </c>
      <c r="B416" s="3">
        <f ca="1">_xlfn.NORM.INV(RAND(),AVERAGE(Assumptions!$D$4,Assumptions!$F$4),(Assumptions!$F$4-Assumptions!$D$4)/3.29)*44</f>
        <v>1245424.1027930302</v>
      </c>
      <c r="C416" s="6">
        <f ca="1">_xlfn.NORM.INV(RAND(),AVERAGE(Assumptions!$D$5,Assumptions!$F$5),(Assumptions!$F$5-Assumptions!$D$5)/3.29)*44</f>
        <v>1700273.1261867031</v>
      </c>
      <c r="D416" s="9">
        <f ca="1">_xlfn.NORM.INV(RAND(),AVERAGE(Assumptions!$D$6,Assumptions!$F$6),(Assumptions!$F$6-Assumptions!$D$6)/3.29)*RANDBETWEEN(2,5)</f>
        <v>4361178.9186484162</v>
      </c>
      <c r="E416" s="12">
        <f ca="1">_xlfn.NORM.INV(RAND(),AVERAGE(Assumptions!$D$17,Assumptions!$F$17),(Assumptions!$F$17-Assumptions!$D$17)/3.29)*8</f>
        <v>1138470.2405853982</v>
      </c>
      <c r="F416" s="15">
        <f ca="1">_xlfn.NORM.INV(RAND(),AVERAGE(Assumptions!$D$7,Assumptions!$F$7),(Assumptions!$F$7-Assumptions!$D$7)/3.29)*RANDBETWEEN(1,3)</f>
        <v>10798725.926550645</v>
      </c>
      <c r="G416" s="3">
        <f ca="1">_xlfn.NORM.INV(RAND(),AVERAGE(Assumptions!$D$8,Assumptions!$F$8),(Assumptions!$F$8-Assumptions!$D$8)/3.29)*44</f>
        <v>1233929.0032152061</v>
      </c>
      <c r="H416" s="6">
        <f ca="1">_xlfn.NORM.INV(RAND(),AVERAGE(Assumptions!$D$9,Assumptions!$F$9),(Assumptions!$F$9-Assumptions!$D$9)/3.29)*21</f>
        <v>3533275.3822052656</v>
      </c>
      <c r="I416" s="9">
        <f ca="1">_xlfn.NORM.INV(RAND(),AVERAGE(Assumptions!$D$10,Assumptions!$F$10),(Assumptions!$F$10-Assumptions!$D$10)/3.29)*21</f>
        <v>687157.66899495386</v>
      </c>
      <c r="J416" s="12">
        <f ca="1">NORMINV(RAND(),AVERAGE(Assumptions!$D$11,Assumptions!$F$11),(Assumptions!$F$11-Assumptions!$D$11)/3.29)*44</f>
        <v>4352105.2470177496</v>
      </c>
      <c r="K416" s="15">
        <f ca="1">_xlfn.NORM.INV(RAND(),AVERAGE(Assumptions!$D$12,Assumptions!$F$12),(Assumptions!$F$12-Assumptions!$D$12)/3.29)*44</f>
        <v>10387456.246261286</v>
      </c>
      <c r="L416" s="3">
        <f ca="1">_xlfn.NORM.INV(RAND(),AVERAGE(Assumptions!$D$13,Assumptions!$F$13),(Assumptions!$F$13-Assumptions!$D$13)/3.29)*44</f>
        <v>13865156.271358255</v>
      </c>
      <c r="M416" s="6">
        <f ca="1">_xlfn.NORM.INV(RAND(),AVERAGE(Assumptions!$D$14,Assumptions!$F$14),(Assumptions!$F$14-Assumptions!$D$14)/3.29)*44</f>
        <v>7542738.6503628865</v>
      </c>
      <c r="N416" s="9">
        <f ca="1">_xlfn.NORM.INV(RAND(),AVERAGE(Assumptions!$D$16,Assumptions!$F$16),(Assumptions!$F$16-Assumptions!$D$16)/3.29)*44</f>
        <v>6708573.0013036113</v>
      </c>
      <c r="O416" s="12">
        <f ca="1">_xlfn.NORM.INV(RAND(),AVERAGE(Assumptions!$D$15,Assumptions!$F$15),(Assumptions!$F$15-Assumptions!$D$15)/3.29)*44</f>
        <v>36333864.522783749</v>
      </c>
      <c r="P416" s="15">
        <f>Assumptions!$D$18</f>
        <v>14641750.345627395</v>
      </c>
      <c r="Q416" s="3">
        <f t="shared" ca="1" si="12"/>
        <v>-31220599.262699656</v>
      </c>
      <c r="R416" s="6">
        <f t="shared" ca="1" si="13"/>
        <v>-16578848.917072261</v>
      </c>
    </row>
    <row r="417" spans="1:18">
      <c r="A417" s="20">
        <v>416</v>
      </c>
      <c r="B417" s="3">
        <f ca="1">_xlfn.NORM.INV(RAND(),AVERAGE(Assumptions!$D$4,Assumptions!$F$4),(Assumptions!$F$4-Assumptions!$D$4)/3.29)*44</f>
        <v>1260035.9540918514</v>
      </c>
      <c r="C417" s="6">
        <f ca="1">_xlfn.NORM.INV(RAND(),AVERAGE(Assumptions!$D$5,Assumptions!$F$5),(Assumptions!$F$5-Assumptions!$D$5)/3.29)*44</f>
        <v>1759257.0956848909</v>
      </c>
      <c r="D417" s="9">
        <f ca="1">_xlfn.NORM.INV(RAND(),AVERAGE(Assumptions!$D$6,Assumptions!$F$6),(Assumptions!$F$6-Assumptions!$D$6)/3.29)*RANDBETWEEN(2,5)</f>
        <v>8033930.7654713094</v>
      </c>
      <c r="E417" s="12">
        <f ca="1">_xlfn.NORM.INV(RAND(),AVERAGE(Assumptions!$D$17,Assumptions!$F$17),(Assumptions!$F$17-Assumptions!$D$17)/3.29)*8</f>
        <v>865498.31984348875</v>
      </c>
      <c r="F417" s="15">
        <f ca="1">_xlfn.NORM.INV(RAND(),AVERAGE(Assumptions!$D$7,Assumptions!$F$7),(Assumptions!$F$7-Assumptions!$D$7)/3.29)*RANDBETWEEN(1,3)</f>
        <v>10900671.666526401</v>
      </c>
      <c r="G417" s="3">
        <f ca="1">_xlfn.NORM.INV(RAND(),AVERAGE(Assumptions!$D$8,Assumptions!$F$8),(Assumptions!$F$8-Assumptions!$D$8)/3.29)*44</f>
        <v>1532320.4132191874</v>
      </c>
      <c r="H417" s="6">
        <f ca="1">_xlfn.NORM.INV(RAND(),AVERAGE(Assumptions!$D$9,Assumptions!$F$9),(Assumptions!$F$9-Assumptions!$D$9)/3.29)*21</f>
        <v>3748796.0272578066</v>
      </c>
      <c r="I417" s="9">
        <f ca="1">_xlfn.NORM.INV(RAND(),AVERAGE(Assumptions!$D$10,Assumptions!$F$10),(Assumptions!$F$10-Assumptions!$D$10)/3.29)*21</f>
        <v>1118388.7939577701</v>
      </c>
      <c r="J417" s="12">
        <f ca="1">NORMINV(RAND(),AVERAGE(Assumptions!$D$11,Assumptions!$F$11),(Assumptions!$F$11-Assumptions!$D$11)/3.29)*44</f>
        <v>4371910.0542498417</v>
      </c>
      <c r="K417" s="15">
        <f ca="1">_xlfn.NORM.INV(RAND(),AVERAGE(Assumptions!$D$12,Assumptions!$F$12),(Assumptions!$F$12-Assumptions!$D$12)/3.29)*44</f>
        <v>9234732.340976527</v>
      </c>
      <c r="L417" s="3">
        <f ca="1">_xlfn.NORM.INV(RAND(),AVERAGE(Assumptions!$D$13,Assumptions!$F$13),(Assumptions!$F$13-Assumptions!$D$13)/3.29)*44</f>
        <v>14503182.98514834</v>
      </c>
      <c r="M417" s="6">
        <f ca="1">_xlfn.NORM.INV(RAND(),AVERAGE(Assumptions!$D$14,Assumptions!$F$14),(Assumptions!$F$14-Assumptions!$D$14)/3.29)*44</f>
        <v>5011349.5807519387</v>
      </c>
      <c r="N417" s="9">
        <f ca="1">_xlfn.NORM.INV(RAND(),AVERAGE(Assumptions!$D$16,Assumptions!$F$16),(Assumptions!$F$16-Assumptions!$D$16)/3.29)*44</f>
        <v>10920205.700242605</v>
      </c>
      <c r="O417" s="12">
        <f ca="1">_xlfn.NORM.INV(RAND(),AVERAGE(Assumptions!$D$15,Assumptions!$F$15),(Assumptions!$F$15-Assumptions!$D$15)/3.29)*44</f>
        <v>51597672.547378942</v>
      </c>
      <c r="P417" s="15">
        <f>Assumptions!$D$18</f>
        <v>14641750.345627395</v>
      </c>
      <c r="Q417" s="3">
        <f t="shared" ca="1" si="12"/>
        <v>-21662607.150043011</v>
      </c>
      <c r="R417" s="6">
        <f t="shared" ca="1" si="13"/>
        <v>-7020856.8044156153</v>
      </c>
    </row>
    <row r="418" spans="1:18">
      <c r="A418" s="20">
        <v>417</v>
      </c>
      <c r="B418" s="3">
        <f ca="1">_xlfn.NORM.INV(RAND(),AVERAGE(Assumptions!$D$4,Assumptions!$F$4),(Assumptions!$F$4-Assumptions!$D$4)/3.29)*44</f>
        <v>1280177.0248458947</v>
      </c>
      <c r="C418" s="6">
        <f ca="1">_xlfn.NORM.INV(RAND(),AVERAGE(Assumptions!$D$5,Assumptions!$F$5),(Assumptions!$F$5-Assumptions!$D$5)/3.29)*44</f>
        <v>1758916.1114219574</v>
      </c>
      <c r="D418" s="9">
        <f ca="1">_xlfn.NORM.INV(RAND(),AVERAGE(Assumptions!$D$6,Assumptions!$F$6),(Assumptions!$F$6-Assumptions!$D$6)/3.29)*RANDBETWEEN(2,5)</f>
        <v>5426599.9454894103</v>
      </c>
      <c r="E418" s="12">
        <f ca="1">_xlfn.NORM.INV(RAND(),AVERAGE(Assumptions!$D$17,Assumptions!$F$17),(Assumptions!$F$17-Assumptions!$D$17)/3.29)*8</f>
        <v>996645.89578052191</v>
      </c>
      <c r="F418" s="15">
        <f ca="1">_xlfn.NORM.INV(RAND(),AVERAGE(Assumptions!$D$7,Assumptions!$F$7),(Assumptions!$F$7-Assumptions!$D$7)/3.29)*RANDBETWEEN(1,3)</f>
        <v>3398167.929022518</v>
      </c>
      <c r="G418" s="3">
        <f ca="1">_xlfn.NORM.INV(RAND(),AVERAGE(Assumptions!$D$8,Assumptions!$F$8),(Assumptions!$F$8-Assumptions!$D$8)/3.29)*44</f>
        <v>865868.56922328146</v>
      </c>
      <c r="H418" s="6">
        <f ca="1">_xlfn.NORM.INV(RAND(),AVERAGE(Assumptions!$D$9,Assumptions!$F$9),(Assumptions!$F$9-Assumptions!$D$9)/3.29)*21</f>
        <v>3645597.9029827272</v>
      </c>
      <c r="I418" s="9">
        <f ca="1">_xlfn.NORM.INV(RAND(),AVERAGE(Assumptions!$D$10,Assumptions!$F$10),(Assumptions!$F$10-Assumptions!$D$10)/3.29)*21</f>
        <v>1033865.8110844115</v>
      </c>
      <c r="J418" s="12">
        <f ca="1">NORMINV(RAND(),AVERAGE(Assumptions!$D$11,Assumptions!$F$11),(Assumptions!$F$11-Assumptions!$D$11)/3.29)*44</f>
        <v>3396718.1533209756</v>
      </c>
      <c r="K418" s="15">
        <f ca="1">_xlfn.NORM.INV(RAND(),AVERAGE(Assumptions!$D$12,Assumptions!$F$12),(Assumptions!$F$12-Assumptions!$D$12)/3.29)*44</f>
        <v>10411102.506401647</v>
      </c>
      <c r="L418" s="3">
        <f ca="1">_xlfn.NORM.INV(RAND(),AVERAGE(Assumptions!$D$13,Assumptions!$F$13),(Assumptions!$F$13-Assumptions!$D$13)/3.29)*44</f>
        <v>12077133.321687652</v>
      </c>
      <c r="M418" s="6">
        <f ca="1">_xlfn.NORM.INV(RAND(),AVERAGE(Assumptions!$D$14,Assumptions!$F$14),(Assumptions!$F$14-Assumptions!$D$14)/3.29)*44</f>
        <v>6585863.1313903471</v>
      </c>
      <c r="N418" s="9">
        <f ca="1">_xlfn.NORM.INV(RAND(),AVERAGE(Assumptions!$D$16,Assumptions!$F$16),(Assumptions!$F$16-Assumptions!$D$16)/3.29)*44</f>
        <v>7587838.0979388766</v>
      </c>
      <c r="O418" s="12">
        <f ca="1">_xlfn.NORM.INV(RAND(),AVERAGE(Assumptions!$D$15,Assumptions!$F$15),(Assumptions!$F$15-Assumptions!$D$15)/3.29)*44</f>
        <v>119065948.032902</v>
      </c>
      <c r="P418" s="15">
        <f>Assumptions!$D$18</f>
        <v>14641750.345627395</v>
      </c>
      <c r="Q418" s="3">
        <f t="shared" ca="1" si="12"/>
        <v>60601453.632311791</v>
      </c>
      <c r="R418" s="6">
        <f t="shared" ca="1" si="13"/>
        <v>75243203.977939188</v>
      </c>
    </row>
    <row r="419" spans="1:18">
      <c r="A419" s="20">
        <v>418</v>
      </c>
      <c r="B419" s="3">
        <f ca="1">_xlfn.NORM.INV(RAND(),AVERAGE(Assumptions!$D$4,Assumptions!$F$4),(Assumptions!$F$4-Assumptions!$D$4)/3.29)*44</f>
        <v>1105281.6336432698</v>
      </c>
      <c r="C419" s="6">
        <f ca="1">_xlfn.NORM.INV(RAND(),AVERAGE(Assumptions!$D$5,Assumptions!$F$5),(Assumptions!$F$5-Assumptions!$D$5)/3.29)*44</f>
        <v>1886161.2336415953</v>
      </c>
      <c r="D419" s="9">
        <f ca="1">_xlfn.NORM.INV(RAND(),AVERAGE(Assumptions!$D$6,Assumptions!$F$6),(Assumptions!$F$6-Assumptions!$D$6)/3.29)*RANDBETWEEN(2,5)</f>
        <v>5573035.4315837706</v>
      </c>
      <c r="E419" s="12">
        <f ca="1">_xlfn.NORM.INV(RAND(),AVERAGE(Assumptions!$D$17,Assumptions!$F$17),(Assumptions!$F$17-Assumptions!$D$17)/3.29)*8</f>
        <v>1205693.8532911751</v>
      </c>
      <c r="F419" s="15">
        <f ca="1">_xlfn.NORM.INV(RAND(),AVERAGE(Assumptions!$D$7,Assumptions!$F$7),(Assumptions!$F$7-Assumptions!$D$7)/3.29)*RANDBETWEEN(1,3)</f>
        <v>9613851.1614350155</v>
      </c>
      <c r="G419" s="3">
        <f ca="1">_xlfn.NORM.INV(RAND(),AVERAGE(Assumptions!$D$8,Assumptions!$F$8),(Assumptions!$F$8-Assumptions!$D$8)/3.29)*44</f>
        <v>1633185.0012860147</v>
      </c>
      <c r="H419" s="6">
        <f ca="1">_xlfn.NORM.INV(RAND(),AVERAGE(Assumptions!$D$9,Assumptions!$F$9),(Assumptions!$F$9-Assumptions!$D$9)/3.29)*21</f>
        <v>4837871.9551013466</v>
      </c>
      <c r="I419" s="9">
        <f ca="1">_xlfn.NORM.INV(RAND(),AVERAGE(Assumptions!$D$10,Assumptions!$F$10),(Assumptions!$F$10-Assumptions!$D$10)/3.29)*21</f>
        <v>1097823.3789789295</v>
      </c>
      <c r="J419" s="12">
        <f ca="1">NORMINV(RAND(),AVERAGE(Assumptions!$D$11,Assumptions!$F$11),(Assumptions!$F$11-Assumptions!$D$11)/3.29)*44</f>
        <v>2657510.5956847519</v>
      </c>
      <c r="K419" s="15">
        <f ca="1">_xlfn.NORM.INV(RAND(),AVERAGE(Assumptions!$D$12,Assumptions!$F$12),(Assumptions!$F$12-Assumptions!$D$12)/3.29)*44</f>
        <v>9099014.2245886512</v>
      </c>
      <c r="L419" s="3">
        <f ca="1">_xlfn.NORM.INV(RAND(),AVERAGE(Assumptions!$D$13,Assumptions!$F$13),(Assumptions!$F$13-Assumptions!$D$13)/3.29)*44</f>
        <v>11571694.00626184</v>
      </c>
      <c r="M419" s="6">
        <f ca="1">_xlfn.NORM.INV(RAND(),AVERAGE(Assumptions!$D$14,Assumptions!$F$14),(Assumptions!$F$14-Assumptions!$D$14)/3.29)*44</f>
        <v>6900594.3055906249</v>
      </c>
      <c r="N419" s="9">
        <f ca="1">_xlfn.NORM.INV(RAND(),AVERAGE(Assumptions!$D$16,Assumptions!$F$16),(Assumptions!$F$16-Assumptions!$D$16)/3.29)*44</f>
        <v>14969866.717626046</v>
      </c>
      <c r="O419" s="12">
        <f ca="1">_xlfn.NORM.INV(RAND(),AVERAGE(Assumptions!$D$15,Assumptions!$F$15),(Assumptions!$F$15-Assumptions!$D$15)/3.29)*44</f>
        <v>91481747.938368201</v>
      </c>
      <c r="P419" s="15">
        <f>Assumptions!$D$18</f>
        <v>14641750.345627395</v>
      </c>
      <c r="Q419" s="3">
        <f t="shared" ca="1" si="12"/>
        <v>19330164.439655185</v>
      </c>
      <c r="R419" s="6">
        <f t="shared" ca="1" si="13"/>
        <v>33971914.785282582</v>
      </c>
    </row>
    <row r="420" spans="1:18">
      <c r="A420" s="20">
        <v>419</v>
      </c>
      <c r="B420" s="3">
        <f ca="1">_xlfn.NORM.INV(RAND(),AVERAGE(Assumptions!$D$4,Assumptions!$F$4),(Assumptions!$F$4-Assumptions!$D$4)/3.29)*44</f>
        <v>1259690.9950244969</v>
      </c>
      <c r="C420" s="6">
        <f ca="1">_xlfn.NORM.INV(RAND(),AVERAGE(Assumptions!$D$5,Assumptions!$F$5),(Assumptions!$F$5-Assumptions!$D$5)/3.29)*44</f>
        <v>1702692.0291513298</v>
      </c>
      <c r="D420" s="9">
        <f ca="1">_xlfn.NORM.INV(RAND(),AVERAGE(Assumptions!$D$6,Assumptions!$F$6),(Assumptions!$F$6-Assumptions!$D$6)/3.29)*RANDBETWEEN(2,5)</f>
        <v>3493785.3340740455</v>
      </c>
      <c r="E420" s="12">
        <f ca="1">_xlfn.NORM.INV(RAND(),AVERAGE(Assumptions!$D$17,Assumptions!$F$17),(Assumptions!$F$17-Assumptions!$D$17)/3.29)*8</f>
        <v>1084004.7036160196</v>
      </c>
      <c r="F420" s="15">
        <f ca="1">_xlfn.NORM.INV(RAND(),AVERAGE(Assumptions!$D$7,Assumptions!$F$7),(Assumptions!$F$7-Assumptions!$D$7)/3.29)*RANDBETWEEN(1,3)</f>
        <v>6606417.772455411</v>
      </c>
      <c r="G420" s="3">
        <f ca="1">_xlfn.NORM.INV(RAND(),AVERAGE(Assumptions!$D$8,Assumptions!$F$8),(Assumptions!$F$8-Assumptions!$D$8)/3.29)*44</f>
        <v>1508997.2096029434</v>
      </c>
      <c r="H420" s="6">
        <f ca="1">_xlfn.NORM.INV(RAND(),AVERAGE(Assumptions!$D$9,Assumptions!$F$9),(Assumptions!$F$9-Assumptions!$D$9)/3.29)*21</f>
        <v>7966812.8698595027</v>
      </c>
      <c r="I420" s="9">
        <f ca="1">_xlfn.NORM.INV(RAND(),AVERAGE(Assumptions!$D$10,Assumptions!$F$10),(Assumptions!$F$10-Assumptions!$D$10)/3.29)*21</f>
        <v>759045.18235735153</v>
      </c>
      <c r="J420" s="12">
        <f ca="1">NORMINV(RAND(),AVERAGE(Assumptions!$D$11,Assumptions!$F$11),(Assumptions!$F$11-Assumptions!$D$11)/3.29)*44</f>
        <v>4225791.2313079834</v>
      </c>
      <c r="K420" s="15">
        <f ca="1">_xlfn.NORM.INV(RAND(),AVERAGE(Assumptions!$D$12,Assumptions!$F$12),(Assumptions!$F$12-Assumptions!$D$12)/3.29)*44</f>
        <v>7505163.2798903193</v>
      </c>
      <c r="L420" s="3">
        <f ca="1">_xlfn.NORM.INV(RAND(),AVERAGE(Assumptions!$D$13,Assumptions!$F$13),(Assumptions!$F$13-Assumptions!$D$13)/3.29)*44</f>
        <v>18206789.187193464</v>
      </c>
      <c r="M420" s="6">
        <f ca="1">_xlfn.NORM.INV(RAND(),AVERAGE(Assumptions!$D$14,Assumptions!$F$14),(Assumptions!$F$14-Assumptions!$D$14)/3.29)*44</f>
        <v>6253177.5072136112</v>
      </c>
      <c r="N420" s="9">
        <f ca="1">_xlfn.NORM.INV(RAND(),AVERAGE(Assumptions!$D$16,Assumptions!$F$16),(Assumptions!$F$16-Assumptions!$D$16)/3.29)*44</f>
        <v>6911567.3221774269</v>
      </c>
      <c r="O420" s="12">
        <f ca="1">_xlfn.NORM.INV(RAND(),AVERAGE(Assumptions!$D$15,Assumptions!$F$15),(Assumptions!$F$15-Assumptions!$D$15)/3.29)*44</f>
        <v>108209179.37388568</v>
      </c>
      <c r="P420" s="15">
        <f>Assumptions!$D$18</f>
        <v>14641750.345627395</v>
      </c>
      <c r="Q420" s="3">
        <f t="shared" ca="1" si="12"/>
        <v>40725244.749961779</v>
      </c>
      <c r="R420" s="6">
        <f t="shared" ca="1" si="13"/>
        <v>55366995.095589176</v>
      </c>
    </row>
    <row r="421" spans="1:18">
      <c r="A421" s="20">
        <v>420</v>
      </c>
      <c r="B421" s="3">
        <f ca="1">_xlfn.NORM.INV(RAND(),AVERAGE(Assumptions!$D$4,Assumptions!$F$4),(Assumptions!$F$4-Assumptions!$D$4)/3.29)*44</f>
        <v>1187299.0522188887</v>
      </c>
      <c r="C421" s="6">
        <f ca="1">_xlfn.NORM.INV(RAND(),AVERAGE(Assumptions!$D$5,Assumptions!$F$5),(Assumptions!$F$5-Assumptions!$D$5)/3.29)*44</f>
        <v>1790291.5397680355</v>
      </c>
      <c r="D421" s="9">
        <f ca="1">_xlfn.NORM.INV(RAND(),AVERAGE(Assumptions!$D$6,Assumptions!$F$6),(Assumptions!$F$6-Assumptions!$D$6)/3.29)*RANDBETWEEN(2,5)</f>
        <v>7157852.9572642641</v>
      </c>
      <c r="E421" s="12">
        <f ca="1">_xlfn.NORM.INV(RAND(),AVERAGE(Assumptions!$D$17,Assumptions!$F$17),(Assumptions!$F$17-Assumptions!$D$17)/3.29)*8</f>
        <v>974330.30735016556</v>
      </c>
      <c r="F421" s="15">
        <f ca="1">_xlfn.NORM.INV(RAND(),AVERAGE(Assumptions!$D$7,Assumptions!$F$7),(Assumptions!$F$7-Assumptions!$D$7)/3.29)*RANDBETWEEN(1,3)</f>
        <v>3160307.6237883111</v>
      </c>
      <c r="G421" s="3">
        <f ca="1">_xlfn.NORM.INV(RAND(),AVERAGE(Assumptions!$D$8,Assumptions!$F$8),(Assumptions!$F$8-Assumptions!$D$8)/3.29)*44</f>
        <v>1541366.3019432754</v>
      </c>
      <c r="H421" s="6">
        <f ca="1">_xlfn.NORM.INV(RAND(),AVERAGE(Assumptions!$D$9,Assumptions!$F$9),(Assumptions!$F$9-Assumptions!$D$9)/3.29)*21</f>
        <v>4080819.2996183261</v>
      </c>
      <c r="I421" s="9">
        <f ca="1">_xlfn.NORM.INV(RAND(),AVERAGE(Assumptions!$D$10,Assumptions!$F$10),(Assumptions!$F$10-Assumptions!$D$10)/3.29)*21</f>
        <v>811632.42713614763</v>
      </c>
      <c r="J421" s="12">
        <f ca="1">NORMINV(RAND(),AVERAGE(Assumptions!$D$11,Assumptions!$F$11),(Assumptions!$F$11-Assumptions!$D$11)/3.29)*44</f>
        <v>1816520.6953030885</v>
      </c>
      <c r="K421" s="15">
        <f ca="1">_xlfn.NORM.INV(RAND(),AVERAGE(Assumptions!$D$12,Assumptions!$F$12),(Assumptions!$F$12-Assumptions!$D$12)/3.29)*44</f>
        <v>8642515.5464820713</v>
      </c>
      <c r="L421" s="3">
        <f ca="1">_xlfn.NORM.INV(RAND(),AVERAGE(Assumptions!$D$13,Assumptions!$F$13),(Assumptions!$F$13-Assumptions!$D$13)/3.29)*44</f>
        <v>13056627.972318687</v>
      </c>
      <c r="M421" s="6">
        <f ca="1">_xlfn.NORM.INV(RAND(),AVERAGE(Assumptions!$D$14,Assumptions!$F$14),(Assumptions!$F$14-Assumptions!$D$14)/3.29)*44</f>
        <v>8176262.6647539139</v>
      </c>
      <c r="N421" s="9">
        <f ca="1">_xlfn.NORM.INV(RAND(),AVERAGE(Assumptions!$D$16,Assumptions!$F$16),(Assumptions!$F$16-Assumptions!$D$16)/3.29)*44</f>
        <v>9573102.6260637902</v>
      </c>
      <c r="O421" s="12">
        <f ca="1">_xlfn.NORM.INV(RAND(),AVERAGE(Assumptions!$D$15,Assumptions!$F$15),(Assumptions!$F$15-Assumptions!$D$15)/3.29)*44</f>
        <v>106535299.05974388</v>
      </c>
      <c r="P421" s="15">
        <f>Assumptions!$D$18</f>
        <v>14641750.345627395</v>
      </c>
      <c r="Q421" s="3">
        <f t="shared" ca="1" si="12"/>
        <v>44566370.045734905</v>
      </c>
      <c r="R421" s="6">
        <f t="shared" ca="1" si="13"/>
        <v>59208120.391362302</v>
      </c>
    </row>
    <row r="422" spans="1:18">
      <c r="A422" s="20">
        <v>421</v>
      </c>
      <c r="B422" s="3">
        <f ca="1">_xlfn.NORM.INV(RAND(),AVERAGE(Assumptions!$D$4,Assumptions!$F$4),(Assumptions!$F$4-Assumptions!$D$4)/3.29)*44</f>
        <v>1238512.9186936656</v>
      </c>
      <c r="C422" s="6">
        <f ca="1">_xlfn.NORM.INV(RAND(),AVERAGE(Assumptions!$D$5,Assumptions!$F$5),(Assumptions!$F$5-Assumptions!$D$5)/3.29)*44</f>
        <v>1889167.4647410065</v>
      </c>
      <c r="D422" s="9">
        <f ca="1">_xlfn.NORM.INV(RAND(),AVERAGE(Assumptions!$D$6,Assumptions!$F$6),(Assumptions!$F$6-Assumptions!$D$6)/3.29)*RANDBETWEEN(2,5)</f>
        <v>2535494.493118946</v>
      </c>
      <c r="E422" s="12">
        <f ca="1">_xlfn.NORM.INV(RAND(),AVERAGE(Assumptions!$D$17,Assumptions!$F$17),(Assumptions!$F$17-Assumptions!$D$17)/3.29)*8</f>
        <v>865724.35587807349</v>
      </c>
      <c r="F422" s="15">
        <f ca="1">_xlfn.NORM.INV(RAND(),AVERAGE(Assumptions!$D$7,Assumptions!$F$7),(Assumptions!$F$7-Assumptions!$D$7)/3.29)*RANDBETWEEN(1,3)</f>
        <v>2698730.7180360034</v>
      </c>
      <c r="G422" s="3">
        <f ca="1">_xlfn.NORM.INV(RAND(),AVERAGE(Assumptions!$D$8,Assumptions!$F$8),(Assumptions!$F$8-Assumptions!$D$8)/3.29)*44</f>
        <v>1133671.3548694956</v>
      </c>
      <c r="H422" s="6">
        <f ca="1">_xlfn.NORM.INV(RAND(),AVERAGE(Assumptions!$D$9,Assumptions!$F$9),(Assumptions!$F$9-Assumptions!$D$9)/3.29)*21</f>
        <v>7032038.0661841296</v>
      </c>
      <c r="I422" s="9">
        <f ca="1">_xlfn.NORM.INV(RAND(),AVERAGE(Assumptions!$D$10,Assumptions!$F$10),(Assumptions!$F$10-Assumptions!$D$10)/3.29)*21</f>
        <v>658763.05423345382</v>
      </c>
      <c r="J422" s="12">
        <f ca="1">NORMINV(RAND(),AVERAGE(Assumptions!$D$11,Assumptions!$F$11),(Assumptions!$F$11-Assumptions!$D$11)/3.29)*44</f>
        <v>6035991.2508345107</v>
      </c>
      <c r="K422" s="15">
        <f ca="1">_xlfn.NORM.INV(RAND(),AVERAGE(Assumptions!$D$12,Assumptions!$F$12),(Assumptions!$F$12-Assumptions!$D$12)/3.29)*44</f>
        <v>11535045.251625201</v>
      </c>
      <c r="L422" s="3">
        <f ca="1">_xlfn.NORM.INV(RAND(),AVERAGE(Assumptions!$D$13,Assumptions!$F$13),(Assumptions!$F$13-Assumptions!$D$13)/3.29)*44</f>
        <v>16950568.647947181</v>
      </c>
      <c r="M422" s="6">
        <f ca="1">_xlfn.NORM.INV(RAND(),AVERAGE(Assumptions!$D$14,Assumptions!$F$14),(Assumptions!$F$14-Assumptions!$D$14)/3.29)*44</f>
        <v>7861024.9756825501</v>
      </c>
      <c r="N422" s="9">
        <f ca="1">_xlfn.NORM.INV(RAND(),AVERAGE(Assumptions!$D$16,Assumptions!$F$16),(Assumptions!$F$16-Assumptions!$D$16)/3.29)*44</f>
        <v>7105910.6414846051</v>
      </c>
      <c r="O422" s="12">
        <f ca="1">_xlfn.NORM.INV(RAND(),AVERAGE(Assumptions!$D$15,Assumptions!$F$15),(Assumptions!$F$15-Assumptions!$D$15)/3.29)*44</f>
        <v>44828151.665587038</v>
      </c>
      <c r="P422" s="15">
        <f>Assumptions!$D$18</f>
        <v>14641750.345627395</v>
      </c>
      <c r="Q422" s="3">
        <f t="shared" ca="1" si="12"/>
        <v>-22712491.52774179</v>
      </c>
      <c r="R422" s="6">
        <f t="shared" ca="1" si="13"/>
        <v>-8070741.1821143944</v>
      </c>
    </row>
    <row r="423" spans="1:18">
      <c r="A423" s="20">
        <v>422</v>
      </c>
      <c r="B423" s="3">
        <f ca="1">_xlfn.NORM.INV(RAND(),AVERAGE(Assumptions!$D$4,Assumptions!$F$4),(Assumptions!$F$4-Assumptions!$D$4)/3.29)*44</f>
        <v>1231722.5656566583</v>
      </c>
      <c r="C423" s="6">
        <f ca="1">_xlfn.NORM.INV(RAND(),AVERAGE(Assumptions!$D$5,Assumptions!$F$5),(Assumptions!$F$5-Assumptions!$D$5)/3.29)*44</f>
        <v>1795387.6202316899</v>
      </c>
      <c r="D423" s="9">
        <f ca="1">_xlfn.NORM.INV(RAND(),AVERAGE(Assumptions!$D$6,Assumptions!$F$6),(Assumptions!$F$6-Assumptions!$D$6)/3.29)*RANDBETWEEN(2,5)</f>
        <v>3801330.6377196838</v>
      </c>
      <c r="E423" s="12">
        <f ca="1">_xlfn.NORM.INV(RAND(),AVERAGE(Assumptions!$D$17,Assumptions!$F$17),(Assumptions!$F$17-Assumptions!$D$17)/3.29)*8</f>
        <v>746589.51627113996</v>
      </c>
      <c r="F423" s="15">
        <f ca="1">_xlfn.NORM.INV(RAND(),AVERAGE(Assumptions!$D$7,Assumptions!$F$7),(Assumptions!$F$7-Assumptions!$D$7)/3.29)*RANDBETWEEN(1,3)</f>
        <v>3283516.3727831934</v>
      </c>
      <c r="G423" s="3">
        <f ca="1">_xlfn.NORM.INV(RAND(),AVERAGE(Assumptions!$D$8,Assumptions!$F$8),(Assumptions!$F$8-Assumptions!$D$8)/3.29)*44</f>
        <v>1172459.9792999886</v>
      </c>
      <c r="H423" s="6">
        <f ca="1">_xlfn.NORM.INV(RAND(),AVERAGE(Assumptions!$D$9,Assumptions!$F$9),(Assumptions!$F$9-Assumptions!$D$9)/3.29)*21</f>
        <v>6199990.1444320884</v>
      </c>
      <c r="I423" s="9">
        <f ca="1">_xlfn.NORM.INV(RAND(),AVERAGE(Assumptions!$D$10,Assumptions!$F$10),(Assumptions!$F$10-Assumptions!$D$10)/3.29)*21</f>
        <v>814799.47536213475</v>
      </c>
      <c r="J423" s="12">
        <f ca="1">NORMINV(RAND(),AVERAGE(Assumptions!$D$11,Assumptions!$F$11),(Assumptions!$F$11-Assumptions!$D$11)/3.29)*44</f>
        <v>2055311.8836669577</v>
      </c>
      <c r="K423" s="15">
        <f ca="1">_xlfn.NORM.INV(RAND(),AVERAGE(Assumptions!$D$12,Assumptions!$F$12),(Assumptions!$F$12-Assumptions!$D$12)/3.29)*44</f>
        <v>9456649.4942987859</v>
      </c>
      <c r="L423" s="3">
        <f ca="1">_xlfn.NORM.INV(RAND(),AVERAGE(Assumptions!$D$13,Assumptions!$F$13),(Assumptions!$F$13-Assumptions!$D$13)/3.29)*44</f>
        <v>13795046.225672172</v>
      </c>
      <c r="M423" s="6">
        <f ca="1">_xlfn.NORM.INV(RAND(),AVERAGE(Assumptions!$D$14,Assumptions!$F$14),(Assumptions!$F$14-Assumptions!$D$14)/3.29)*44</f>
        <v>6502215.7330080457</v>
      </c>
      <c r="N423" s="9">
        <f ca="1">_xlfn.NORM.INV(RAND(),AVERAGE(Assumptions!$D$16,Assumptions!$F$16),(Assumptions!$F$16-Assumptions!$D$16)/3.29)*44</f>
        <v>7546111.4571153354</v>
      </c>
      <c r="O423" s="12">
        <f ca="1">_xlfn.NORM.INV(RAND(),AVERAGE(Assumptions!$D$15,Assumptions!$F$15),(Assumptions!$F$15-Assumptions!$D$15)/3.29)*44</f>
        <v>184194318.29543158</v>
      </c>
      <c r="P423" s="15">
        <f>Assumptions!$D$18</f>
        <v>14641750.345627395</v>
      </c>
      <c r="Q423" s="3">
        <f t="shared" ca="1" si="12"/>
        <v>125793187.18991372</v>
      </c>
      <c r="R423" s="6">
        <f t="shared" ca="1" si="13"/>
        <v>140434937.53554112</v>
      </c>
    </row>
    <row r="424" spans="1:18">
      <c r="A424" s="20">
        <v>423</v>
      </c>
      <c r="B424" s="3">
        <f ca="1">_xlfn.NORM.INV(RAND(),AVERAGE(Assumptions!$D$4,Assumptions!$F$4),(Assumptions!$F$4-Assumptions!$D$4)/3.29)*44</f>
        <v>1282307.4276393817</v>
      </c>
      <c r="C424" s="6">
        <f ca="1">_xlfn.NORM.INV(RAND(),AVERAGE(Assumptions!$D$5,Assumptions!$F$5),(Assumptions!$F$5-Assumptions!$D$5)/3.29)*44</f>
        <v>1983111.5925899611</v>
      </c>
      <c r="D424" s="9">
        <f ca="1">_xlfn.NORM.INV(RAND(),AVERAGE(Assumptions!$D$6,Assumptions!$F$6),(Assumptions!$F$6-Assumptions!$D$6)/3.29)*RANDBETWEEN(2,5)</f>
        <v>4604329.0984284058</v>
      </c>
      <c r="E424" s="12">
        <f ca="1">_xlfn.NORM.INV(RAND(),AVERAGE(Assumptions!$D$17,Assumptions!$F$17),(Assumptions!$F$17-Assumptions!$D$17)/3.29)*8</f>
        <v>984359.67664123233</v>
      </c>
      <c r="F424" s="15">
        <f ca="1">_xlfn.NORM.INV(RAND(),AVERAGE(Assumptions!$D$7,Assumptions!$F$7),(Assumptions!$F$7-Assumptions!$D$7)/3.29)*RANDBETWEEN(1,3)</f>
        <v>3367032.8757992713</v>
      </c>
      <c r="G424" s="3">
        <f ca="1">_xlfn.NORM.INV(RAND(),AVERAGE(Assumptions!$D$8,Assumptions!$F$8),(Assumptions!$F$8-Assumptions!$D$8)/3.29)*44</f>
        <v>1118908.4765669038</v>
      </c>
      <c r="H424" s="6">
        <f ca="1">_xlfn.NORM.INV(RAND(),AVERAGE(Assumptions!$D$9,Assumptions!$F$9),(Assumptions!$F$9-Assumptions!$D$9)/3.29)*21</f>
        <v>4441672.5083578303</v>
      </c>
      <c r="I424" s="9">
        <f ca="1">_xlfn.NORM.INV(RAND(),AVERAGE(Assumptions!$D$10,Assumptions!$F$10),(Assumptions!$F$10-Assumptions!$D$10)/3.29)*21</f>
        <v>838776.02743982093</v>
      </c>
      <c r="J424" s="12">
        <f ca="1">NORMINV(RAND(),AVERAGE(Assumptions!$D$11,Assumptions!$F$11),(Assumptions!$F$11-Assumptions!$D$11)/3.29)*44</f>
        <v>3223429.5580832707</v>
      </c>
      <c r="K424" s="15">
        <f ca="1">_xlfn.NORM.INV(RAND(),AVERAGE(Assumptions!$D$12,Assumptions!$F$12),(Assumptions!$F$12-Assumptions!$D$12)/3.29)*44</f>
        <v>5153282.2991511738</v>
      </c>
      <c r="L424" s="3">
        <f ca="1">_xlfn.NORM.INV(RAND(),AVERAGE(Assumptions!$D$13,Assumptions!$F$13),(Assumptions!$F$13-Assumptions!$D$13)/3.29)*44</f>
        <v>4402356.1359110875</v>
      </c>
      <c r="M424" s="6">
        <f ca="1">_xlfn.NORM.INV(RAND(),AVERAGE(Assumptions!$D$14,Assumptions!$F$14),(Assumptions!$F$14-Assumptions!$D$14)/3.29)*44</f>
        <v>5790312.6513773222</v>
      </c>
      <c r="N424" s="9">
        <f ca="1">_xlfn.NORM.INV(RAND(),AVERAGE(Assumptions!$D$16,Assumptions!$F$16),(Assumptions!$F$16-Assumptions!$D$16)/3.29)*44</f>
        <v>3354266.6157273855</v>
      </c>
      <c r="O424" s="12">
        <f ca="1">_xlfn.NORM.INV(RAND(),AVERAGE(Assumptions!$D$15,Assumptions!$F$15),(Assumptions!$F$15-Assumptions!$D$15)/3.29)*44</f>
        <v>-28911819.44037506</v>
      </c>
      <c r="P424" s="15">
        <f>Assumptions!$D$18</f>
        <v>14641750.345627395</v>
      </c>
      <c r="Q424" s="3">
        <f t="shared" ca="1" si="12"/>
        <v>-69455964.384088114</v>
      </c>
      <c r="R424" s="6">
        <f t="shared" ca="1" si="13"/>
        <v>-54814214.038460717</v>
      </c>
    </row>
    <row r="425" spans="1:18">
      <c r="A425" s="20">
        <v>424</v>
      </c>
      <c r="B425" s="3">
        <f ca="1">_xlfn.NORM.INV(RAND(),AVERAGE(Assumptions!$D$4,Assumptions!$F$4),(Assumptions!$F$4-Assumptions!$D$4)/3.29)*44</f>
        <v>1162730.766307743</v>
      </c>
      <c r="C425" s="6">
        <f ca="1">_xlfn.NORM.INV(RAND(),AVERAGE(Assumptions!$D$5,Assumptions!$F$5),(Assumptions!$F$5-Assumptions!$D$5)/3.29)*44</f>
        <v>1757151.9176362169</v>
      </c>
      <c r="D425" s="9">
        <f ca="1">_xlfn.NORM.INV(RAND(),AVERAGE(Assumptions!$D$6,Assumptions!$F$6),(Assumptions!$F$6-Assumptions!$D$6)/3.29)*RANDBETWEEN(2,5)</f>
        <v>9696211.2987679467</v>
      </c>
      <c r="E425" s="12">
        <f ca="1">_xlfn.NORM.INV(RAND(),AVERAGE(Assumptions!$D$17,Assumptions!$F$17),(Assumptions!$F$17-Assumptions!$D$17)/3.29)*8</f>
        <v>1012792.261324804</v>
      </c>
      <c r="F425" s="15">
        <f ca="1">_xlfn.NORM.INV(RAND(),AVERAGE(Assumptions!$D$7,Assumptions!$F$7),(Assumptions!$F$7-Assumptions!$D$7)/3.29)*RANDBETWEEN(1,3)</f>
        <v>8316203.6187554393</v>
      </c>
      <c r="G425" s="3">
        <f ca="1">_xlfn.NORM.INV(RAND(),AVERAGE(Assumptions!$D$8,Assumptions!$F$8),(Assumptions!$F$8-Assumptions!$D$8)/3.29)*44</f>
        <v>1080508.513367512</v>
      </c>
      <c r="H425" s="6">
        <f ca="1">_xlfn.NORM.INV(RAND(),AVERAGE(Assumptions!$D$9,Assumptions!$F$9),(Assumptions!$F$9-Assumptions!$D$9)/3.29)*21</f>
        <v>5096609.0453120451</v>
      </c>
      <c r="I425" s="9">
        <f ca="1">_xlfn.NORM.INV(RAND(),AVERAGE(Assumptions!$D$10,Assumptions!$F$10),(Assumptions!$F$10-Assumptions!$D$10)/3.29)*21</f>
        <v>561183.07384334994</v>
      </c>
      <c r="J425" s="12">
        <f ca="1">NORMINV(RAND(),AVERAGE(Assumptions!$D$11,Assumptions!$F$11),(Assumptions!$F$11-Assumptions!$D$11)/3.29)*44</f>
        <v>2046727.876405129</v>
      </c>
      <c r="K425" s="15">
        <f ca="1">_xlfn.NORM.INV(RAND(),AVERAGE(Assumptions!$D$12,Assumptions!$F$12),(Assumptions!$F$12-Assumptions!$D$12)/3.29)*44</f>
        <v>10063507.740916248</v>
      </c>
      <c r="L425" s="3">
        <f ca="1">_xlfn.NORM.INV(RAND(),AVERAGE(Assumptions!$D$13,Assumptions!$F$13),(Assumptions!$F$13-Assumptions!$D$13)/3.29)*44</f>
        <v>9867893.478086086</v>
      </c>
      <c r="M425" s="6">
        <f ca="1">_xlfn.NORM.INV(RAND(),AVERAGE(Assumptions!$D$14,Assumptions!$F$14),(Assumptions!$F$14-Assumptions!$D$14)/3.29)*44</f>
        <v>4673132.2758716131</v>
      </c>
      <c r="N425" s="9">
        <f ca="1">_xlfn.NORM.INV(RAND(),AVERAGE(Assumptions!$D$16,Assumptions!$F$16),(Assumptions!$F$16-Assumptions!$D$16)/3.29)*44</f>
        <v>14927145.581061162</v>
      </c>
      <c r="O425" s="12">
        <f ca="1">_xlfn.NORM.INV(RAND(),AVERAGE(Assumptions!$D$15,Assumptions!$F$15),(Assumptions!$F$15-Assumptions!$D$15)/3.29)*44</f>
        <v>142282342.24865872</v>
      </c>
      <c r="P425" s="15">
        <f>Assumptions!$D$18</f>
        <v>14641750.345627395</v>
      </c>
      <c r="Q425" s="3">
        <f t="shared" ca="1" si="12"/>
        <v>72020544.801003411</v>
      </c>
      <c r="R425" s="6">
        <f t="shared" ca="1" si="13"/>
        <v>86662295.146630809</v>
      </c>
    </row>
    <row r="426" spans="1:18">
      <c r="A426" s="20">
        <v>425</v>
      </c>
      <c r="B426" s="3">
        <f ca="1">_xlfn.NORM.INV(RAND(),AVERAGE(Assumptions!$D$4,Assumptions!$F$4),(Assumptions!$F$4-Assumptions!$D$4)/3.29)*44</f>
        <v>1110948.1568391854</v>
      </c>
      <c r="C426" s="6">
        <f ca="1">_xlfn.NORM.INV(RAND(),AVERAGE(Assumptions!$D$5,Assumptions!$F$5),(Assumptions!$F$5-Assumptions!$D$5)/3.29)*44</f>
        <v>1980434.9695261843</v>
      </c>
      <c r="D426" s="9">
        <f ca="1">_xlfn.NORM.INV(RAND(),AVERAGE(Assumptions!$D$6,Assumptions!$F$6),(Assumptions!$F$6-Assumptions!$D$6)/3.29)*RANDBETWEEN(2,5)</f>
        <v>4422191.6797580719</v>
      </c>
      <c r="E426" s="12">
        <f ca="1">_xlfn.NORM.INV(RAND(),AVERAGE(Assumptions!$D$17,Assumptions!$F$17),(Assumptions!$F$17-Assumptions!$D$17)/3.29)*8</f>
        <v>938213.82769209018</v>
      </c>
      <c r="F426" s="15">
        <f ca="1">_xlfn.NORM.INV(RAND(),AVERAGE(Assumptions!$D$7,Assumptions!$F$7),(Assumptions!$F$7-Assumptions!$D$7)/3.29)*RANDBETWEEN(1,3)</f>
        <v>11048471.176200476</v>
      </c>
      <c r="G426" s="3">
        <f ca="1">_xlfn.NORM.INV(RAND(),AVERAGE(Assumptions!$D$8,Assumptions!$F$8),(Assumptions!$F$8-Assumptions!$D$8)/3.29)*44</f>
        <v>836488.24553179543</v>
      </c>
      <c r="H426" s="6">
        <f ca="1">_xlfn.NORM.INV(RAND(),AVERAGE(Assumptions!$D$9,Assumptions!$F$9),(Assumptions!$F$9-Assumptions!$D$9)/3.29)*21</f>
        <v>4609312.9001517687</v>
      </c>
      <c r="I426" s="9">
        <f ca="1">_xlfn.NORM.INV(RAND(),AVERAGE(Assumptions!$D$10,Assumptions!$F$10),(Assumptions!$F$10-Assumptions!$D$10)/3.29)*21</f>
        <v>1096329.2807613309</v>
      </c>
      <c r="J426" s="12">
        <f ca="1">NORMINV(RAND(),AVERAGE(Assumptions!$D$11,Assumptions!$F$11),(Assumptions!$F$11-Assumptions!$D$11)/3.29)*44</f>
        <v>3802155.411199593</v>
      </c>
      <c r="K426" s="15">
        <f ca="1">_xlfn.NORM.INV(RAND(),AVERAGE(Assumptions!$D$12,Assumptions!$F$12),(Assumptions!$F$12-Assumptions!$D$12)/3.29)*44</f>
        <v>10238769.97371671</v>
      </c>
      <c r="L426" s="3">
        <f ca="1">_xlfn.NORM.INV(RAND(),AVERAGE(Assumptions!$D$13,Assumptions!$F$13),(Assumptions!$F$13-Assumptions!$D$13)/3.29)*44</f>
        <v>4415989.9074857011</v>
      </c>
      <c r="M426" s="6">
        <f ca="1">_xlfn.NORM.INV(RAND(),AVERAGE(Assumptions!$D$14,Assumptions!$F$14),(Assumptions!$F$14-Assumptions!$D$14)/3.29)*44</f>
        <v>8558259.7659827303</v>
      </c>
      <c r="N426" s="9">
        <f ca="1">_xlfn.NORM.INV(RAND(),AVERAGE(Assumptions!$D$16,Assumptions!$F$16),(Assumptions!$F$16-Assumptions!$D$16)/3.29)*44</f>
        <v>8960063.2584346067</v>
      </c>
      <c r="O426" s="12">
        <f ca="1">_xlfn.NORM.INV(RAND(),AVERAGE(Assumptions!$D$15,Assumptions!$F$15),(Assumptions!$F$15-Assumptions!$D$15)/3.29)*44</f>
        <v>111857928.15327165</v>
      </c>
      <c r="P426" s="15">
        <f>Assumptions!$D$18</f>
        <v>14641750.345627395</v>
      </c>
      <c r="Q426" s="3">
        <f t="shared" ca="1" si="12"/>
        <v>49840299.599991404</v>
      </c>
      <c r="R426" s="6">
        <f t="shared" ca="1" si="13"/>
        <v>64482049.945618801</v>
      </c>
    </row>
    <row r="427" spans="1:18">
      <c r="A427" s="20">
        <v>426</v>
      </c>
      <c r="B427" s="3">
        <f ca="1">_xlfn.NORM.INV(RAND(),AVERAGE(Assumptions!$D$4,Assumptions!$F$4),(Assumptions!$F$4-Assumptions!$D$4)/3.29)*44</f>
        <v>1276235.5363986758</v>
      </c>
      <c r="C427" s="6">
        <f ca="1">_xlfn.NORM.INV(RAND(),AVERAGE(Assumptions!$D$5,Assumptions!$F$5),(Assumptions!$F$5-Assumptions!$D$5)/3.29)*44</f>
        <v>2288910.4114960223</v>
      </c>
      <c r="D427" s="9">
        <f ca="1">_xlfn.NORM.INV(RAND(),AVERAGE(Assumptions!$D$6,Assumptions!$F$6),(Assumptions!$F$6-Assumptions!$D$6)/3.29)*RANDBETWEEN(2,5)</f>
        <v>4086811.1141604315</v>
      </c>
      <c r="E427" s="12">
        <f ca="1">_xlfn.NORM.INV(RAND(),AVERAGE(Assumptions!$D$17,Assumptions!$F$17),(Assumptions!$F$17-Assumptions!$D$17)/3.29)*8</f>
        <v>1064902.1829171733</v>
      </c>
      <c r="F427" s="15">
        <f ca="1">_xlfn.NORM.INV(RAND(),AVERAGE(Assumptions!$D$7,Assumptions!$F$7),(Assumptions!$F$7-Assumptions!$D$7)/3.29)*RANDBETWEEN(1,3)</f>
        <v>2254265.9413560815</v>
      </c>
      <c r="G427" s="3">
        <f ca="1">_xlfn.NORM.INV(RAND(),AVERAGE(Assumptions!$D$8,Assumptions!$F$8),(Assumptions!$F$8-Assumptions!$D$8)/3.29)*44</f>
        <v>1101893.6773269065</v>
      </c>
      <c r="H427" s="6">
        <f ca="1">_xlfn.NORM.INV(RAND(),AVERAGE(Assumptions!$D$9,Assumptions!$F$9),(Assumptions!$F$9-Assumptions!$D$9)/3.29)*21</f>
        <v>4248892.550352904</v>
      </c>
      <c r="I427" s="9">
        <f ca="1">_xlfn.NORM.INV(RAND(),AVERAGE(Assumptions!$D$10,Assumptions!$F$10),(Assumptions!$F$10-Assumptions!$D$10)/3.29)*21</f>
        <v>731074.76670344896</v>
      </c>
      <c r="J427" s="12">
        <f ca="1">NORMINV(RAND(),AVERAGE(Assumptions!$D$11,Assumptions!$F$11),(Assumptions!$F$11-Assumptions!$D$11)/3.29)*44</f>
        <v>3629757.1484760842</v>
      </c>
      <c r="K427" s="15">
        <f ca="1">_xlfn.NORM.INV(RAND(),AVERAGE(Assumptions!$D$12,Assumptions!$F$12),(Assumptions!$F$12-Assumptions!$D$12)/3.29)*44</f>
        <v>6347745.8971724659</v>
      </c>
      <c r="L427" s="3">
        <f ca="1">_xlfn.NORM.INV(RAND(),AVERAGE(Assumptions!$D$13,Assumptions!$F$13),(Assumptions!$F$13-Assumptions!$D$13)/3.29)*44</f>
        <v>17103882.65653006</v>
      </c>
      <c r="M427" s="6">
        <f ca="1">_xlfn.NORM.INV(RAND(),AVERAGE(Assumptions!$D$14,Assumptions!$F$14),(Assumptions!$F$14-Assumptions!$D$14)/3.29)*44</f>
        <v>5276548.9701818097</v>
      </c>
      <c r="N427" s="9">
        <f ca="1">_xlfn.NORM.INV(RAND(),AVERAGE(Assumptions!$D$16,Assumptions!$F$16),(Assumptions!$F$16-Assumptions!$D$16)/3.29)*44</f>
        <v>-3020408.386019188</v>
      </c>
      <c r="O427" s="12">
        <f ca="1">_xlfn.NORM.INV(RAND(),AVERAGE(Assumptions!$D$15,Assumptions!$F$15),(Assumptions!$F$15-Assumptions!$D$15)/3.29)*44</f>
        <v>84354361.781869337</v>
      </c>
      <c r="P427" s="15">
        <f>Assumptions!$D$18</f>
        <v>14641750.345627395</v>
      </c>
      <c r="Q427" s="3">
        <f t="shared" ca="1" si="12"/>
        <v>37963849.314816467</v>
      </c>
      <c r="R427" s="6">
        <f t="shared" ca="1" si="13"/>
        <v>52605599.660443865</v>
      </c>
    </row>
    <row r="428" spans="1:18">
      <c r="A428" s="20">
        <v>427</v>
      </c>
      <c r="B428" s="3">
        <f ca="1">_xlfn.NORM.INV(RAND(),AVERAGE(Assumptions!$D$4,Assumptions!$F$4),(Assumptions!$F$4-Assumptions!$D$4)/3.29)*44</f>
        <v>1098001.772170529</v>
      </c>
      <c r="C428" s="6">
        <f ca="1">_xlfn.NORM.INV(RAND(),AVERAGE(Assumptions!$D$5,Assumptions!$F$5),(Assumptions!$F$5-Assumptions!$D$5)/3.29)*44</f>
        <v>2016546.630521839</v>
      </c>
      <c r="D428" s="9">
        <f ca="1">_xlfn.NORM.INV(RAND(),AVERAGE(Assumptions!$D$6,Assumptions!$F$6),(Assumptions!$F$6-Assumptions!$D$6)/3.29)*RANDBETWEEN(2,5)</f>
        <v>4019974.4555051103</v>
      </c>
      <c r="E428" s="12">
        <f ca="1">_xlfn.NORM.INV(RAND(),AVERAGE(Assumptions!$D$17,Assumptions!$F$17),(Assumptions!$F$17-Assumptions!$D$17)/3.29)*8</f>
        <v>943108.33874873864</v>
      </c>
      <c r="F428" s="15">
        <f ca="1">_xlfn.NORM.INV(RAND(),AVERAGE(Assumptions!$D$7,Assumptions!$F$7),(Assumptions!$F$7-Assumptions!$D$7)/3.29)*RANDBETWEEN(1,3)</f>
        <v>2542591.9910543277</v>
      </c>
      <c r="G428" s="3">
        <f ca="1">_xlfn.NORM.INV(RAND(),AVERAGE(Assumptions!$D$8,Assumptions!$F$8),(Assumptions!$F$8-Assumptions!$D$8)/3.29)*44</f>
        <v>1252308.7360516896</v>
      </c>
      <c r="H428" s="6">
        <f ca="1">_xlfn.NORM.INV(RAND(),AVERAGE(Assumptions!$D$9,Assumptions!$F$9),(Assumptions!$F$9-Assumptions!$D$9)/3.29)*21</f>
        <v>5841483.3298737146</v>
      </c>
      <c r="I428" s="9">
        <f ca="1">_xlfn.NORM.INV(RAND(),AVERAGE(Assumptions!$D$10,Assumptions!$F$10),(Assumptions!$F$10-Assumptions!$D$10)/3.29)*21</f>
        <v>980250.14198269544</v>
      </c>
      <c r="J428" s="12">
        <f ca="1">NORMINV(RAND(),AVERAGE(Assumptions!$D$11,Assumptions!$F$11),(Assumptions!$F$11-Assumptions!$D$11)/3.29)*44</f>
        <v>3689293.4006077</v>
      </c>
      <c r="K428" s="15">
        <f ca="1">_xlfn.NORM.INV(RAND(),AVERAGE(Assumptions!$D$12,Assumptions!$F$12),(Assumptions!$F$12-Assumptions!$D$12)/3.29)*44</f>
        <v>8112529.3586081052</v>
      </c>
      <c r="L428" s="3">
        <f ca="1">_xlfn.NORM.INV(RAND(),AVERAGE(Assumptions!$D$13,Assumptions!$F$13),(Assumptions!$F$13-Assumptions!$D$13)/3.29)*44</f>
        <v>17416051.956967991</v>
      </c>
      <c r="M428" s="6">
        <f ca="1">_xlfn.NORM.INV(RAND(),AVERAGE(Assumptions!$D$14,Assumptions!$F$14),(Assumptions!$F$14-Assumptions!$D$14)/3.29)*44</f>
        <v>6072494.359540876</v>
      </c>
      <c r="N428" s="9">
        <f ca="1">_xlfn.NORM.INV(RAND(),AVERAGE(Assumptions!$D$16,Assumptions!$F$16),(Assumptions!$F$16-Assumptions!$D$16)/3.29)*44</f>
        <v>12794492.313659081</v>
      </c>
      <c r="O428" s="12">
        <f ca="1">_xlfn.NORM.INV(RAND(),AVERAGE(Assumptions!$D$15,Assumptions!$F$15),(Assumptions!$F$15-Assumptions!$D$15)/3.29)*44</f>
        <v>148192171.52208588</v>
      </c>
      <c r="P428" s="15">
        <f>Assumptions!$D$18</f>
        <v>14641750.345627395</v>
      </c>
      <c r="Q428" s="3">
        <f t="shared" ca="1" si="12"/>
        <v>81413044.736793488</v>
      </c>
      <c r="R428" s="6">
        <f t="shared" ca="1" si="13"/>
        <v>96054795.082420886</v>
      </c>
    </row>
    <row r="429" spans="1:18">
      <c r="A429" s="20">
        <v>428</v>
      </c>
      <c r="B429" s="3">
        <f ca="1">_xlfn.NORM.INV(RAND(),AVERAGE(Assumptions!$D$4,Assumptions!$F$4),(Assumptions!$F$4-Assumptions!$D$4)/3.29)*44</f>
        <v>1132557.3140187638</v>
      </c>
      <c r="C429" s="6">
        <f ca="1">_xlfn.NORM.INV(RAND(),AVERAGE(Assumptions!$D$5,Assumptions!$F$5),(Assumptions!$F$5-Assumptions!$D$5)/3.29)*44</f>
        <v>1521217.457439957</v>
      </c>
      <c r="D429" s="9">
        <f ca="1">_xlfn.NORM.INV(RAND(),AVERAGE(Assumptions!$D$6,Assumptions!$F$6),(Assumptions!$F$6-Assumptions!$D$6)/3.29)*RANDBETWEEN(2,5)</f>
        <v>4181586.8235253175</v>
      </c>
      <c r="E429" s="12">
        <f ca="1">_xlfn.NORM.INV(RAND(),AVERAGE(Assumptions!$D$17,Assumptions!$F$17),(Assumptions!$F$17-Assumptions!$D$17)/3.29)*8</f>
        <v>907769.87622371071</v>
      </c>
      <c r="F429" s="15">
        <f ca="1">_xlfn.NORM.INV(RAND(),AVERAGE(Assumptions!$D$7,Assumptions!$F$7),(Assumptions!$F$7-Assumptions!$D$7)/3.29)*RANDBETWEEN(1,3)</f>
        <v>3295718.5797275049</v>
      </c>
      <c r="G429" s="3">
        <f ca="1">_xlfn.NORM.INV(RAND(),AVERAGE(Assumptions!$D$8,Assumptions!$F$8),(Assumptions!$F$8-Assumptions!$D$8)/3.29)*44</f>
        <v>1269536.2087227223</v>
      </c>
      <c r="H429" s="6">
        <f ca="1">_xlfn.NORM.INV(RAND(),AVERAGE(Assumptions!$D$9,Assumptions!$F$9),(Assumptions!$F$9-Assumptions!$D$9)/3.29)*21</f>
        <v>4462905.1894284906</v>
      </c>
      <c r="I429" s="9">
        <f ca="1">_xlfn.NORM.INV(RAND(),AVERAGE(Assumptions!$D$10,Assumptions!$F$10),(Assumptions!$F$10-Assumptions!$D$10)/3.29)*21</f>
        <v>823205.85145499499</v>
      </c>
      <c r="J429" s="12">
        <f ca="1">NORMINV(RAND(),AVERAGE(Assumptions!$D$11,Assumptions!$F$11),(Assumptions!$F$11-Assumptions!$D$11)/3.29)*44</f>
        <v>4923663.2254205924</v>
      </c>
      <c r="K429" s="15">
        <f ca="1">_xlfn.NORM.INV(RAND(),AVERAGE(Assumptions!$D$12,Assumptions!$F$12),(Assumptions!$F$12-Assumptions!$D$12)/3.29)*44</f>
        <v>9302083.2832870968</v>
      </c>
      <c r="L429" s="3">
        <f ca="1">_xlfn.NORM.INV(RAND(),AVERAGE(Assumptions!$D$13,Assumptions!$F$13),(Assumptions!$F$13-Assumptions!$D$13)/3.29)*44</f>
        <v>14903604.89026056</v>
      </c>
      <c r="M429" s="6">
        <f ca="1">_xlfn.NORM.INV(RAND(),AVERAGE(Assumptions!$D$14,Assumptions!$F$14),(Assumptions!$F$14-Assumptions!$D$14)/3.29)*44</f>
        <v>4909354.9617937552</v>
      </c>
      <c r="N429" s="9">
        <f ca="1">_xlfn.NORM.INV(RAND(),AVERAGE(Assumptions!$D$16,Assumptions!$F$16),(Assumptions!$F$16-Assumptions!$D$16)/3.29)*44</f>
        <v>9677468.8751229476</v>
      </c>
      <c r="O429" s="12">
        <f ca="1">_xlfn.NORM.INV(RAND(),AVERAGE(Assumptions!$D$15,Assumptions!$F$15),(Assumptions!$F$15-Assumptions!$D$15)/3.29)*44</f>
        <v>145451334.8593114</v>
      </c>
      <c r="P429" s="15">
        <f>Assumptions!$D$18</f>
        <v>14641750.345627395</v>
      </c>
      <c r="Q429" s="3">
        <f t="shared" ca="1" si="12"/>
        <v>84140662.322884977</v>
      </c>
      <c r="R429" s="6">
        <f t="shared" ca="1" si="13"/>
        <v>98782412.668512374</v>
      </c>
    </row>
    <row r="430" spans="1:18">
      <c r="A430" s="20">
        <v>429</v>
      </c>
      <c r="B430" s="3">
        <f ca="1">_xlfn.NORM.INV(RAND(),AVERAGE(Assumptions!$D$4,Assumptions!$F$4),(Assumptions!$F$4-Assumptions!$D$4)/3.29)*44</f>
        <v>1280536.5595342796</v>
      </c>
      <c r="C430" s="6">
        <f ca="1">_xlfn.NORM.INV(RAND(),AVERAGE(Assumptions!$D$5,Assumptions!$F$5),(Assumptions!$F$5-Assumptions!$D$5)/3.29)*44</f>
        <v>1734352.689596738</v>
      </c>
      <c r="D430" s="9">
        <f ca="1">_xlfn.NORM.INV(RAND(),AVERAGE(Assumptions!$D$6,Assumptions!$F$6),(Assumptions!$F$6-Assumptions!$D$6)/3.29)*RANDBETWEEN(2,5)</f>
        <v>4829206.9024163</v>
      </c>
      <c r="E430" s="12">
        <f ca="1">_xlfn.NORM.INV(RAND(),AVERAGE(Assumptions!$D$17,Assumptions!$F$17),(Assumptions!$F$17-Assumptions!$D$17)/3.29)*8</f>
        <v>769438.27996809606</v>
      </c>
      <c r="F430" s="15">
        <f ca="1">_xlfn.NORM.INV(RAND(),AVERAGE(Assumptions!$D$7,Assumptions!$F$7),(Assumptions!$F$7-Assumptions!$D$7)/3.29)*RANDBETWEEN(1,3)</f>
        <v>7740627.3013071818</v>
      </c>
      <c r="G430" s="3">
        <f ca="1">_xlfn.NORM.INV(RAND(),AVERAGE(Assumptions!$D$8,Assumptions!$F$8),(Assumptions!$F$8-Assumptions!$D$8)/3.29)*44</f>
        <v>783006.2619827172</v>
      </c>
      <c r="H430" s="6">
        <f ca="1">_xlfn.NORM.INV(RAND(),AVERAGE(Assumptions!$D$9,Assumptions!$F$9),(Assumptions!$F$9-Assumptions!$D$9)/3.29)*21</f>
        <v>2981486.1853093454</v>
      </c>
      <c r="I430" s="9">
        <f ca="1">_xlfn.NORM.INV(RAND(),AVERAGE(Assumptions!$D$10,Assumptions!$F$10),(Assumptions!$F$10-Assumptions!$D$10)/3.29)*21</f>
        <v>621730.42953560618</v>
      </c>
      <c r="J430" s="12">
        <f ca="1">NORMINV(RAND(),AVERAGE(Assumptions!$D$11,Assumptions!$F$11),(Assumptions!$F$11-Assumptions!$D$11)/3.29)*44</f>
        <v>3018762.6625591679</v>
      </c>
      <c r="K430" s="15">
        <f ca="1">_xlfn.NORM.INV(RAND(),AVERAGE(Assumptions!$D$12,Assumptions!$F$12),(Assumptions!$F$12-Assumptions!$D$12)/3.29)*44</f>
        <v>10370781.850484913</v>
      </c>
      <c r="L430" s="3">
        <f ca="1">_xlfn.NORM.INV(RAND(),AVERAGE(Assumptions!$D$13,Assumptions!$F$13),(Assumptions!$F$13-Assumptions!$D$13)/3.29)*44</f>
        <v>12767400.670494044</v>
      </c>
      <c r="M430" s="6">
        <f ca="1">_xlfn.NORM.INV(RAND(),AVERAGE(Assumptions!$D$14,Assumptions!$F$14),(Assumptions!$F$14-Assumptions!$D$14)/3.29)*44</f>
        <v>6401011.9793458404</v>
      </c>
      <c r="N430" s="9">
        <f ca="1">_xlfn.NORM.INV(RAND(),AVERAGE(Assumptions!$D$16,Assumptions!$F$16),(Assumptions!$F$16-Assumptions!$D$16)/3.29)*44</f>
        <v>3739982.5238577407</v>
      </c>
      <c r="O430" s="12">
        <f ca="1">_xlfn.NORM.INV(RAND(),AVERAGE(Assumptions!$D$15,Assumptions!$F$15),(Assumptions!$F$15-Assumptions!$D$15)/3.29)*44</f>
        <v>-17065938.799379863</v>
      </c>
      <c r="P430" s="15">
        <f>Assumptions!$D$18</f>
        <v>14641750.345627395</v>
      </c>
      <c r="Q430" s="3">
        <f t="shared" ca="1" si="12"/>
        <v>-74104263.095771834</v>
      </c>
      <c r="R430" s="6">
        <f t="shared" ca="1" si="13"/>
        <v>-59462512.750144437</v>
      </c>
    </row>
    <row r="431" spans="1:18">
      <c r="A431" s="20">
        <v>430</v>
      </c>
      <c r="B431" s="3">
        <f ca="1">_xlfn.NORM.INV(RAND(),AVERAGE(Assumptions!$D$4,Assumptions!$F$4),(Assumptions!$F$4-Assumptions!$D$4)/3.29)*44</f>
        <v>1164672.9810645238</v>
      </c>
      <c r="C431" s="6">
        <f ca="1">_xlfn.NORM.INV(RAND(),AVERAGE(Assumptions!$D$5,Assumptions!$F$5),(Assumptions!$F$5-Assumptions!$D$5)/3.29)*44</f>
        <v>2014339.857060791</v>
      </c>
      <c r="D431" s="9">
        <f ca="1">_xlfn.NORM.INV(RAND(),AVERAGE(Assumptions!$D$6,Assumptions!$F$6),(Assumptions!$F$6-Assumptions!$D$6)/3.29)*RANDBETWEEN(2,5)</f>
        <v>6629465.518474956</v>
      </c>
      <c r="E431" s="12">
        <f ca="1">_xlfn.NORM.INV(RAND(),AVERAGE(Assumptions!$D$17,Assumptions!$F$17),(Assumptions!$F$17-Assumptions!$D$17)/3.29)*8</f>
        <v>876807.69384960493</v>
      </c>
      <c r="F431" s="15">
        <f ca="1">_xlfn.NORM.INV(RAND(),AVERAGE(Assumptions!$D$7,Assumptions!$F$7),(Assumptions!$F$7-Assumptions!$D$7)/3.29)*RANDBETWEEN(1,3)</f>
        <v>6835813.2729541063</v>
      </c>
      <c r="G431" s="3">
        <f ca="1">_xlfn.NORM.INV(RAND(),AVERAGE(Assumptions!$D$8,Assumptions!$F$8),(Assumptions!$F$8-Assumptions!$D$8)/3.29)*44</f>
        <v>1117881.6880688488</v>
      </c>
      <c r="H431" s="6">
        <f ca="1">_xlfn.NORM.INV(RAND(),AVERAGE(Assumptions!$D$9,Assumptions!$F$9),(Assumptions!$F$9-Assumptions!$D$9)/3.29)*21</f>
        <v>5099277.9756363565</v>
      </c>
      <c r="I431" s="9">
        <f ca="1">_xlfn.NORM.INV(RAND(),AVERAGE(Assumptions!$D$10,Assumptions!$F$10),(Assumptions!$F$10-Assumptions!$D$10)/3.29)*21</f>
        <v>1228875.1399724749</v>
      </c>
      <c r="J431" s="12">
        <f ca="1">NORMINV(RAND(),AVERAGE(Assumptions!$D$11,Assumptions!$F$11),(Assumptions!$F$11-Assumptions!$D$11)/3.29)*44</f>
        <v>3744106.1839277488</v>
      </c>
      <c r="K431" s="15">
        <f ca="1">_xlfn.NORM.INV(RAND(),AVERAGE(Assumptions!$D$12,Assumptions!$F$12),(Assumptions!$F$12-Assumptions!$D$12)/3.29)*44</f>
        <v>7861934.0643467596</v>
      </c>
      <c r="L431" s="3">
        <f ca="1">_xlfn.NORM.INV(RAND(),AVERAGE(Assumptions!$D$13,Assumptions!$F$13),(Assumptions!$F$13-Assumptions!$D$13)/3.29)*44</f>
        <v>25580242.046983659</v>
      </c>
      <c r="M431" s="6">
        <f ca="1">_xlfn.NORM.INV(RAND(),AVERAGE(Assumptions!$D$14,Assumptions!$F$14),(Assumptions!$F$14-Assumptions!$D$14)/3.29)*44</f>
        <v>5180920.3716024496</v>
      </c>
      <c r="N431" s="9">
        <f ca="1">_xlfn.NORM.INV(RAND(),AVERAGE(Assumptions!$D$16,Assumptions!$F$16),(Assumptions!$F$16-Assumptions!$D$16)/3.29)*44</f>
        <v>16592816.519160585</v>
      </c>
      <c r="O431" s="12">
        <f ca="1">_xlfn.NORM.INV(RAND(),AVERAGE(Assumptions!$D$15,Assumptions!$F$15),(Assumptions!$F$15-Assumptions!$D$15)/3.29)*44</f>
        <v>84930426.798427582</v>
      </c>
      <c r="P431" s="15">
        <f>Assumptions!$D$18</f>
        <v>14641750.345627395</v>
      </c>
      <c r="Q431" s="3">
        <f t="shared" ca="1" si="12"/>
        <v>1003273.4853247255</v>
      </c>
      <c r="R431" s="6">
        <f t="shared" ca="1" si="13"/>
        <v>15645023.830952121</v>
      </c>
    </row>
    <row r="432" spans="1:18">
      <c r="A432" s="20">
        <v>431</v>
      </c>
      <c r="B432" s="3">
        <f ca="1">_xlfn.NORM.INV(RAND(),AVERAGE(Assumptions!$D$4,Assumptions!$F$4),(Assumptions!$F$4-Assumptions!$D$4)/3.29)*44</f>
        <v>1182122.8792302366</v>
      </c>
      <c r="C432" s="6">
        <f ca="1">_xlfn.NORM.INV(RAND(),AVERAGE(Assumptions!$D$5,Assumptions!$F$5),(Assumptions!$F$5-Assumptions!$D$5)/3.29)*44</f>
        <v>1925913.1898483713</v>
      </c>
      <c r="D432" s="9">
        <f ca="1">_xlfn.NORM.INV(RAND(),AVERAGE(Assumptions!$D$6,Assumptions!$F$6),(Assumptions!$F$6-Assumptions!$D$6)/3.29)*RANDBETWEEN(2,5)</f>
        <v>5283356.4454134945</v>
      </c>
      <c r="E432" s="12">
        <f ca="1">_xlfn.NORM.INV(RAND(),AVERAGE(Assumptions!$D$17,Assumptions!$F$17),(Assumptions!$F$17-Assumptions!$D$17)/3.29)*8</f>
        <v>996205.35311174521</v>
      </c>
      <c r="F432" s="15">
        <f ca="1">_xlfn.NORM.INV(RAND(),AVERAGE(Assumptions!$D$7,Assumptions!$F$7),(Assumptions!$F$7-Assumptions!$D$7)/3.29)*RANDBETWEEN(1,3)</f>
        <v>3324103.2816352621</v>
      </c>
      <c r="G432" s="3">
        <f ca="1">_xlfn.NORM.INV(RAND(),AVERAGE(Assumptions!$D$8,Assumptions!$F$8),(Assumptions!$F$8-Assumptions!$D$8)/3.29)*44</f>
        <v>1115133.4013364017</v>
      </c>
      <c r="H432" s="6">
        <f ca="1">_xlfn.NORM.INV(RAND(),AVERAGE(Assumptions!$D$9,Assumptions!$F$9),(Assumptions!$F$9-Assumptions!$D$9)/3.29)*21</f>
        <v>5265395.3204093017</v>
      </c>
      <c r="I432" s="9">
        <f ca="1">_xlfn.NORM.INV(RAND(),AVERAGE(Assumptions!$D$10,Assumptions!$F$10),(Assumptions!$F$10-Assumptions!$D$10)/3.29)*21</f>
        <v>1132439.1028831666</v>
      </c>
      <c r="J432" s="12">
        <f ca="1">NORMINV(RAND(),AVERAGE(Assumptions!$D$11,Assumptions!$F$11),(Assumptions!$F$11-Assumptions!$D$11)/3.29)*44</f>
        <v>2001463.5907855751</v>
      </c>
      <c r="K432" s="15">
        <f ca="1">_xlfn.NORM.INV(RAND(),AVERAGE(Assumptions!$D$12,Assumptions!$F$12),(Assumptions!$F$12-Assumptions!$D$12)/3.29)*44</f>
        <v>7658123.5006580772</v>
      </c>
      <c r="L432" s="3">
        <f ca="1">_xlfn.NORM.INV(RAND(),AVERAGE(Assumptions!$D$13,Assumptions!$F$13),(Assumptions!$F$13-Assumptions!$D$13)/3.29)*44</f>
        <v>17011017.925726671</v>
      </c>
      <c r="M432" s="6">
        <f ca="1">_xlfn.NORM.INV(RAND(),AVERAGE(Assumptions!$D$14,Assumptions!$F$14),(Assumptions!$F$14-Assumptions!$D$14)/3.29)*44</f>
        <v>3360996.6966622518</v>
      </c>
      <c r="N432" s="9">
        <f ca="1">_xlfn.NORM.INV(RAND(),AVERAGE(Assumptions!$D$16,Assumptions!$F$16),(Assumptions!$F$16-Assumptions!$D$16)/3.29)*44</f>
        <v>12233646.493732652</v>
      </c>
      <c r="O432" s="12">
        <f ca="1">_xlfn.NORM.INV(RAND(),AVERAGE(Assumptions!$D$15,Assumptions!$F$15),(Assumptions!$F$15-Assumptions!$D$15)/3.29)*44</f>
        <v>118041169.1719169</v>
      </c>
      <c r="P432" s="15">
        <f>Assumptions!$D$18</f>
        <v>14641750.345627395</v>
      </c>
      <c r="Q432" s="3">
        <f t="shared" ca="1" si="12"/>
        <v>55551251.990483694</v>
      </c>
      <c r="R432" s="6">
        <f t="shared" ca="1" si="13"/>
        <v>70193002.336111084</v>
      </c>
    </row>
    <row r="433" spans="1:18">
      <c r="A433" s="20">
        <v>432</v>
      </c>
      <c r="B433" s="3">
        <f ca="1">_xlfn.NORM.INV(RAND(),AVERAGE(Assumptions!$D$4,Assumptions!$F$4),(Assumptions!$F$4-Assumptions!$D$4)/3.29)*44</f>
        <v>1192280.1331029835</v>
      </c>
      <c r="C433" s="6">
        <f ca="1">_xlfn.NORM.INV(RAND(),AVERAGE(Assumptions!$D$5,Assumptions!$F$5),(Assumptions!$F$5-Assumptions!$D$5)/3.29)*44</f>
        <v>1787995.1936027617</v>
      </c>
      <c r="D433" s="9">
        <f ca="1">_xlfn.NORM.INV(RAND(),AVERAGE(Assumptions!$D$6,Assumptions!$F$6),(Assumptions!$F$6-Assumptions!$D$6)/3.29)*RANDBETWEEN(2,5)</f>
        <v>2081070.101680418</v>
      </c>
      <c r="E433" s="12">
        <f ca="1">_xlfn.NORM.INV(RAND(),AVERAGE(Assumptions!$D$17,Assumptions!$F$17),(Assumptions!$F$17-Assumptions!$D$17)/3.29)*8</f>
        <v>1067823.7604445685</v>
      </c>
      <c r="F433" s="15">
        <f ca="1">_xlfn.NORM.INV(RAND(),AVERAGE(Assumptions!$D$7,Assumptions!$F$7),(Assumptions!$F$7-Assumptions!$D$7)/3.29)*RANDBETWEEN(1,3)</f>
        <v>3128176.2475052765</v>
      </c>
      <c r="G433" s="3">
        <f ca="1">_xlfn.NORM.INV(RAND(),AVERAGE(Assumptions!$D$8,Assumptions!$F$8),(Assumptions!$F$8-Assumptions!$D$8)/3.29)*44</f>
        <v>1618631.3875335902</v>
      </c>
      <c r="H433" s="6">
        <f ca="1">_xlfn.NORM.INV(RAND(),AVERAGE(Assumptions!$D$9,Assumptions!$F$9),(Assumptions!$F$9-Assumptions!$D$9)/3.29)*21</f>
        <v>2957129.5728237461</v>
      </c>
      <c r="I433" s="9">
        <f ca="1">_xlfn.NORM.INV(RAND(),AVERAGE(Assumptions!$D$10,Assumptions!$F$10),(Assumptions!$F$10-Assumptions!$D$10)/3.29)*21</f>
        <v>1080008.1231032829</v>
      </c>
      <c r="J433" s="12">
        <f ca="1">NORMINV(RAND(),AVERAGE(Assumptions!$D$11,Assumptions!$F$11),(Assumptions!$F$11-Assumptions!$D$11)/3.29)*44</f>
        <v>3685306.3880342701</v>
      </c>
      <c r="K433" s="15">
        <f ca="1">_xlfn.NORM.INV(RAND(),AVERAGE(Assumptions!$D$12,Assumptions!$F$12),(Assumptions!$F$12-Assumptions!$D$12)/3.29)*44</f>
        <v>9984272.5223826468</v>
      </c>
      <c r="L433" s="3">
        <f ca="1">_xlfn.NORM.INV(RAND(),AVERAGE(Assumptions!$D$13,Assumptions!$F$13),(Assumptions!$F$13-Assumptions!$D$13)/3.29)*44</f>
        <v>18224857.573215973</v>
      </c>
      <c r="M433" s="6">
        <f ca="1">_xlfn.NORM.INV(RAND(),AVERAGE(Assumptions!$D$14,Assumptions!$F$14),(Assumptions!$F$14-Assumptions!$D$14)/3.29)*44</f>
        <v>7187998.3703835709</v>
      </c>
      <c r="N433" s="9">
        <f ca="1">_xlfn.NORM.INV(RAND(),AVERAGE(Assumptions!$D$16,Assumptions!$F$16),(Assumptions!$F$16-Assumptions!$D$16)/3.29)*44</f>
        <v>9248466.2398192007</v>
      </c>
      <c r="O433" s="12">
        <f ca="1">_xlfn.NORM.INV(RAND(),AVERAGE(Assumptions!$D$15,Assumptions!$F$15),(Assumptions!$F$15-Assumptions!$D$15)/3.29)*44</f>
        <v>111079526.58371428</v>
      </c>
      <c r="P433" s="15">
        <f>Assumptions!$D$18</f>
        <v>14641750.345627395</v>
      </c>
      <c r="Q433" s="3">
        <f t="shared" ca="1" si="12"/>
        <v>47835510.970081992</v>
      </c>
      <c r="R433" s="6">
        <f t="shared" ca="1" si="13"/>
        <v>62477261.31570939</v>
      </c>
    </row>
    <row r="434" spans="1:18">
      <c r="A434" s="20">
        <v>433</v>
      </c>
      <c r="B434" s="3">
        <f ca="1">_xlfn.NORM.INV(RAND(),AVERAGE(Assumptions!$D$4,Assumptions!$F$4),(Assumptions!$F$4-Assumptions!$D$4)/3.29)*44</f>
        <v>1246944.1067205155</v>
      </c>
      <c r="C434" s="6">
        <f ca="1">_xlfn.NORM.INV(RAND(),AVERAGE(Assumptions!$D$5,Assumptions!$F$5),(Assumptions!$F$5-Assumptions!$D$5)/3.29)*44</f>
        <v>1705990.4555583214</v>
      </c>
      <c r="D434" s="9">
        <f ca="1">_xlfn.NORM.INV(RAND(),AVERAGE(Assumptions!$D$6,Assumptions!$F$6),(Assumptions!$F$6-Assumptions!$D$6)/3.29)*RANDBETWEEN(2,5)</f>
        <v>3592970.4470295263</v>
      </c>
      <c r="E434" s="12">
        <f ca="1">_xlfn.NORM.INV(RAND(),AVERAGE(Assumptions!$D$17,Assumptions!$F$17),(Assumptions!$F$17-Assumptions!$D$17)/3.29)*8</f>
        <v>672596.43419697485</v>
      </c>
      <c r="F434" s="15">
        <f ca="1">_xlfn.NORM.INV(RAND(),AVERAGE(Assumptions!$D$7,Assumptions!$F$7),(Assumptions!$F$7-Assumptions!$D$7)/3.29)*RANDBETWEEN(1,3)</f>
        <v>5999522.1099579521</v>
      </c>
      <c r="G434" s="3">
        <f ca="1">_xlfn.NORM.INV(RAND(),AVERAGE(Assumptions!$D$8,Assumptions!$F$8),(Assumptions!$F$8-Assumptions!$D$8)/3.29)*44</f>
        <v>1214443.48080971</v>
      </c>
      <c r="H434" s="6">
        <f ca="1">_xlfn.NORM.INV(RAND(),AVERAGE(Assumptions!$D$9,Assumptions!$F$9),(Assumptions!$F$9-Assumptions!$D$9)/3.29)*21</f>
        <v>3485109.6323066517</v>
      </c>
      <c r="I434" s="9">
        <f ca="1">_xlfn.NORM.INV(RAND(),AVERAGE(Assumptions!$D$10,Assumptions!$F$10),(Assumptions!$F$10-Assumptions!$D$10)/3.29)*21</f>
        <v>668936.75246064353</v>
      </c>
      <c r="J434" s="12">
        <f ca="1">NORMINV(RAND(),AVERAGE(Assumptions!$D$11,Assumptions!$F$11),(Assumptions!$F$11-Assumptions!$D$11)/3.29)*44</f>
        <v>3046984.2470000531</v>
      </c>
      <c r="K434" s="15">
        <f ca="1">_xlfn.NORM.INV(RAND(),AVERAGE(Assumptions!$D$12,Assumptions!$F$12),(Assumptions!$F$12-Assumptions!$D$12)/3.29)*44</f>
        <v>9892139.1840867773</v>
      </c>
      <c r="L434" s="3">
        <f ca="1">_xlfn.NORM.INV(RAND(),AVERAGE(Assumptions!$D$13,Assumptions!$F$13),(Assumptions!$F$13-Assumptions!$D$13)/3.29)*44</f>
        <v>10431930.576810116</v>
      </c>
      <c r="M434" s="6">
        <f ca="1">_xlfn.NORM.INV(RAND(),AVERAGE(Assumptions!$D$14,Assumptions!$F$14),(Assumptions!$F$14-Assumptions!$D$14)/3.29)*44</f>
        <v>4905521.2554424275</v>
      </c>
      <c r="N434" s="9">
        <f ca="1">_xlfn.NORM.INV(RAND(),AVERAGE(Assumptions!$D$16,Assumptions!$F$16),(Assumptions!$F$16-Assumptions!$D$16)/3.29)*44</f>
        <v>9944711.0393678751</v>
      </c>
      <c r="O434" s="12">
        <f ca="1">_xlfn.NORM.INV(RAND(),AVERAGE(Assumptions!$D$15,Assumptions!$F$15),(Assumptions!$F$15-Assumptions!$D$15)/3.29)*44</f>
        <v>52840010.656012692</v>
      </c>
      <c r="P434" s="15">
        <f>Assumptions!$D$18</f>
        <v>14641750.345627395</v>
      </c>
      <c r="Q434" s="3">
        <f t="shared" ca="1" si="12"/>
        <v>-3967789.0657348484</v>
      </c>
      <c r="R434" s="6">
        <f t="shared" ca="1" si="13"/>
        <v>10673961.279892547</v>
      </c>
    </row>
    <row r="435" spans="1:18">
      <c r="A435" s="20">
        <v>434</v>
      </c>
      <c r="B435" s="3">
        <f ca="1">_xlfn.NORM.INV(RAND(),AVERAGE(Assumptions!$D$4,Assumptions!$F$4),(Assumptions!$F$4-Assumptions!$D$4)/3.29)*44</f>
        <v>1243721.5811766637</v>
      </c>
      <c r="C435" s="6">
        <f ca="1">_xlfn.NORM.INV(RAND(),AVERAGE(Assumptions!$D$5,Assumptions!$F$5),(Assumptions!$F$5-Assumptions!$D$5)/3.29)*44</f>
        <v>2024487.3657796602</v>
      </c>
      <c r="D435" s="9">
        <f ca="1">_xlfn.NORM.INV(RAND(),AVERAGE(Assumptions!$D$6,Assumptions!$F$6),(Assumptions!$F$6-Assumptions!$D$6)/3.29)*RANDBETWEEN(2,5)</f>
        <v>7198221.7762940275</v>
      </c>
      <c r="E435" s="12">
        <f ca="1">_xlfn.NORM.INV(RAND(),AVERAGE(Assumptions!$D$17,Assumptions!$F$17),(Assumptions!$F$17-Assumptions!$D$17)/3.29)*8</f>
        <v>1090921.0709528062</v>
      </c>
      <c r="F435" s="15">
        <f ca="1">_xlfn.NORM.INV(RAND(),AVERAGE(Assumptions!$D$7,Assumptions!$F$7),(Assumptions!$F$7-Assumptions!$D$7)/3.29)*RANDBETWEEN(1,3)</f>
        <v>6999822.3719314449</v>
      </c>
      <c r="G435" s="3">
        <f ca="1">_xlfn.NORM.INV(RAND(),AVERAGE(Assumptions!$D$8,Assumptions!$F$8),(Assumptions!$F$8-Assumptions!$D$8)/3.29)*44</f>
        <v>989707.45082507399</v>
      </c>
      <c r="H435" s="6">
        <f ca="1">_xlfn.NORM.INV(RAND(),AVERAGE(Assumptions!$D$9,Assumptions!$F$9),(Assumptions!$F$9-Assumptions!$D$9)/3.29)*21</f>
        <v>4766941.1508697513</v>
      </c>
      <c r="I435" s="9">
        <f ca="1">_xlfn.NORM.INV(RAND(),AVERAGE(Assumptions!$D$10,Assumptions!$F$10),(Assumptions!$F$10-Assumptions!$D$10)/3.29)*21</f>
        <v>989799.62855982129</v>
      </c>
      <c r="J435" s="12">
        <f ca="1">NORMINV(RAND(),AVERAGE(Assumptions!$D$11,Assumptions!$F$11),(Assumptions!$F$11-Assumptions!$D$11)/3.29)*44</f>
        <v>3149832.1706673377</v>
      </c>
      <c r="K435" s="15">
        <f ca="1">_xlfn.NORM.INV(RAND(),AVERAGE(Assumptions!$D$12,Assumptions!$F$12),(Assumptions!$F$12-Assumptions!$D$12)/3.29)*44</f>
        <v>10273700.001545714</v>
      </c>
      <c r="L435" s="3">
        <f ca="1">_xlfn.NORM.INV(RAND(),AVERAGE(Assumptions!$D$13,Assumptions!$F$13),(Assumptions!$F$13-Assumptions!$D$13)/3.29)*44</f>
        <v>12629446.762276994</v>
      </c>
      <c r="M435" s="6">
        <f ca="1">_xlfn.NORM.INV(RAND(),AVERAGE(Assumptions!$D$14,Assumptions!$F$14),(Assumptions!$F$14-Assumptions!$D$14)/3.29)*44</f>
        <v>6776665.7932725865</v>
      </c>
      <c r="N435" s="9">
        <f ca="1">_xlfn.NORM.INV(RAND(),AVERAGE(Assumptions!$D$16,Assumptions!$F$16),(Assumptions!$F$16-Assumptions!$D$16)/3.29)*44</f>
        <v>6018458.6242376519</v>
      </c>
      <c r="O435" s="12">
        <f ca="1">_xlfn.NORM.INV(RAND(),AVERAGE(Assumptions!$D$15,Assumptions!$F$15),(Assumptions!$F$15-Assumptions!$D$15)/3.29)*44</f>
        <v>111108865.32744093</v>
      </c>
      <c r="P435" s="15">
        <f>Assumptions!$D$18</f>
        <v>14641750.345627395</v>
      </c>
      <c r="Q435" s="3">
        <f t="shared" ca="1" si="12"/>
        <v>46957139.579051405</v>
      </c>
      <c r="R435" s="6">
        <f t="shared" ca="1" si="13"/>
        <v>61598889.924678802</v>
      </c>
    </row>
    <row r="436" spans="1:18">
      <c r="A436" s="20">
        <v>435</v>
      </c>
      <c r="B436" s="3">
        <f ca="1">_xlfn.NORM.INV(RAND(),AVERAGE(Assumptions!$D$4,Assumptions!$F$4),(Assumptions!$F$4-Assumptions!$D$4)/3.29)*44</f>
        <v>1233301.864166898</v>
      </c>
      <c r="C436" s="6">
        <f ca="1">_xlfn.NORM.INV(RAND(),AVERAGE(Assumptions!$D$5,Assumptions!$F$5),(Assumptions!$F$5-Assumptions!$D$5)/3.29)*44</f>
        <v>1793236.0475401904</v>
      </c>
      <c r="D436" s="9">
        <f ca="1">_xlfn.NORM.INV(RAND(),AVERAGE(Assumptions!$D$6,Assumptions!$F$6),(Assumptions!$F$6-Assumptions!$D$6)/3.29)*RANDBETWEEN(2,5)</f>
        <v>4394685.772110072</v>
      </c>
      <c r="E436" s="12">
        <f ca="1">_xlfn.NORM.INV(RAND(),AVERAGE(Assumptions!$D$17,Assumptions!$F$17),(Assumptions!$F$17-Assumptions!$D$17)/3.29)*8</f>
        <v>723388.59143211041</v>
      </c>
      <c r="F436" s="15">
        <f ca="1">_xlfn.NORM.INV(RAND(),AVERAGE(Assumptions!$D$7,Assumptions!$F$7),(Assumptions!$F$7-Assumptions!$D$7)/3.29)*RANDBETWEEN(1,3)</f>
        <v>8270983.4176192153</v>
      </c>
      <c r="G436" s="3">
        <f ca="1">_xlfn.NORM.INV(RAND(),AVERAGE(Assumptions!$D$8,Assumptions!$F$8),(Assumptions!$F$8-Assumptions!$D$8)/3.29)*44</f>
        <v>1095940.4936431744</v>
      </c>
      <c r="H436" s="6">
        <f ca="1">_xlfn.NORM.INV(RAND(),AVERAGE(Assumptions!$D$9,Assumptions!$F$9),(Assumptions!$F$9-Assumptions!$D$9)/3.29)*21</f>
        <v>3523143.9132202091</v>
      </c>
      <c r="I436" s="9">
        <f ca="1">_xlfn.NORM.INV(RAND(),AVERAGE(Assumptions!$D$10,Assumptions!$F$10),(Assumptions!$F$10-Assumptions!$D$10)/3.29)*21</f>
        <v>970428.44980466086</v>
      </c>
      <c r="J436" s="12">
        <f ca="1">NORMINV(RAND(),AVERAGE(Assumptions!$D$11,Assumptions!$F$11),(Assumptions!$F$11-Assumptions!$D$11)/3.29)*44</f>
        <v>5671170.683062789</v>
      </c>
      <c r="K436" s="15">
        <f ca="1">_xlfn.NORM.INV(RAND(),AVERAGE(Assumptions!$D$12,Assumptions!$F$12),(Assumptions!$F$12-Assumptions!$D$12)/3.29)*44</f>
        <v>8568138.9712117333</v>
      </c>
      <c r="L436" s="3">
        <f ca="1">_xlfn.NORM.INV(RAND(),AVERAGE(Assumptions!$D$13,Assumptions!$F$13),(Assumptions!$F$13-Assumptions!$D$13)/3.29)*44</f>
        <v>7093962.2865061713</v>
      </c>
      <c r="M436" s="6">
        <f ca="1">_xlfn.NORM.INV(RAND(),AVERAGE(Assumptions!$D$14,Assumptions!$F$14),(Assumptions!$F$14-Assumptions!$D$14)/3.29)*44</f>
        <v>5892416.8254104098</v>
      </c>
      <c r="N436" s="9">
        <f ca="1">_xlfn.NORM.INV(RAND(),AVERAGE(Assumptions!$D$16,Assumptions!$F$16),(Assumptions!$F$16-Assumptions!$D$16)/3.29)*44</f>
        <v>10222679.087620607</v>
      </c>
      <c r="O436" s="12">
        <f ca="1">_xlfn.NORM.INV(RAND(),AVERAGE(Assumptions!$D$15,Assumptions!$F$15),(Assumptions!$F$15-Assumptions!$D$15)/3.29)*44</f>
        <v>51240735.84890227</v>
      </c>
      <c r="P436" s="15">
        <f>Assumptions!$D$18</f>
        <v>14641750.345627395</v>
      </c>
      <c r="Q436" s="3">
        <f t="shared" ca="1" si="12"/>
        <v>-8212740.5544459671</v>
      </c>
      <c r="R436" s="6">
        <f t="shared" ca="1" si="13"/>
        <v>6429009.7911814284</v>
      </c>
    </row>
    <row r="437" spans="1:18">
      <c r="A437" s="20">
        <v>436</v>
      </c>
      <c r="B437" s="3">
        <f ca="1">_xlfn.NORM.INV(RAND(),AVERAGE(Assumptions!$D$4,Assumptions!$F$4),(Assumptions!$F$4-Assumptions!$D$4)/3.29)*44</f>
        <v>1267598.477048378</v>
      </c>
      <c r="C437" s="6">
        <f ca="1">_xlfn.NORM.INV(RAND(),AVERAGE(Assumptions!$D$5,Assumptions!$F$5),(Assumptions!$F$5-Assumptions!$D$5)/3.29)*44</f>
        <v>1741287.9091375426</v>
      </c>
      <c r="D437" s="9">
        <f ca="1">_xlfn.NORM.INV(RAND(),AVERAGE(Assumptions!$D$6,Assumptions!$F$6),(Assumptions!$F$6-Assumptions!$D$6)/3.29)*RANDBETWEEN(2,5)</f>
        <v>2109217.7463435661</v>
      </c>
      <c r="E437" s="12">
        <f ca="1">_xlfn.NORM.INV(RAND(),AVERAGE(Assumptions!$D$17,Assumptions!$F$17),(Assumptions!$F$17-Assumptions!$D$17)/3.29)*8</f>
        <v>931096.85602297052</v>
      </c>
      <c r="F437" s="15">
        <f ca="1">_xlfn.NORM.INV(RAND(),AVERAGE(Assumptions!$D$7,Assumptions!$F$7),(Assumptions!$F$7-Assumptions!$D$7)/3.29)*RANDBETWEEN(1,3)</f>
        <v>1931231.8938269634</v>
      </c>
      <c r="G437" s="3">
        <f ca="1">_xlfn.NORM.INV(RAND(),AVERAGE(Assumptions!$D$8,Assumptions!$F$8),(Assumptions!$F$8-Assumptions!$D$8)/3.29)*44</f>
        <v>1297036.3354103866</v>
      </c>
      <c r="H437" s="6">
        <f ca="1">_xlfn.NORM.INV(RAND(),AVERAGE(Assumptions!$D$9,Assumptions!$F$9),(Assumptions!$F$9-Assumptions!$D$9)/3.29)*21</f>
        <v>4264514.474732507</v>
      </c>
      <c r="I437" s="9">
        <f ca="1">_xlfn.NORM.INV(RAND(),AVERAGE(Assumptions!$D$10,Assumptions!$F$10),(Assumptions!$F$10-Assumptions!$D$10)/3.29)*21</f>
        <v>714115.87576024653</v>
      </c>
      <c r="J437" s="12">
        <f ca="1">NORMINV(RAND(),AVERAGE(Assumptions!$D$11,Assumptions!$F$11),(Assumptions!$F$11-Assumptions!$D$11)/3.29)*44</f>
        <v>4095068.9396776082</v>
      </c>
      <c r="K437" s="15">
        <f ca="1">_xlfn.NORM.INV(RAND(),AVERAGE(Assumptions!$D$12,Assumptions!$F$12),(Assumptions!$F$12-Assumptions!$D$12)/3.29)*44</f>
        <v>5614869.1950824084</v>
      </c>
      <c r="L437" s="3">
        <f ca="1">_xlfn.NORM.INV(RAND(),AVERAGE(Assumptions!$D$13,Assumptions!$F$13),(Assumptions!$F$13-Assumptions!$D$13)/3.29)*44</f>
        <v>15204994.800296506</v>
      </c>
      <c r="M437" s="6">
        <f ca="1">_xlfn.NORM.INV(RAND(),AVERAGE(Assumptions!$D$14,Assumptions!$F$14),(Assumptions!$F$14-Assumptions!$D$14)/3.29)*44</f>
        <v>5772736.5035619549</v>
      </c>
      <c r="N437" s="9">
        <f ca="1">_xlfn.NORM.INV(RAND(),AVERAGE(Assumptions!$D$16,Assumptions!$F$16),(Assumptions!$F$16-Assumptions!$D$16)/3.29)*44</f>
        <v>13178701.015442595</v>
      </c>
      <c r="O437" s="12">
        <f ca="1">_xlfn.NORM.INV(RAND(),AVERAGE(Assumptions!$D$15,Assumptions!$F$15),(Assumptions!$F$15-Assumptions!$D$15)/3.29)*44</f>
        <v>125614754.42666677</v>
      </c>
      <c r="P437" s="15">
        <f>Assumptions!$D$18</f>
        <v>14641750.345627395</v>
      </c>
      <c r="Q437" s="3">
        <f t="shared" ca="1" si="12"/>
        <v>67492284.404323131</v>
      </c>
      <c r="R437" s="6">
        <f t="shared" ca="1" si="13"/>
        <v>82134034.749950528</v>
      </c>
    </row>
    <row r="438" spans="1:18">
      <c r="A438" s="20">
        <v>437</v>
      </c>
      <c r="B438" s="3">
        <f ca="1">_xlfn.NORM.INV(RAND(),AVERAGE(Assumptions!$D$4,Assumptions!$F$4),(Assumptions!$F$4-Assumptions!$D$4)/3.29)*44</f>
        <v>1257193.3935213916</v>
      </c>
      <c r="C438" s="6">
        <f ca="1">_xlfn.NORM.INV(RAND(),AVERAGE(Assumptions!$D$5,Assumptions!$F$5),(Assumptions!$F$5-Assumptions!$D$5)/3.29)*44</f>
        <v>1688220.8534307261</v>
      </c>
      <c r="D438" s="9">
        <f ca="1">_xlfn.NORM.INV(RAND(),AVERAGE(Assumptions!$D$6,Assumptions!$F$6),(Assumptions!$F$6-Assumptions!$D$6)/3.29)*RANDBETWEEN(2,5)</f>
        <v>1582447.0191659182</v>
      </c>
      <c r="E438" s="12">
        <f ca="1">_xlfn.NORM.INV(RAND(),AVERAGE(Assumptions!$D$17,Assumptions!$F$17),(Assumptions!$F$17-Assumptions!$D$17)/3.29)*8</f>
        <v>904287.16701920633</v>
      </c>
      <c r="F438" s="15">
        <f ca="1">_xlfn.NORM.INV(RAND(),AVERAGE(Assumptions!$D$7,Assumptions!$F$7),(Assumptions!$F$7-Assumptions!$D$7)/3.29)*RANDBETWEEN(1,3)</f>
        <v>7232896.818099251</v>
      </c>
      <c r="G438" s="3">
        <f ca="1">_xlfn.NORM.INV(RAND(),AVERAGE(Assumptions!$D$8,Assumptions!$F$8),(Assumptions!$F$8-Assumptions!$D$8)/3.29)*44</f>
        <v>1248333.1249058836</v>
      </c>
      <c r="H438" s="6">
        <f ca="1">_xlfn.NORM.INV(RAND(),AVERAGE(Assumptions!$D$9,Assumptions!$F$9),(Assumptions!$F$9-Assumptions!$D$9)/3.29)*21</f>
        <v>5188256.9881879324</v>
      </c>
      <c r="I438" s="9">
        <f ca="1">_xlfn.NORM.INV(RAND(),AVERAGE(Assumptions!$D$10,Assumptions!$F$10),(Assumptions!$F$10-Assumptions!$D$10)/3.29)*21</f>
        <v>947051.23575353844</v>
      </c>
      <c r="J438" s="12">
        <f ca="1">NORMINV(RAND(),AVERAGE(Assumptions!$D$11,Assumptions!$F$11),(Assumptions!$F$11-Assumptions!$D$11)/3.29)*44</f>
        <v>2723574.2562581785</v>
      </c>
      <c r="K438" s="15">
        <f ca="1">_xlfn.NORM.INV(RAND(),AVERAGE(Assumptions!$D$12,Assumptions!$F$12),(Assumptions!$F$12-Assumptions!$D$12)/3.29)*44</f>
        <v>8676414.6119362731</v>
      </c>
      <c r="L438" s="3">
        <f ca="1">_xlfn.NORM.INV(RAND(),AVERAGE(Assumptions!$D$13,Assumptions!$F$13),(Assumptions!$F$13-Assumptions!$D$13)/3.29)*44</f>
        <v>19604381.725940563</v>
      </c>
      <c r="M438" s="6">
        <f ca="1">_xlfn.NORM.INV(RAND(),AVERAGE(Assumptions!$D$14,Assumptions!$F$14),(Assumptions!$F$14-Assumptions!$D$14)/3.29)*44</f>
        <v>5395365.3430663245</v>
      </c>
      <c r="N438" s="9">
        <f ca="1">_xlfn.NORM.INV(RAND(),AVERAGE(Assumptions!$D$16,Assumptions!$F$16),(Assumptions!$F$16-Assumptions!$D$16)/3.29)*44</f>
        <v>7742660.4095299793</v>
      </c>
      <c r="O438" s="12">
        <f ca="1">_xlfn.NORM.INV(RAND(),AVERAGE(Assumptions!$D$15,Assumptions!$F$15),(Assumptions!$F$15-Assumptions!$D$15)/3.29)*44</f>
        <v>66457686.515728533</v>
      </c>
      <c r="P438" s="15">
        <f>Assumptions!$D$18</f>
        <v>14641750.345627395</v>
      </c>
      <c r="Q438" s="3">
        <f t="shared" ca="1" si="12"/>
        <v>2266603.5689133704</v>
      </c>
      <c r="R438" s="6">
        <f t="shared" ca="1" si="13"/>
        <v>16908353.914540768</v>
      </c>
    </row>
    <row r="439" spans="1:18">
      <c r="A439" s="20">
        <v>438</v>
      </c>
      <c r="B439" s="3">
        <f ca="1">_xlfn.NORM.INV(RAND(),AVERAGE(Assumptions!$D$4,Assumptions!$F$4),(Assumptions!$F$4-Assumptions!$D$4)/3.29)*44</f>
        <v>1266140.3527494145</v>
      </c>
      <c r="C439" s="6">
        <f ca="1">_xlfn.NORM.INV(RAND(),AVERAGE(Assumptions!$D$5,Assumptions!$F$5),(Assumptions!$F$5-Assumptions!$D$5)/3.29)*44</f>
        <v>1818533.6705826772</v>
      </c>
      <c r="D439" s="9">
        <f ca="1">_xlfn.NORM.INV(RAND(),AVERAGE(Assumptions!$D$6,Assumptions!$F$6),(Assumptions!$F$6-Assumptions!$D$6)/3.29)*RANDBETWEEN(2,5)</f>
        <v>5048354.4747829176</v>
      </c>
      <c r="E439" s="12">
        <f ca="1">_xlfn.NORM.INV(RAND(),AVERAGE(Assumptions!$D$17,Assumptions!$F$17),(Assumptions!$F$17-Assumptions!$D$17)/3.29)*8</f>
        <v>879737.05457935389</v>
      </c>
      <c r="F439" s="15">
        <f ca="1">_xlfn.NORM.INV(RAND(),AVERAGE(Assumptions!$D$7,Assumptions!$F$7),(Assumptions!$F$7-Assumptions!$D$7)/3.29)*RANDBETWEEN(1,3)</f>
        <v>5291151.797226184</v>
      </c>
      <c r="G439" s="3">
        <f ca="1">_xlfn.NORM.INV(RAND(),AVERAGE(Assumptions!$D$8,Assumptions!$F$8),(Assumptions!$F$8-Assumptions!$D$8)/3.29)*44</f>
        <v>702784.93286764331</v>
      </c>
      <c r="H439" s="6">
        <f ca="1">_xlfn.NORM.INV(RAND(),AVERAGE(Assumptions!$D$9,Assumptions!$F$9),(Assumptions!$F$9-Assumptions!$D$9)/3.29)*21</f>
        <v>5789821.3088333178</v>
      </c>
      <c r="I439" s="9">
        <f ca="1">_xlfn.NORM.INV(RAND(),AVERAGE(Assumptions!$D$10,Assumptions!$F$10),(Assumptions!$F$10-Assumptions!$D$10)/3.29)*21</f>
        <v>601616.50692946021</v>
      </c>
      <c r="J439" s="12">
        <f ca="1">NORMINV(RAND(),AVERAGE(Assumptions!$D$11,Assumptions!$F$11),(Assumptions!$F$11-Assumptions!$D$11)/3.29)*44</f>
        <v>1915398.5237329383</v>
      </c>
      <c r="K439" s="15">
        <f ca="1">_xlfn.NORM.INV(RAND(),AVERAGE(Assumptions!$D$12,Assumptions!$F$12),(Assumptions!$F$12-Assumptions!$D$12)/3.29)*44</f>
        <v>9980801.7454258278</v>
      </c>
      <c r="L439" s="3">
        <f ca="1">_xlfn.NORM.INV(RAND(),AVERAGE(Assumptions!$D$13,Assumptions!$F$13),(Assumptions!$F$13-Assumptions!$D$13)/3.29)*44</f>
        <v>13669664.331881903</v>
      </c>
      <c r="M439" s="6">
        <f ca="1">_xlfn.NORM.INV(RAND(),AVERAGE(Assumptions!$D$14,Assumptions!$F$14),(Assumptions!$F$14-Assumptions!$D$14)/3.29)*44</f>
        <v>6461544.9166556997</v>
      </c>
      <c r="N439" s="9">
        <f ca="1">_xlfn.NORM.INV(RAND(),AVERAGE(Assumptions!$D$16,Assumptions!$F$16),(Assumptions!$F$16-Assumptions!$D$16)/3.29)*44</f>
        <v>11622480.266956849</v>
      </c>
      <c r="O439" s="12">
        <f ca="1">_xlfn.NORM.INV(RAND(),AVERAGE(Assumptions!$D$15,Assumptions!$F$15),(Assumptions!$F$15-Assumptions!$D$15)/3.29)*44</f>
        <v>1975882.6943940725</v>
      </c>
      <c r="P439" s="15">
        <f>Assumptions!$D$18</f>
        <v>14641750.345627395</v>
      </c>
      <c r="Q439" s="3">
        <f t="shared" ca="1" si="12"/>
        <v>-63072147.188810118</v>
      </c>
      <c r="R439" s="6">
        <f t="shared" ca="1" si="13"/>
        <v>-48430396.84318272</v>
      </c>
    </row>
    <row r="440" spans="1:18">
      <c r="A440" s="20">
        <v>439</v>
      </c>
      <c r="B440" s="3">
        <f ca="1">_xlfn.NORM.INV(RAND(),AVERAGE(Assumptions!$D$4,Assumptions!$F$4),(Assumptions!$F$4-Assumptions!$D$4)/3.29)*44</f>
        <v>1126994.8592812016</v>
      </c>
      <c r="C440" s="6">
        <f ca="1">_xlfn.NORM.INV(RAND(),AVERAGE(Assumptions!$D$5,Assumptions!$F$5),(Assumptions!$F$5-Assumptions!$D$5)/3.29)*44</f>
        <v>2006020.3544128835</v>
      </c>
      <c r="D440" s="9">
        <f ca="1">_xlfn.NORM.INV(RAND(),AVERAGE(Assumptions!$D$6,Assumptions!$F$6),(Assumptions!$F$6-Assumptions!$D$6)/3.29)*RANDBETWEEN(2,5)</f>
        <v>5373060.3340019714</v>
      </c>
      <c r="E440" s="12">
        <f ca="1">_xlfn.NORM.INV(RAND(),AVERAGE(Assumptions!$D$17,Assumptions!$F$17),(Assumptions!$F$17-Assumptions!$D$17)/3.29)*8</f>
        <v>773508.69050995004</v>
      </c>
      <c r="F440" s="15">
        <f ca="1">_xlfn.NORM.INV(RAND(),AVERAGE(Assumptions!$D$7,Assumptions!$F$7),(Assumptions!$F$7-Assumptions!$D$7)/3.29)*RANDBETWEEN(1,3)</f>
        <v>2425263.7629270982</v>
      </c>
      <c r="G440" s="3">
        <f ca="1">_xlfn.NORM.INV(RAND(),AVERAGE(Assumptions!$D$8,Assumptions!$F$8),(Assumptions!$F$8-Assumptions!$D$8)/3.29)*44</f>
        <v>939175.15909706487</v>
      </c>
      <c r="H440" s="6">
        <f ca="1">_xlfn.NORM.INV(RAND(),AVERAGE(Assumptions!$D$9,Assumptions!$F$9),(Assumptions!$F$9-Assumptions!$D$9)/3.29)*21</f>
        <v>4827941.2126858169</v>
      </c>
      <c r="I440" s="9">
        <f ca="1">_xlfn.NORM.INV(RAND(),AVERAGE(Assumptions!$D$10,Assumptions!$F$10),(Assumptions!$F$10-Assumptions!$D$10)/3.29)*21</f>
        <v>809044.1727717726</v>
      </c>
      <c r="J440" s="12">
        <f ca="1">NORMINV(RAND(),AVERAGE(Assumptions!$D$11,Assumptions!$F$11),(Assumptions!$F$11-Assumptions!$D$11)/3.29)*44</f>
        <v>2639639.9695950835</v>
      </c>
      <c r="K440" s="15">
        <f ca="1">_xlfn.NORM.INV(RAND(),AVERAGE(Assumptions!$D$12,Assumptions!$F$12),(Assumptions!$F$12-Assumptions!$D$12)/3.29)*44</f>
        <v>9301870.9748545177</v>
      </c>
      <c r="L440" s="3">
        <f ca="1">_xlfn.NORM.INV(RAND(),AVERAGE(Assumptions!$D$13,Assumptions!$F$13),(Assumptions!$F$13-Assumptions!$D$13)/3.29)*44</f>
        <v>7123028.4874076722</v>
      </c>
      <c r="M440" s="6">
        <f ca="1">_xlfn.NORM.INV(RAND(),AVERAGE(Assumptions!$D$14,Assumptions!$F$14),(Assumptions!$F$14-Assumptions!$D$14)/3.29)*44</f>
        <v>7183025.2093933914</v>
      </c>
      <c r="N440" s="9">
        <f ca="1">_xlfn.NORM.INV(RAND(),AVERAGE(Assumptions!$D$16,Assumptions!$F$16),(Assumptions!$F$16-Assumptions!$D$16)/3.29)*44</f>
        <v>6912476.6791591402</v>
      </c>
      <c r="O440" s="12">
        <f ca="1">_xlfn.NORM.INV(RAND(),AVERAGE(Assumptions!$D$15,Assumptions!$F$15),(Assumptions!$F$15-Assumptions!$D$15)/3.29)*44</f>
        <v>24948180.781243034</v>
      </c>
      <c r="P440" s="15">
        <f>Assumptions!$D$18</f>
        <v>14641750.345627395</v>
      </c>
      <c r="Q440" s="3">
        <f t="shared" ca="1" si="12"/>
        <v>-26492869.084854536</v>
      </c>
      <c r="R440" s="6">
        <f t="shared" ca="1" si="13"/>
        <v>-11851118.73922714</v>
      </c>
    </row>
    <row r="441" spans="1:18">
      <c r="A441" s="20">
        <v>440</v>
      </c>
      <c r="B441" s="3">
        <f ca="1">_xlfn.NORM.INV(RAND(),AVERAGE(Assumptions!$D$4,Assumptions!$F$4),(Assumptions!$F$4-Assumptions!$D$4)/3.29)*44</f>
        <v>1278680.492009595</v>
      </c>
      <c r="C441" s="6">
        <f ca="1">_xlfn.NORM.INV(RAND(),AVERAGE(Assumptions!$D$5,Assumptions!$F$5),(Assumptions!$F$5-Assumptions!$D$5)/3.29)*44</f>
        <v>1663448.43323174</v>
      </c>
      <c r="D441" s="9">
        <f ca="1">_xlfn.NORM.INV(RAND(),AVERAGE(Assumptions!$D$6,Assumptions!$F$6),(Assumptions!$F$6-Assumptions!$D$6)/3.29)*RANDBETWEEN(2,5)</f>
        <v>3560460.8354174923</v>
      </c>
      <c r="E441" s="12">
        <f ca="1">_xlfn.NORM.INV(RAND(),AVERAGE(Assumptions!$D$17,Assumptions!$F$17),(Assumptions!$F$17-Assumptions!$D$17)/3.29)*8</f>
        <v>937266.0895968877</v>
      </c>
      <c r="F441" s="15">
        <f ca="1">_xlfn.NORM.INV(RAND(),AVERAGE(Assumptions!$D$7,Assumptions!$F$7),(Assumptions!$F$7-Assumptions!$D$7)/3.29)*RANDBETWEEN(1,3)</f>
        <v>2970130.6368919946</v>
      </c>
      <c r="G441" s="3">
        <f ca="1">_xlfn.NORM.INV(RAND(),AVERAGE(Assumptions!$D$8,Assumptions!$F$8),(Assumptions!$F$8-Assumptions!$D$8)/3.29)*44</f>
        <v>728302.84522138059</v>
      </c>
      <c r="H441" s="6">
        <f ca="1">_xlfn.NORM.INV(RAND(),AVERAGE(Assumptions!$D$9,Assumptions!$F$9),(Assumptions!$F$9-Assumptions!$D$9)/3.29)*21</f>
        <v>3577663.9589002067</v>
      </c>
      <c r="I441" s="9">
        <f ca="1">_xlfn.NORM.INV(RAND(),AVERAGE(Assumptions!$D$10,Assumptions!$F$10),(Assumptions!$F$10-Assumptions!$D$10)/3.29)*21</f>
        <v>495612.73924341722</v>
      </c>
      <c r="J441" s="12">
        <f ca="1">NORMINV(RAND(),AVERAGE(Assumptions!$D$11,Assumptions!$F$11),(Assumptions!$F$11-Assumptions!$D$11)/3.29)*44</f>
        <v>2882742.4321398321</v>
      </c>
      <c r="K441" s="15">
        <f ca="1">_xlfn.NORM.INV(RAND(),AVERAGE(Assumptions!$D$12,Assumptions!$F$12),(Assumptions!$F$12-Assumptions!$D$12)/3.29)*44</f>
        <v>8713509.8808025699</v>
      </c>
      <c r="L441" s="3">
        <f ca="1">_xlfn.NORM.INV(RAND(),AVERAGE(Assumptions!$D$13,Assumptions!$F$13),(Assumptions!$F$13-Assumptions!$D$13)/3.29)*44</f>
        <v>10050052.778025009</v>
      </c>
      <c r="M441" s="6">
        <f ca="1">_xlfn.NORM.INV(RAND(),AVERAGE(Assumptions!$D$14,Assumptions!$F$14),(Assumptions!$F$14-Assumptions!$D$14)/3.29)*44</f>
        <v>4130327.4098659996</v>
      </c>
      <c r="N441" s="9">
        <f ca="1">_xlfn.NORM.INV(RAND(),AVERAGE(Assumptions!$D$16,Assumptions!$F$16),(Assumptions!$F$16-Assumptions!$D$16)/3.29)*44</f>
        <v>5229063.4490592238</v>
      </c>
      <c r="O441" s="12">
        <f ca="1">_xlfn.NORM.INV(RAND(),AVERAGE(Assumptions!$D$15,Assumptions!$F$15),(Assumptions!$F$15-Assumptions!$D$15)/3.29)*44</f>
        <v>42165643.539831474</v>
      </c>
      <c r="P441" s="15">
        <f>Assumptions!$D$18</f>
        <v>14641750.345627395</v>
      </c>
      <c r="Q441" s="3">
        <f t="shared" ca="1" si="12"/>
        <v>-4051618.4405738786</v>
      </c>
      <c r="R441" s="6">
        <f t="shared" ca="1" si="13"/>
        <v>10590131.905053517</v>
      </c>
    </row>
    <row r="442" spans="1:18">
      <c r="A442" s="20">
        <v>441</v>
      </c>
      <c r="B442" s="3">
        <f ca="1">_xlfn.NORM.INV(RAND(),AVERAGE(Assumptions!$D$4,Assumptions!$F$4),(Assumptions!$F$4-Assumptions!$D$4)/3.29)*44</f>
        <v>1154842.5578986348</v>
      </c>
      <c r="C442" s="6">
        <f ca="1">_xlfn.NORM.INV(RAND(),AVERAGE(Assumptions!$D$5,Assumptions!$F$5),(Assumptions!$F$5-Assumptions!$D$5)/3.29)*44</f>
        <v>1721366.4369349026</v>
      </c>
      <c r="D442" s="9">
        <f ca="1">_xlfn.NORM.INV(RAND(),AVERAGE(Assumptions!$D$6,Assumptions!$F$6),(Assumptions!$F$6-Assumptions!$D$6)/3.29)*RANDBETWEEN(2,5)</f>
        <v>3147933.5965085113</v>
      </c>
      <c r="E442" s="12">
        <f ca="1">_xlfn.NORM.INV(RAND(),AVERAGE(Assumptions!$D$17,Assumptions!$F$17),(Assumptions!$F$17-Assumptions!$D$17)/3.29)*8</f>
        <v>951916.7994730504</v>
      </c>
      <c r="F442" s="15">
        <f ca="1">_xlfn.NORM.INV(RAND(),AVERAGE(Assumptions!$D$7,Assumptions!$F$7),(Assumptions!$F$7-Assumptions!$D$7)/3.29)*RANDBETWEEN(1,3)</f>
        <v>8775891.976393532</v>
      </c>
      <c r="G442" s="3">
        <f ca="1">_xlfn.NORM.INV(RAND(),AVERAGE(Assumptions!$D$8,Assumptions!$F$8),(Assumptions!$F$8-Assumptions!$D$8)/3.29)*44</f>
        <v>848073.72060493613</v>
      </c>
      <c r="H442" s="6">
        <f ca="1">_xlfn.NORM.INV(RAND(),AVERAGE(Assumptions!$D$9,Assumptions!$F$9),(Assumptions!$F$9-Assumptions!$D$9)/3.29)*21</f>
        <v>5491439.9823917923</v>
      </c>
      <c r="I442" s="9">
        <f ca="1">_xlfn.NORM.INV(RAND(),AVERAGE(Assumptions!$D$10,Assumptions!$F$10),(Assumptions!$F$10-Assumptions!$D$10)/3.29)*21</f>
        <v>963355.32461403939</v>
      </c>
      <c r="J442" s="12">
        <f ca="1">NORMINV(RAND(),AVERAGE(Assumptions!$D$11,Assumptions!$F$11),(Assumptions!$F$11-Assumptions!$D$11)/3.29)*44</f>
        <v>2015986.9563162851</v>
      </c>
      <c r="K442" s="15">
        <f ca="1">_xlfn.NORM.INV(RAND(),AVERAGE(Assumptions!$D$12,Assumptions!$F$12),(Assumptions!$F$12-Assumptions!$D$12)/3.29)*44</f>
        <v>8538921.5030020252</v>
      </c>
      <c r="L442" s="3">
        <f ca="1">_xlfn.NORM.INV(RAND(),AVERAGE(Assumptions!$D$13,Assumptions!$F$13),(Assumptions!$F$13-Assumptions!$D$13)/3.29)*44</f>
        <v>9715211.2653441578</v>
      </c>
      <c r="M442" s="6">
        <f ca="1">_xlfn.NORM.INV(RAND(),AVERAGE(Assumptions!$D$14,Assumptions!$F$14),(Assumptions!$F$14-Assumptions!$D$14)/3.29)*44</f>
        <v>5342433.0544055244</v>
      </c>
      <c r="N442" s="9">
        <f ca="1">_xlfn.NORM.INV(RAND(),AVERAGE(Assumptions!$D$16,Assumptions!$F$16),(Assumptions!$F$16-Assumptions!$D$16)/3.29)*44</f>
        <v>8743277.9184350334</v>
      </c>
      <c r="O442" s="12">
        <f ca="1">_xlfn.NORM.INV(RAND(),AVERAGE(Assumptions!$D$15,Assumptions!$F$15),(Assumptions!$F$15-Assumptions!$D$15)/3.29)*44</f>
        <v>141613768.62651393</v>
      </c>
      <c r="P442" s="15">
        <f>Assumptions!$D$18</f>
        <v>14641750.345627395</v>
      </c>
      <c r="Q442" s="3">
        <f t="shared" ca="1" si="12"/>
        <v>84203117.534191504</v>
      </c>
      <c r="R442" s="6">
        <f t="shared" ca="1" si="13"/>
        <v>98844867.879818901</v>
      </c>
    </row>
    <row r="443" spans="1:18">
      <c r="A443" s="20">
        <v>442</v>
      </c>
      <c r="B443" s="3">
        <f ca="1">_xlfn.NORM.INV(RAND(),AVERAGE(Assumptions!$D$4,Assumptions!$F$4),(Assumptions!$F$4-Assumptions!$D$4)/3.29)*44</f>
        <v>1098907.7797069503</v>
      </c>
      <c r="C443" s="6">
        <f ca="1">_xlfn.NORM.INV(RAND(),AVERAGE(Assumptions!$D$5,Assumptions!$F$5),(Assumptions!$F$5-Assumptions!$D$5)/3.29)*44</f>
        <v>1996596.5561379313</v>
      </c>
      <c r="D443" s="9">
        <f ca="1">_xlfn.NORM.INV(RAND(),AVERAGE(Assumptions!$D$6,Assumptions!$F$6),(Assumptions!$F$6-Assumptions!$D$6)/3.29)*RANDBETWEEN(2,5)</f>
        <v>5778001.8942080988</v>
      </c>
      <c r="E443" s="12">
        <f ca="1">_xlfn.NORM.INV(RAND(),AVERAGE(Assumptions!$D$17,Assumptions!$F$17),(Assumptions!$F$17-Assumptions!$D$17)/3.29)*8</f>
        <v>936755.80443494685</v>
      </c>
      <c r="F443" s="15">
        <f ca="1">_xlfn.NORM.INV(RAND(),AVERAGE(Assumptions!$D$7,Assumptions!$F$7),(Assumptions!$F$7-Assumptions!$D$7)/3.29)*RANDBETWEEN(1,3)</f>
        <v>7016457.4403364519</v>
      </c>
      <c r="G443" s="3">
        <f ca="1">_xlfn.NORM.INV(RAND(),AVERAGE(Assumptions!$D$8,Assumptions!$F$8),(Assumptions!$F$8-Assumptions!$D$8)/3.29)*44</f>
        <v>1144009.8395745321</v>
      </c>
      <c r="H443" s="6">
        <f ca="1">_xlfn.NORM.INV(RAND(),AVERAGE(Assumptions!$D$9,Assumptions!$F$9),(Assumptions!$F$9-Assumptions!$D$9)/3.29)*21</f>
        <v>3892355.7774456101</v>
      </c>
      <c r="I443" s="9">
        <f ca="1">_xlfn.NORM.INV(RAND(),AVERAGE(Assumptions!$D$10,Assumptions!$F$10),(Assumptions!$F$10-Assumptions!$D$10)/3.29)*21</f>
        <v>924224.48459907051</v>
      </c>
      <c r="J443" s="12">
        <f ca="1">NORMINV(RAND(),AVERAGE(Assumptions!$D$11,Assumptions!$F$11),(Assumptions!$F$11-Assumptions!$D$11)/3.29)*44</f>
        <v>4362793.0149039701</v>
      </c>
      <c r="K443" s="15">
        <f ca="1">_xlfn.NORM.INV(RAND(),AVERAGE(Assumptions!$D$12,Assumptions!$F$12),(Assumptions!$F$12-Assumptions!$D$12)/3.29)*44</f>
        <v>7469063.0029605087</v>
      </c>
      <c r="L443" s="3">
        <f ca="1">_xlfn.NORM.INV(RAND(),AVERAGE(Assumptions!$D$13,Assumptions!$F$13),(Assumptions!$F$13-Assumptions!$D$13)/3.29)*44</f>
        <v>6747371.2258012164</v>
      </c>
      <c r="M443" s="6">
        <f ca="1">_xlfn.NORM.INV(RAND(),AVERAGE(Assumptions!$D$14,Assumptions!$F$14),(Assumptions!$F$14-Assumptions!$D$14)/3.29)*44</f>
        <v>6997287.7998272758</v>
      </c>
      <c r="N443" s="9">
        <f ca="1">_xlfn.NORM.INV(RAND(),AVERAGE(Assumptions!$D$16,Assumptions!$F$16),(Assumptions!$F$16-Assumptions!$D$16)/3.29)*44</f>
        <v>13949197.469853247</v>
      </c>
      <c r="O443" s="12">
        <f ca="1">_xlfn.NORM.INV(RAND(),AVERAGE(Assumptions!$D$15,Assumptions!$F$15),(Assumptions!$F$15-Assumptions!$D$15)/3.29)*44</f>
        <v>119747938.25692831</v>
      </c>
      <c r="P443" s="15">
        <f>Assumptions!$D$18</f>
        <v>14641750.345627395</v>
      </c>
      <c r="Q443" s="3">
        <f t="shared" ca="1" si="12"/>
        <v>57434916.167138502</v>
      </c>
      <c r="R443" s="6">
        <f t="shared" ca="1" si="13"/>
        <v>72076666.512765899</v>
      </c>
    </row>
    <row r="444" spans="1:18">
      <c r="A444" s="20">
        <v>443</v>
      </c>
      <c r="B444" s="3">
        <f ca="1">_xlfn.NORM.INV(RAND(),AVERAGE(Assumptions!$D$4,Assumptions!$F$4),(Assumptions!$F$4-Assumptions!$D$4)/3.29)*44</f>
        <v>1162540.66369474</v>
      </c>
      <c r="C444" s="6">
        <f ca="1">_xlfn.NORM.INV(RAND(),AVERAGE(Assumptions!$D$5,Assumptions!$F$5),(Assumptions!$F$5-Assumptions!$D$5)/3.29)*44</f>
        <v>2042686.0630549928</v>
      </c>
      <c r="D444" s="9">
        <f ca="1">_xlfn.NORM.INV(RAND(),AVERAGE(Assumptions!$D$6,Assumptions!$F$6),(Assumptions!$F$6-Assumptions!$D$6)/3.29)*RANDBETWEEN(2,5)</f>
        <v>5627633.5364238443</v>
      </c>
      <c r="E444" s="12">
        <f ca="1">_xlfn.NORM.INV(RAND(),AVERAGE(Assumptions!$D$17,Assumptions!$F$17),(Assumptions!$F$17-Assumptions!$D$17)/3.29)*8</f>
        <v>1108867.2813947934</v>
      </c>
      <c r="F444" s="15">
        <f ca="1">_xlfn.NORM.INV(RAND(),AVERAGE(Assumptions!$D$7,Assumptions!$F$7),(Assumptions!$F$7-Assumptions!$D$7)/3.29)*RANDBETWEEN(1,3)</f>
        <v>2779476.8563790373</v>
      </c>
      <c r="G444" s="3">
        <f ca="1">_xlfn.NORM.INV(RAND(),AVERAGE(Assumptions!$D$8,Assumptions!$F$8),(Assumptions!$F$8-Assumptions!$D$8)/3.29)*44</f>
        <v>1195790.3845985197</v>
      </c>
      <c r="H444" s="6">
        <f ca="1">_xlfn.NORM.INV(RAND(),AVERAGE(Assumptions!$D$9,Assumptions!$F$9),(Assumptions!$F$9-Assumptions!$D$9)/3.29)*21</f>
        <v>2701825.7415990061</v>
      </c>
      <c r="I444" s="9">
        <f ca="1">_xlfn.NORM.INV(RAND(),AVERAGE(Assumptions!$D$10,Assumptions!$F$10),(Assumptions!$F$10-Assumptions!$D$10)/3.29)*21</f>
        <v>1032814.8983718579</v>
      </c>
      <c r="J444" s="12">
        <f ca="1">NORMINV(RAND(),AVERAGE(Assumptions!$D$11,Assumptions!$F$11),(Assumptions!$F$11-Assumptions!$D$11)/3.29)*44</f>
        <v>2854240.0656281319</v>
      </c>
      <c r="K444" s="15">
        <f ca="1">_xlfn.NORM.INV(RAND(),AVERAGE(Assumptions!$D$12,Assumptions!$F$12),(Assumptions!$F$12-Assumptions!$D$12)/3.29)*44</f>
        <v>8871563.6379259843</v>
      </c>
      <c r="L444" s="3">
        <f ca="1">_xlfn.NORM.INV(RAND(),AVERAGE(Assumptions!$D$13,Assumptions!$F$13),(Assumptions!$F$13-Assumptions!$D$13)/3.29)*44</f>
        <v>13884914.196880914</v>
      </c>
      <c r="M444" s="6">
        <f ca="1">_xlfn.NORM.INV(RAND(),AVERAGE(Assumptions!$D$14,Assumptions!$F$14),(Assumptions!$F$14-Assumptions!$D$14)/3.29)*44</f>
        <v>4874348.5796205662</v>
      </c>
      <c r="N444" s="9">
        <f ca="1">_xlfn.NORM.INV(RAND(),AVERAGE(Assumptions!$D$16,Assumptions!$F$16),(Assumptions!$F$16-Assumptions!$D$16)/3.29)*44</f>
        <v>9551555.6990458295</v>
      </c>
      <c r="O444" s="12">
        <f ca="1">_xlfn.NORM.INV(RAND(),AVERAGE(Assumptions!$D$15,Assumptions!$F$15),(Assumptions!$F$15-Assumptions!$D$15)/3.29)*44</f>
        <v>59156769.055952713</v>
      </c>
      <c r="P444" s="15">
        <f>Assumptions!$D$18</f>
        <v>14641750.345627395</v>
      </c>
      <c r="Q444" s="3">
        <f t="shared" ca="1" si="12"/>
        <v>1468511.4513344988</v>
      </c>
      <c r="R444" s="6">
        <f t="shared" ca="1" si="13"/>
        <v>16110261.796961894</v>
      </c>
    </row>
    <row r="445" spans="1:18">
      <c r="A445" s="20">
        <v>444</v>
      </c>
      <c r="B445" s="3">
        <f ca="1">_xlfn.NORM.INV(RAND(),AVERAGE(Assumptions!$D$4,Assumptions!$F$4),(Assumptions!$F$4-Assumptions!$D$4)/3.29)*44</f>
        <v>1317860.6660770883</v>
      </c>
      <c r="C445" s="6">
        <f ca="1">_xlfn.NORM.INV(RAND(),AVERAGE(Assumptions!$D$5,Assumptions!$F$5),(Assumptions!$F$5-Assumptions!$D$5)/3.29)*44</f>
        <v>1904552.305017696</v>
      </c>
      <c r="D445" s="9">
        <f ca="1">_xlfn.NORM.INV(RAND(),AVERAGE(Assumptions!$D$6,Assumptions!$F$6),(Assumptions!$F$6-Assumptions!$D$6)/3.29)*RANDBETWEEN(2,5)</f>
        <v>3705713.8730147998</v>
      </c>
      <c r="E445" s="12">
        <f ca="1">_xlfn.NORM.INV(RAND(),AVERAGE(Assumptions!$D$17,Assumptions!$F$17),(Assumptions!$F$17-Assumptions!$D$17)/3.29)*8</f>
        <v>1155794.1965962015</v>
      </c>
      <c r="F445" s="15">
        <f ca="1">_xlfn.NORM.INV(RAND(),AVERAGE(Assumptions!$D$7,Assumptions!$F$7),(Assumptions!$F$7-Assumptions!$D$7)/3.29)*RANDBETWEEN(1,3)</f>
        <v>7226973.0900634006</v>
      </c>
      <c r="G445" s="3">
        <f ca="1">_xlfn.NORM.INV(RAND(),AVERAGE(Assumptions!$D$8,Assumptions!$F$8),(Assumptions!$F$8-Assumptions!$D$8)/3.29)*44</f>
        <v>1433354.0331068251</v>
      </c>
      <c r="H445" s="6">
        <f ca="1">_xlfn.NORM.INV(RAND(),AVERAGE(Assumptions!$D$9,Assumptions!$F$9),(Assumptions!$F$9-Assumptions!$D$9)/3.29)*21</f>
        <v>4650086.3933319077</v>
      </c>
      <c r="I445" s="9">
        <f ca="1">_xlfn.NORM.INV(RAND(),AVERAGE(Assumptions!$D$10,Assumptions!$F$10),(Assumptions!$F$10-Assumptions!$D$10)/3.29)*21</f>
        <v>1199500.4776858632</v>
      </c>
      <c r="J445" s="12">
        <f ca="1">NORMINV(RAND(),AVERAGE(Assumptions!$D$11,Assumptions!$F$11),(Assumptions!$F$11-Assumptions!$D$11)/3.29)*44</f>
        <v>688136.60523474438</v>
      </c>
      <c r="K445" s="15">
        <f ca="1">_xlfn.NORM.INV(RAND(),AVERAGE(Assumptions!$D$12,Assumptions!$F$12),(Assumptions!$F$12-Assumptions!$D$12)/3.29)*44</f>
        <v>10201663.845106086</v>
      </c>
      <c r="L445" s="3">
        <f ca="1">_xlfn.NORM.INV(RAND(),AVERAGE(Assumptions!$D$13,Assumptions!$F$13),(Assumptions!$F$13-Assumptions!$D$13)/3.29)*44</f>
        <v>8607073.8536498714</v>
      </c>
      <c r="M445" s="6">
        <f ca="1">_xlfn.NORM.INV(RAND(),AVERAGE(Assumptions!$D$14,Assumptions!$F$14),(Assumptions!$F$14-Assumptions!$D$14)/3.29)*44</f>
        <v>5873033.1913865814</v>
      </c>
      <c r="N445" s="9">
        <f ca="1">_xlfn.NORM.INV(RAND(),AVERAGE(Assumptions!$D$16,Assumptions!$F$16),(Assumptions!$F$16-Assumptions!$D$16)/3.29)*44</f>
        <v>16342543.871406395</v>
      </c>
      <c r="O445" s="12">
        <f ca="1">_xlfn.NORM.INV(RAND(),AVERAGE(Assumptions!$D$15,Assumptions!$F$15),(Assumptions!$F$15-Assumptions!$D$15)/3.29)*44</f>
        <v>94617310.568816438</v>
      </c>
      <c r="P445" s="15">
        <f>Assumptions!$D$18</f>
        <v>14641750.345627395</v>
      </c>
      <c r="Q445" s="3">
        <f t="shared" ca="1" si="12"/>
        <v>30311024.167138979</v>
      </c>
      <c r="R445" s="6">
        <f t="shared" ca="1" si="13"/>
        <v>44952774.512766376</v>
      </c>
    </row>
    <row r="446" spans="1:18">
      <c r="A446" s="20">
        <v>445</v>
      </c>
      <c r="B446" s="3">
        <f ca="1">_xlfn.NORM.INV(RAND(),AVERAGE(Assumptions!$D$4,Assumptions!$F$4),(Assumptions!$F$4-Assumptions!$D$4)/3.29)*44</f>
        <v>1148659.9529842983</v>
      </c>
      <c r="C446" s="6">
        <f ca="1">_xlfn.NORM.INV(RAND(),AVERAGE(Assumptions!$D$5,Assumptions!$F$5),(Assumptions!$F$5-Assumptions!$D$5)/3.29)*44</f>
        <v>1816237.0133735696</v>
      </c>
      <c r="D446" s="9">
        <f ca="1">_xlfn.NORM.INV(RAND(),AVERAGE(Assumptions!$D$6,Assumptions!$F$6),(Assumptions!$F$6-Assumptions!$D$6)/3.29)*RANDBETWEEN(2,5)</f>
        <v>4666291.3926213719</v>
      </c>
      <c r="E446" s="12">
        <f ca="1">_xlfn.NORM.INV(RAND(),AVERAGE(Assumptions!$D$17,Assumptions!$F$17),(Assumptions!$F$17-Assumptions!$D$17)/3.29)*8</f>
        <v>1111823.7768758251</v>
      </c>
      <c r="F446" s="15">
        <f ca="1">_xlfn.NORM.INV(RAND(),AVERAGE(Assumptions!$D$7,Assumptions!$F$7),(Assumptions!$F$7-Assumptions!$D$7)/3.29)*RANDBETWEEN(1,3)</f>
        <v>7289318.9022499761</v>
      </c>
      <c r="G446" s="3">
        <f ca="1">_xlfn.NORM.INV(RAND(),AVERAGE(Assumptions!$D$8,Assumptions!$F$8),(Assumptions!$F$8-Assumptions!$D$8)/3.29)*44</f>
        <v>1496769.0771829917</v>
      </c>
      <c r="H446" s="6">
        <f ca="1">_xlfn.NORM.INV(RAND(),AVERAGE(Assumptions!$D$9,Assumptions!$F$9),(Assumptions!$F$9-Assumptions!$D$9)/3.29)*21</f>
        <v>7014314.5607654173</v>
      </c>
      <c r="I446" s="9">
        <f ca="1">_xlfn.NORM.INV(RAND(),AVERAGE(Assumptions!$D$10,Assumptions!$F$10),(Assumptions!$F$10-Assumptions!$D$10)/3.29)*21</f>
        <v>897006.70711097331</v>
      </c>
      <c r="J446" s="12">
        <f ca="1">NORMINV(RAND(),AVERAGE(Assumptions!$D$11,Assumptions!$F$11),(Assumptions!$F$11-Assumptions!$D$11)/3.29)*44</f>
        <v>2854067.5407710415</v>
      </c>
      <c r="K446" s="15">
        <f ca="1">_xlfn.NORM.INV(RAND(),AVERAGE(Assumptions!$D$12,Assumptions!$F$12),(Assumptions!$F$12-Assumptions!$D$12)/3.29)*44</f>
        <v>8810586.3046442233</v>
      </c>
      <c r="L446" s="3">
        <f ca="1">_xlfn.NORM.INV(RAND(),AVERAGE(Assumptions!$D$13,Assumptions!$F$13),(Assumptions!$F$13-Assumptions!$D$13)/3.29)*44</f>
        <v>19159624.179725379</v>
      </c>
      <c r="M446" s="6">
        <f ca="1">_xlfn.NORM.INV(RAND(),AVERAGE(Assumptions!$D$14,Assumptions!$F$14),(Assumptions!$F$14-Assumptions!$D$14)/3.29)*44</f>
        <v>5398893.3646787042</v>
      </c>
      <c r="N446" s="9">
        <f ca="1">_xlfn.NORM.INV(RAND(),AVERAGE(Assumptions!$D$16,Assumptions!$F$16),(Assumptions!$F$16-Assumptions!$D$16)/3.29)*44</f>
        <v>17949638.3001559</v>
      </c>
      <c r="O446" s="12">
        <f ca="1">_xlfn.NORM.INV(RAND(),AVERAGE(Assumptions!$D$15,Assumptions!$F$15),(Assumptions!$F$15-Assumptions!$D$15)/3.29)*44</f>
        <v>205170657.20568222</v>
      </c>
      <c r="P446" s="15">
        <f>Assumptions!$D$18</f>
        <v>14641750.345627395</v>
      </c>
      <c r="Q446" s="3">
        <f t="shared" ca="1" si="12"/>
        <v>125557426.13254255</v>
      </c>
      <c r="R446" s="6">
        <f t="shared" ca="1" si="13"/>
        <v>140199176.47816995</v>
      </c>
    </row>
    <row r="447" spans="1:18">
      <c r="A447" s="20">
        <v>446</v>
      </c>
      <c r="B447" s="3">
        <f ca="1">_xlfn.NORM.INV(RAND(),AVERAGE(Assumptions!$D$4,Assumptions!$F$4),(Assumptions!$F$4-Assumptions!$D$4)/3.29)*44</f>
        <v>1300273.1767295455</v>
      </c>
      <c r="C447" s="6">
        <f ca="1">_xlfn.NORM.INV(RAND(),AVERAGE(Assumptions!$D$5,Assumptions!$F$5),(Assumptions!$F$5-Assumptions!$D$5)/3.29)*44</f>
        <v>1702287.4965743863</v>
      </c>
      <c r="D447" s="9">
        <f ca="1">_xlfn.NORM.INV(RAND(),AVERAGE(Assumptions!$D$6,Assumptions!$F$6),(Assumptions!$F$6-Assumptions!$D$6)/3.29)*RANDBETWEEN(2,5)</f>
        <v>2862257.8252575085</v>
      </c>
      <c r="E447" s="12">
        <f ca="1">_xlfn.NORM.INV(RAND(),AVERAGE(Assumptions!$D$17,Assumptions!$F$17),(Assumptions!$F$17-Assumptions!$D$17)/3.29)*8</f>
        <v>974117.98313279031</v>
      </c>
      <c r="F447" s="15">
        <f ca="1">_xlfn.NORM.INV(RAND(),AVERAGE(Assumptions!$D$7,Assumptions!$F$7),(Assumptions!$F$7-Assumptions!$D$7)/3.29)*RANDBETWEEN(1,3)</f>
        <v>3101891.1615591887</v>
      </c>
      <c r="G447" s="3">
        <f ca="1">_xlfn.NORM.INV(RAND(),AVERAGE(Assumptions!$D$8,Assumptions!$F$8),(Assumptions!$F$8-Assumptions!$D$8)/3.29)*44</f>
        <v>1026068.5469377061</v>
      </c>
      <c r="H447" s="6">
        <f ca="1">_xlfn.NORM.INV(RAND(),AVERAGE(Assumptions!$D$9,Assumptions!$F$9),(Assumptions!$F$9-Assumptions!$D$9)/3.29)*21</f>
        <v>5705511.4445887273</v>
      </c>
      <c r="I447" s="9">
        <f ca="1">_xlfn.NORM.INV(RAND(),AVERAGE(Assumptions!$D$10,Assumptions!$F$10),(Assumptions!$F$10-Assumptions!$D$10)/3.29)*21</f>
        <v>531186.67527663056</v>
      </c>
      <c r="J447" s="12">
        <f ca="1">NORMINV(RAND(),AVERAGE(Assumptions!$D$11,Assumptions!$F$11),(Assumptions!$F$11-Assumptions!$D$11)/3.29)*44</f>
        <v>3220587.5517166266</v>
      </c>
      <c r="K447" s="15">
        <f ca="1">_xlfn.NORM.INV(RAND(),AVERAGE(Assumptions!$D$12,Assumptions!$F$12),(Assumptions!$F$12-Assumptions!$D$12)/3.29)*44</f>
        <v>8393868.4747865275</v>
      </c>
      <c r="L447" s="3">
        <f ca="1">_xlfn.NORM.INV(RAND(),AVERAGE(Assumptions!$D$13,Assumptions!$F$13),(Assumptions!$F$13-Assumptions!$D$13)/3.29)*44</f>
        <v>11940620.466737159</v>
      </c>
      <c r="M447" s="6">
        <f ca="1">_xlfn.NORM.INV(RAND(),AVERAGE(Assumptions!$D$14,Assumptions!$F$14),(Assumptions!$F$14-Assumptions!$D$14)/3.29)*44</f>
        <v>5431205.2829195801</v>
      </c>
      <c r="N447" s="9">
        <f ca="1">_xlfn.NORM.INV(RAND(),AVERAGE(Assumptions!$D$16,Assumptions!$F$16),(Assumptions!$F$16-Assumptions!$D$16)/3.29)*44</f>
        <v>10611550.161833627</v>
      </c>
      <c r="O447" s="12">
        <f ca="1">_xlfn.NORM.INV(RAND(),AVERAGE(Assumptions!$D$15,Assumptions!$F$15),(Assumptions!$F$15-Assumptions!$D$15)/3.29)*44</f>
        <v>127591335.18641624</v>
      </c>
      <c r="P447" s="15">
        <f>Assumptions!$D$18</f>
        <v>14641750.345627395</v>
      </c>
      <c r="Q447" s="3">
        <f t="shared" ca="1" si="12"/>
        <v>70789908.938366234</v>
      </c>
      <c r="R447" s="6">
        <f t="shared" ca="1" si="13"/>
        <v>85431659.283993632</v>
      </c>
    </row>
    <row r="448" spans="1:18">
      <c r="A448" s="20">
        <v>447</v>
      </c>
      <c r="B448" s="3">
        <f ca="1">_xlfn.NORM.INV(RAND(),AVERAGE(Assumptions!$D$4,Assumptions!$F$4),(Assumptions!$F$4-Assumptions!$D$4)/3.29)*44</f>
        <v>1315716.1112129751</v>
      </c>
      <c r="C448" s="6">
        <f ca="1">_xlfn.NORM.INV(RAND(),AVERAGE(Assumptions!$D$5,Assumptions!$F$5),(Assumptions!$F$5-Assumptions!$D$5)/3.29)*44</f>
        <v>1837157.6065687009</v>
      </c>
      <c r="D448" s="9">
        <f ca="1">_xlfn.NORM.INV(RAND(),AVERAGE(Assumptions!$D$6,Assumptions!$F$6),(Assumptions!$F$6-Assumptions!$D$6)/3.29)*RANDBETWEEN(2,5)</f>
        <v>2911359.242861276</v>
      </c>
      <c r="E448" s="12">
        <f ca="1">_xlfn.NORM.INV(RAND(),AVERAGE(Assumptions!$D$17,Assumptions!$F$17),(Assumptions!$F$17-Assumptions!$D$17)/3.29)*8</f>
        <v>838805.37494079676</v>
      </c>
      <c r="F448" s="15">
        <f ca="1">_xlfn.NORM.INV(RAND(),AVERAGE(Assumptions!$D$7,Assumptions!$F$7),(Assumptions!$F$7-Assumptions!$D$7)/3.29)*RANDBETWEEN(1,3)</f>
        <v>2540149.9700489719</v>
      </c>
      <c r="G448" s="3">
        <f ca="1">_xlfn.NORM.INV(RAND(),AVERAGE(Assumptions!$D$8,Assumptions!$F$8),(Assumptions!$F$8-Assumptions!$D$8)/3.29)*44</f>
        <v>1199246.2225567412</v>
      </c>
      <c r="H448" s="6">
        <f ca="1">_xlfn.NORM.INV(RAND(),AVERAGE(Assumptions!$D$9,Assumptions!$F$9),(Assumptions!$F$9-Assumptions!$D$9)/3.29)*21</f>
        <v>4771610.4313562177</v>
      </c>
      <c r="I448" s="9">
        <f ca="1">_xlfn.NORM.INV(RAND(),AVERAGE(Assumptions!$D$10,Assumptions!$F$10),(Assumptions!$F$10-Assumptions!$D$10)/3.29)*21</f>
        <v>533235.58625804516</v>
      </c>
      <c r="J448" s="12">
        <f ca="1">NORMINV(RAND(),AVERAGE(Assumptions!$D$11,Assumptions!$F$11),(Assumptions!$F$11-Assumptions!$D$11)/3.29)*44</f>
        <v>2466561.9479963919</v>
      </c>
      <c r="K448" s="15">
        <f ca="1">_xlfn.NORM.INV(RAND(),AVERAGE(Assumptions!$D$12,Assumptions!$F$12),(Assumptions!$F$12-Assumptions!$D$12)/3.29)*44</f>
        <v>7702731.4825665187</v>
      </c>
      <c r="L448" s="3">
        <f ca="1">_xlfn.NORM.INV(RAND(),AVERAGE(Assumptions!$D$13,Assumptions!$F$13),(Assumptions!$F$13-Assumptions!$D$13)/3.29)*44</f>
        <v>16940166.470272426</v>
      </c>
      <c r="M448" s="6">
        <f ca="1">_xlfn.NORM.INV(RAND(),AVERAGE(Assumptions!$D$14,Assumptions!$F$14),(Assumptions!$F$14-Assumptions!$D$14)/3.29)*44</f>
        <v>4505989.5551049178</v>
      </c>
      <c r="N448" s="9">
        <f ca="1">_xlfn.NORM.INV(RAND(),AVERAGE(Assumptions!$D$16,Assumptions!$F$16),(Assumptions!$F$16-Assumptions!$D$16)/3.29)*44</f>
        <v>14203225.706207074</v>
      </c>
      <c r="O448" s="12">
        <f ca="1">_xlfn.NORM.INV(RAND(),AVERAGE(Assumptions!$D$15,Assumptions!$F$15),(Assumptions!$F$15-Assumptions!$D$15)/3.29)*44</f>
        <v>187647272.88326922</v>
      </c>
      <c r="P448" s="15">
        <f>Assumptions!$D$18</f>
        <v>14641750.345627395</v>
      </c>
      <c r="Q448" s="3">
        <f t="shared" ca="1" si="12"/>
        <v>125881317.17531817</v>
      </c>
      <c r="R448" s="6">
        <f t="shared" ca="1" si="13"/>
        <v>140523067.52094555</v>
      </c>
    </row>
    <row r="449" spans="1:18">
      <c r="A449" s="20">
        <v>448</v>
      </c>
      <c r="B449" s="3">
        <f ca="1">_xlfn.NORM.INV(RAND(),AVERAGE(Assumptions!$D$4,Assumptions!$F$4),(Assumptions!$F$4-Assumptions!$D$4)/3.29)*44</f>
        <v>1211087.5038696334</v>
      </c>
      <c r="C449" s="6">
        <f ca="1">_xlfn.NORM.INV(RAND(),AVERAGE(Assumptions!$D$5,Assumptions!$F$5),(Assumptions!$F$5-Assumptions!$D$5)/3.29)*44</f>
        <v>1867412.6705960804</v>
      </c>
      <c r="D449" s="9">
        <f ca="1">_xlfn.NORM.INV(RAND(),AVERAGE(Assumptions!$D$6,Assumptions!$F$6),(Assumptions!$F$6-Assumptions!$D$6)/3.29)*RANDBETWEEN(2,5)</f>
        <v>2101092.3573132963</v>
      </c>
      <c r="E449" s="12">
        <f ca="1">_xlfn.NORM.INV(RAND(),AVERAGE(Assumptions!$D$17,Assumptions!$F$17),(Assumptions!$F$17-Assumptions!$D$17)/3.29)*8</f>
        <v>954111.34047937742</v>
      </c>
      <c r="F449" s="15">
        <f ca="1">_xlfn.NORM.INV(RAND(),AVERAGE(Assumptions!$D$7,Assumptions!$F$7),(Assumptions!$F$7-Assumptions!$D$7)/3.29)*RANDBETWEEN(1,3)</f>
        <v>2600575.8138721469</v>
      </c>
      <c r="G449" s="3">
        <f ca="1">_xlfn.NORM.INV(RAND(),AVERAGE(Assumptions!$D$8,Assumptions!$F$8),(Assumptions!$F$8-Assumptions!$D$8)/3.29)*44</f>
        <v>790471.94010305835</v>
      </c>
      <c r="H449" s="6">
        <f ca="1">_xlfn.NORM.INV(RAND(),AVERAGE(Assumptions!$D$9,Assumptions!$F$9),(Assumptions!$F$9-Assumptions!$D$9)/3.29)*21</f>
        <v>6728374.5132954232</v>
      </c>
      <c r="I449" s="9">
        <f ca="1">_xlfn.NORM.INV(RAND(),AVERAGE(Assumptions!$D$10,Assumptions!$F$10),(Assumptions!$F$10-Assumptions!$D$10)/3.29)*21</f>
        <v>941904.93616868893</v>
      </c>
      <c r="J449" s="12">
        <f ca="1">NORMINV(RAND(),AVERAGE(Assumptions!$D$11,Assumptions!$F$11),(Assumptions!$F$11-Assumptions!$D$11)/3.29)*44</f>
        <v>3589342.9586642645</v>
      </c>
      <c r="K449" s="15">
        <f ca="1">_xlfn.NORM.INV(RAND(),AVERAGE(Assumptions!$D$12,Assumptions!$F$12),(Assumptions!$F$12-Assumptions!$D$12)/3.29)*44</f>
        <v>5938201.255341134</v>
      </c>
      <c r="L449" s="3">
        <f ca="1">_xlfn.NORM.INV(RAND(),AVERAGE(Assumptions!$D$13,Assumptions!$F$13),(Assumptions!$F$13-Assumptions!$D$13)/3.29)*44</f>
        <v>11036535.714887951</v>
      </c>
      <c r="M449" s="6">
        <f ca="1">_xlfn.NORM.INV(RAND(),AVERAGE(Assumptions!$D$14,Assumptions!$F$14),(Assumptions!$F$14-Assumptions!$D$14)/3.29)*44</f>
        <v>6195247.2744330317</v>
      </c>
      <c r="N449" s="9">
        <f ca="1">_xlfn.NORM.INV(RAND(),AVERAGE(Assumptions!$D$16,Assumptions!$F$16),(Assumptions!$F$16-Assumptions!$D$16)/3.29)*44</f>
        <v>16263402.408098353</v>
      </c>
      <c r="O449" s="12">
        <f ca="1">_xlfn.NORM.INV(RAND(),AVERAGE(Assumptions!$D$15,Assumptions!$F$15),(Assumptions!$F$15-Assumptions!$D$15)/3.29)*44</f>
        <v>62586984.442525059</v>
      </c>
      <c r="P449" s="15">
        <f>Assumptions!$D$18</f>
        <v>14641750.345627395</v>
      </c>
      <c r="Q449" s="3">
        <f t="shared" ca="1" si="12"/>
        <v>2369223.7554026246</v>
      </c>
      <c r="R449" s="6">
        <f t="shared" ca="1" si="13"/>
        <v>17010974.101030022</v>
      </c>
    </row>
    <row r="450" spans="1:18">
      <c r="A450" s="20">
        <v>449</v>
      </c>
      <c r="B450" s="3">
        <f ca="1">_xlfn.NORM.INV(RAND(),AVERAGE(Assumptions!$D$4,Assumptions!$F$4),(Assumptions!$F$4-Assumptions!$D$4)/3.29)*44</f>
        <v>1105696.4582950452</v>
      </c>
      <c r="C450" s="6">
        <f ca="1">_xlfn.NORM.INV(RAND(),AVERAGE(Assumptions!$D$5,Assumptions!$F$5),(Assumptions!$F$5-Assumptions!$D$5)/3.29)*44</f>
        <v>2010264.669409157</v>
      </c>
      <c r="D450" s="9">
        <f ca="1">_xlfn.NORM.INV(RAND(),AVERAGE(Assumptions!$D$6,Assumptions!$F$6),(Assumptions!$F$6-Assumptions!$D$6)/3.29)*RANDBETWEEN(2,5)</f>
        <v>4076950.1220063949</v>
      </c>
      <c r="E450" s="12">
        <f ca="1">_xlfn.NORM.INV(RAND(),AVERAGE(Assumptions!$D$17,Assumptions!$F$17),(Assumptions!$F$17-Assumptions!$D$17)/3.29)*8</f>
        <v>952522.82018306083</v>
      </c>
      <c r="F450" s="15">
        <f ca="1">_xlfn.NORM.INV(RAND(),AVERAGE(Assumptions!$D$7,Assumptions!$F$7),(Assumptions!$F$7-Assumptions!$D$7)/3.29)*RANDBETWEEN(1,3)</f>
        <v>3149570.8888943577</v>
      </c>
      <c r="G450" s="3">
        <f ca="1">_xlfn.NORM.INV(RAND(),AVERAGE(Assumptions!$D$8,Assumptions!$F$8),(Assumptions!$F$8-Assumptions!$D$8)/3.29)*44</f>
        <v>1067609.8113918835</v>
      </c>
      <c r="H450" s="6">
        <f ca="1">_xlfn.NORM.INV(RAND(),AVERAGE(Assumptions!$D$9,Assumptions!$F$9),(Assumptions!$F$9-Assumptions!$D$9)/3.29)*21</f>
        <v>6142452.8161407262</v>
      </c>
      <c r="I450" s="9">
        <f ca="1">_xlfn.NORM.INV(RAND(),AVERAGE(Assumptions!$D$10,Assumptions!$F$10),(Assumptions!$F$10-Assumptions!$D$10)/3.29)*21</f>
        <v>1061804.2427492107</v>
      </c>
      <c r="J450" s="12">
        <f ca="1">NORMINV(RAND(),AVERAGE(Assumptions!$D$11,Assumptions!$F$11),(Assumptions!$F$11-Assumptions!$D$11)/3.29)*44</f>
        <v>4932373.7091559339</v>
      </c>
      <c r="K450" s="15">
        <f ca="1">_xlfn.NORM.INV(RAND(),AVERAGE(Assumptions!$D$12,Assumptions!$F$12),(Assumptions!$F$12-Assumptions!$D$12)/3.29)*44</f>
        <v>10293835.316916147</v>
      </c>
      <c r="L450" s="3">
        <f ca="1">_xlfn.NORM.INV(RAND(),AVERAGE(Assumptions!$D$13,Assumptions!$F$13),(Assumptions!$F$13-Assumptions!$D$13)/3.29)*44</f>
        <v>20440177.983157959</v>
      </c>
      <c r="M450" s="6">
        <f ca="1">_xlfn.NORM.INV(RAND(),AVERAGE(Assumptions!$D$14,Assumptions!$F$14),(Assumptions!$F$14-Assumptions!$D$14)/3.29)*44</f>
        <v>5122898.1079547182</v>
      </c>
      <c r="N450" s="9">
        <f ca="1">_xlfn.NORM.INV(RAND(),AVERAGE(Assumptions!$D$16,Assumptions!$F$16),(Assumptions!$F$16-Assumptions!$D$16)/3.29)*44</f>
        <v>12982210.381786251</v>
      </c>
      <c r="O450" s="12">
        <f ca="1">_xlfn.NORM.INV(RAND(),AVERAGE(Assumptions!$D$15,Assumptions!$F$15),(Assumptions!$F$15-Assumptions!$D$15)/3.29)*44</f>
        <v>168398011.63843471</v>
      </c>
      <c r="P450" s="15">
        <f>Assumptions!$D$18</f>
        <v>14641750.345627395</v>
      </c>
      <c r="Q450" s="3">
        <f t="shared" ca="1" si="12"/>
        <v>95059644.31039387</v>
      </c>
      <c r="R450" s="6">
        <f t="shared" ca="1" si="13"/>
        <v>109701394.65602127</v>
      </c>
    </row>
    <row r="451" spans="1:18">
      <c r="A451" s="20">
        <v>450</v>
      </c>
      <c r="B451" s="3">
        <f ca="1">_xlfn.NORM.INV(RAND(),AVERAGE(Assumptions!$D$4,Assumptions!$F$4),(Assumptions!$F$4-Assumptions!$D$4)/3.29)*44</f>
        <v>1300874.5031950795</v>
      </c>
      <c r="C451" s="6">
        <f ca="1">_xlfn.NORM.INV(RAND(),AVERAGE(Assumptions!$D$5,Assumptions!$F$5),(Assumptions!$F$5-Assumptions!$D$5)/3.29)*44</f>
        <v>1624659.9921230068</v>
      </c>
      <c r="D451" s="9">
        <f ca="1">_xlfn.NORM.INV(RAND(),AVERAGE(Assumptions!$D$6,Assumptions!$F$6),(Assumptions!$F$6-Assumptions!$D$6)/3.29)*RANDBETWEEN(2,5)</f>
        <v>2207143.1377308401</v>
      </c>
      <c r="E451" s="12">
        <f ca="1">_xlfn.NORM.INV(RAND(),AVERAGE(Assumptions!$D$17,Assumptions!$F$17),(Assumptions!$F$17-Assumptions!$D$17)/3.29)*8</f>
        <v>931637.60639089905</v>
      </c>
      <c r="F451" s="15">
        <f ca="1">_xlfn.NORM.INV(RAND(),AVERAGE(Assumptions!$D$7,Assumptions!$F$7),(Assumptions!$F$7-Assumptions!$D$7)/3.29)*RANDBETWEEN(1,3)</f>
        <v>2569467.91587765</v>
      </c>
      <c r="G451" s="3">
        <f ca="1">_xlfn.NORM.INV(RAND(),AVERAGE(Assumptions!$D$8,Assumptions!$F$8),(Assumptions!$F$8-Assumptions!$D$8)/3.29)*44</f>
        <v>1086367.4156055145</v>
      </c>
      <c r="H451" s="6">
        <f ca="1">_xlfn.NORM.INV(RAND(),AVERAGE(Assumptions!$D$9,Assumptions!$F$9),(Assumptions!$F$9-Assumptions!$D$9)/3.29)*21</f>
        <v>4561887.8649915997</v>
      </c>
      <c r="I451" s="9">
        <f ca="1">_xlfn.NORM.INV(RAND(),AVERAGE(Assumptions!$D$10,Assumptions!$F$10),(Assumptions!$F$10-Assumptions!$D$10)/3.29)*21</f>
        <v>968733.24754930567</v>
      </c>
      <c r="J451" s="12">
        <f ca="1">NORMINV(RAND(),AVERAGE(Assumptions!$D$11,Assumptions!$F$11),(Assumptions!$F$11-Assumptions!$D$11)/3.29)*44</f>
        <v>4292180.1466425946</v>
      </c>
      <c r="K451" s="15">
        <f ca="1">_xlfn.NORM.INV(RAND(),AVERAGE(Assumptions!$D$12,Assumptions!$F$12),(Assumptions!$F$12-Assumptions!$D$12)/3.29)*44</f>
        <v>9910307.7228729557</v>
      </c>
      <c r="L451" s="3">
        <f ca="1">_xlfn.NORM.INV(RAND(),AVERAGE(Assumptions!$D$13,Assumptions!$F$13),(Assumptions!$F$13-Assumptions!$D$13)/3.29)*44</f>
        <v>10053746.497036567</v>
      </c>
      <c r="M451" s="6">
        <f ca="1">_xlfn.NORM.INV(RAND(),AVERAGE(Assumptions!$D$14,Assumptions!$F$14),(Assumptions!$F$14-Assumptions!$D$14)/3.29)*44</f>
        <v>6179664.7879283046</v>
      </c>
      <c r="N451" s="9">
        <f ca="1">_xlfn.NORM.INV(RAND(),AVERAGE(Assumptions!$D$16,Assumptions!$F$16),(Assumptions!$F$16-Assumptions!$D$16)/3.29)*44</f>
        <v>3882376.012983378</v>
      </c>
      <c r="O451" s="12">
        <f ca="1">_xlfn.NORM.INV(RAND(),AVERAGE(Assumptions!$D$15,Assumptions!$F$15),(Assumptions!$F$15-Assumptions!$D$15)/3.29)*44</f>
        <v>108479572.76782785</v>
      </c>
      <c r="P451" s="15">
        <f>Assumptions!$D$18</f>
        <v>14641750.345627395</v>
      </c>
      <c r="Q451" s="3">
        <f t="shared" ref="Q451:Q514" ca="1" si="14">O451-(B451+C451+D451+F451+G451+H451+I451+J451+K451+L451+M451+N451+E451)</f>
        <v>58910525.91690015</v>
      </c>
      <c r="R451" s="6">
        <f t="shared" ref="R451:R514" ca="1" si="15">Q451+P451</f>
        <v>73552276.26252754</v>
      </c>
    </row>
    <row r="452" spans="1:18">
      <c r="A452" s="20">
        <v>451</v>
      </c>
      <c r="B452" s="3">
        <f ca="1">_xlfn.NORM.INV(RAND(),AVERAGE(Assumptions!$D$4,Assumptions!$F$4),(Assumptions!$F$4-Assumptions!$D$4)/3.29)*44</f>
        <v>1209153.705415102</v>
      </c>
      <c r="C452" s="6">
        <f ca="1">_xlfn.NORM.INV(RAND(),AVERAGE(Assumptions!$D$5,Assumptions!$F$5),(Assumptions!$F$5-Assumptions!$D$5)/3.29)*44</f>
        <v>1774475.8054827699</v>
      </c>
      <c r="D452" s="9">
        <f ca="1">_xlfn.NORM.INV(RAND(),AVERAGE(Assumptions!$D$6,Assumptions!$F$6),(Assumptions!$F$6-Assumptions!$D$6)/3.29)*RANDBETWEEN(2,5)</f>
        <v>6500019.3108072691</v>
      </c>
      <c r="E452" s="12">
        <f ca="1">_xlfn.NORM.INV(RAND(),AVERAGE(Assumptions!$D$17,Assumptions!$F$17),(Assumptions!$F$17-Assumptions!$D$17)/3.29)*8</f>
        <v>1084366.0352075063</v>
      </c>
      <c r="F452" s="15">
        <f ca="1">_xlfn.NORM.INV(RAND(),AVERAGE(Assumptions!$D$7,Assumptions!$F$7),(Assumptions!$F$7-Assumptions!$D$7)/3.29)*RANDBETWEEN(1,3)</f>
        <v>4797940.6001799805</v>
      </c>
      <c r="G452" s="3">
        <f ca="1">_xlfn.NORM.INV(RAND(),AVERAGE(Assumptions!$D$8,Assumptions!$F$8),(Assumptions!$F$8-Assumptions!$D$8)/3.29)*44</f>
        <v>1097301.002705913</v>
      </c>
      <c r="H452" s="6">
        <f ca="1">_xlfn.NORM.INV(RAND(),AVERAGE(Assumptions!$D$9,Assumptions!$F$9),(Assumptions!$F$9-Assumptions!$D$9)/3.29)*21</f>
        <v>4671169.5496717803</v>
      </c>
      <c r="I452" s="9">
        <f ca="1">_xlfn.NORM.INV(RAND(),AVERAGE(Assumptions!$D$10,Assumptions!$F$10),(Assumptions!$F$10-Assumptions!$D$10)/3.29)*21</f>
        <v>1032661.55294272</v>
      </c>
      <c r="J452" s="12">
        <f ca="1">NORMINV(RAND(),AVERAGE(Assumptions!$D$11,Assumptions!$F$11),(Assumptions!$F$11-Assumptions!$D$11)/3.29)*44</f>
        <v>3708193.5942943781</v>
      </c>
      <c r="K452" s="15">
        <f ca="1">_xlfn.NORM.INV(RAND(),AVERAGE(Assumptions!$D$12,Assumptions!$F$12),(Assumptions!$F$12-Assumptions!$D$12)/3.29)*44</f>
        <v>8037979.3719026595</v>
      </c>
      <c r="L452" s="3">
        <f ca="1">_xlfn.NORM.INV(RAND(),AVERAGE(Assumptions!$D$13,Assumptions!$F$13),(Assumptions!$F$13-Assumptions!$D$13)/3.29)*44</f>
        <v>19109249.210389625</v>
      </c>
      <c r="M452" s="6">
        <f ca="1">_xlfn.NORM.INV(RAND(),AVERAGE(Assumptions!$D$14,Assumptions!$F$14),(Assumptions!$F$14-Assumptions!$D$14)/3.29)*44</f>
        <v>7376128.4075486399</v>
      </c>
      <c r="N452" s="9">
        <f ca="1">_xlfn.NORM.INV(RAND(),AVERAGE(Assumptions!$D$16,Assumptions!$F$16),(Assumptions!$F$16-Assumptions!$D$16)/3.29)*44</f>
        <v>7067235.9734548563</v>
      </c>
      <c r="O452" s="12">
        <f ca="1">_xlfn.NORM.INV(RAND(),AVERAGE(Assumptions!$D$15,Assumptions!$F$15),(Assumptions!$F$15-Assumptions!$D$15)/3.29)*44</f>
        <v>72296600.922189474</v>
      </c>
      <c r="P452" s="15">
        <f>Assumptions!$D$18</f>
        <v>14641750.345627395</v>
      </c>
      <c r="Q452" s="3">
        <f t="shared" ca="1" si="14"/>
        <v>4830726.8021862805</v>
      </c>
      <c r="R452" s="6">
        <f t="shared" ca="1" si="15"/>
        <v>19472477.147813678</v>
      </c>
    </row>
    <row r="453" spans="1:18">
      <c r="A453" s="20">
        <v>452</v>
      </c>
      <c r="B453" s="3">
        <f ca="1">_xlfn.NORM.INV(RAND(),AVERAGE(Assumptions!$D$4,Assumptions!$F$4),(Assumptions!$F$4-Assumptions!$D$4)/3.29)*44</f>
        <v>1271885.2018353802</v>
      </c>
      <c r="C453" s="6">
        <f ca="1">_xlfn.NORM.INV(RAND(),AVERAGE(Assumptions!$D$5,Assumptions!$F$5),(Assumptions!$F$5-Assumptions!$D$5)/3.29)*44</f>
        <v>1812744.9193617853</v>
      </c>
      <c r="D453" s="9">
        <f ca="1">_xlfn.NORM.INV(RAND(),AVERAGE(Assumptions!$D$6,Assumptions!$F$6),(Assumptions!$F$6-Assumptions!$D$6)/3.29)*RANDBETWEEN(2,5)</f>
        <v>2625412.5595316309</v>
      </c>
      <c r="E453" s="12">
        <f ca="1">_xlfn.NORM.INV(RAND(),AVERAGE(Assumptions!$D$17,Assumptions!$F$17),(Assumptions!$F$17-Assumptions!$D$17)/3.29)*8</f>
        <v>949044.53835077584</v>
      </c>
      <c r="F453" s="15">
        <f ca="1">_xlfn.NORM.INV(RAND(),AVERAGE(Assumptions!$D$7,Assumptions!$F$7),(Assumptions!$F$7-Assumptions!$D$7)/3.29)*RANDBETWEEN(1,3)</f>
        <v>5617126.3240363635</v>
      </c>
      <c r="G453" s="3">
        <f ca="1">_xlfn.NORM.INV(RAND(),AVERAGE(Assumptions!$D$8,Assumptions!$F$8),(Assumptions!$F$8-Assumptions!$D$8)/3.29)*44</f>
        <v>804668.66054536728</v>
      </c>
      <c r="H453" s="6">
        <f ca="1">_xlfn.NORM.INV(RAND(),AVERAGE(Assumptions!$D$9,Assumptions!$F$9),(Assumptions!$F$9-Assumptions!$D$9)/3.29)*21</f>
        <v>5216277.7838016972</v>
      </c>
      <c r="I453" s="9">
        <f ca="1">_xlfn.NORM.INV(RAND(),AVERAGE(Assumptions!$D$10,Assumptions!$F$10),(Assumptions!$F$10-Assumptions!$D$10)/3.29)*21</f>
        <v>335752.04711569275</v>
      </c>
      <c r="J453" s="12">
        <f ca="1">NORMINV(RAND(),AVERAGE(Assumptions!$D$11,Assumptions!$F$11),(Assumptions!$F$11-Assumptions!$D$11)/3.29)*44</f>
        <v>5514097.1291409135</v>
      </c>
      <c r="K453" s="15">
        <f ca="1">_xlfn.NORM.INV(RAND(),AVERAGE(Assumptions!$D$12,Assumptions!$F$12),(Assumptions!$F$12-Assumptions!$D$12)/3.29)*44</f>
        <v>7709896.5989677412</v>
      </c>
      <c r="L453" s="3">
        <f ca="1">_xlfn.NORM.INV(RAND(),AVERAGE(Assumptions!$D$13,Assumptions!$F$13),(Assumptions!$F$13-Assumptions!$D$13)/3.29)*44</f>
        <v>10721222.90116784</v>
      </c>
      <c r="M453" s="6">
        <f ca="1">_xlfn.NORM.INV(RAND(),AVERAGE(Assumptions!$D$14,Assumptions!$F$14),(Assumptions!$F$14-Assumptions!$D$14)/3.29)*44</f>
        <v>6899067.3051642161</v>
      </c>
      <c r="N453" s="9">
        <f ca="1">_xlfn.NORM.INV(RAND(),AVERAGE(Assumptions!$D$16,Assumptions!$F$16),(Assumptions!$F$16-Assumptions!$D$16)/3.29)*44</f>
        <v>8969281.0451544207</v>
      </c>
      <c r="O453" s="12">
        <f ca="1">_xlfn.NORM.INV(RAND(),AVERAGE(Assumptions!$D$15,Assumptions!$F$15),(Assumptions!$F$15-Assumptions!$D$15)/3.29)*44</f>
        <v>131224662.55588318</v>
      </c>
      <c r="P453" s="15">
        <f>Assumptions!$D$18</f>
        <v>14641750.345627395</v>
      </c>
      <c r="Q453" s="3">
        <f t="shared" ca="1" si="14"/>
        <v>72778185.541709363</v>
      </c>
      <c r="R453" s="6">
        <f t="shared" ca="1" si="15"/>
        <v>87419935.887336761</v>
      </c>
    </row>
    <row r="454" spans="1:18">
      <c r="A454" s="20">
        <v>453</v>
      </c>
      <c r="B454" s="3">
        <f ca="1">_xlfn.NORM.INV(RAND(),AVERAGE(Assumptions!$D$4,Assumptions!$F$4),(Assumptions!$F$4-Assumptions!$D$4)/3.29)*44</f>
        <v>1243701.0621732892</v>
      </c>
      <c r="C454" s="6">
        <f ca="1">_xlfn.NORM.INV(RAND(),AVERAGE(Assumptions!$D$5,Assumptions!$F$5),(Assumptions!$F$5-Assumptions!$D$5)/3.29)*44</f>
        <v>1796544.1407544864</v>
      </c>
      <c r="D454" s="9">
        <f ca="1">_xlfn.NORM.INV(RAND(),AVERAGE(Assumptions!$D$6,Assumptions!$F$6),(Assumptions!$F$6-Assumptions!$D$6)/3.29)*RANDBETWEEN(2,5)</f>
        <v>2753560.2449635509</v>
      </c>
      <c r="E454" s="12">
        <f ca="1">_xlfn.NORM.INV(RAND(),AVERAGE(Assumptions!$D$17,Assumptions!$F$17),(Assumptions!$F$17-Assumptions!$D$17)/3.29)*8</f>
        <v>854834.41056275193</v>
      </c>
      <c r="F454" s="15">
        <f ca="1">_xlfn.NORM.INV(RAND(),AVERAGE(Assumptions!$D$7,Assumptions!$F$7),(Assumptions!$F$7-Assumptions!$D$7)/3.29)*RANDBETWEEN(1,3)</f>
        <v>6127144.3042573733</v>
      </c>
      <c r="G454" s="3">
        <f ca="1">_xlfn.NORM.INV(RAND(),AVERAGE(Assumptions!$D$8,Assumptions!$F$8),(Assumptions!$F$8-Assumptions!$D$8)/3.29)*44</f>
        <v>1319080.3537987072</v>
      </c>
      <c r="H454" s="6">
        <f ca="1">_xlfn.NORM.INV(RAND(),AVERAGE(Assumptions!$D$9,Assumptions!$F$9),(Assumptions!$F$9-Assumptions!$D$9)/3.29)*21</f>
        <v>3244809.2228695289</v>
      </c>
      <c r="I454" s="9">
        <f ca="1">_xlfn.NORM.INV(RAND(),AVERAGE(Assumptions!$D$10,Assumptions!$F$10),(Assumptions!$F$10-Assumptions!$D$10)/3.29)*21</f>
        <v>1082624.0976986764</v>
      </c>
      <c r="J454" s="12">
        <f ca="1">NORMINV(RAND(),AVERAGE(Assumptions!$D$11,Assumptions!$F$11),(Assumptions!$F$11-Assumptions!$D$11)/3.29)*44</f>
        <v>3326295.6331495978</v>
      </c>
      <c r="K454" s="15">
        <f ca="1">_xlfn.NORM.INV(RAND(),AVERAGE(Assumptions!$D$12,Assumptions!$F$12),(Assumptions!$F$12-Assumptions!$D$12)/3.29)*44</f>
        <v>8662206.4002289828</v>
      </c>
      <c r="L454" s="3">
        <f ca="1">_xlfn.NORM.INV(RAND(),AVERAGE(Assumptions!$D$13,Assumptions!$F$13),(Assumptions!$F$13-Assumptions!$D$13)/3.29)*44</f>
        <v>13390954.255393337</v>
      </c>
      <c r="M454" s="6">
        <f ca="1">_xlfn.NORM.INV(RAND(),AVERAGE(Assumptions!$D$14,Assumptions!$F$14),(Assumptions!$F$14-Assumptions!$D$14)/3.29)*44</f>
        <v>6445062.4964801921</v>
      </c>
      <c r="N454" s="9">
        <f ca="1">_xlfn.NORM.INV(RAND(),AVERAGE(Assumptions!$D$16,Assumptions!$F$16),(Assumptions!$F$16-Assumptions!$D$16)/3.29)*44</f>
        <v>1935344.0586575319</v>
      </c>
      <c r="O454" s="12">
        <f ca="1">_xlfn.NORM.INV(RAND(),AVERAGE(Assumptions!$D$15,Assumptions!$F$15),(Assumptions!$F$15-Assumptions!$D$15)/3.29)*44</f>
        <v>58584092.818615973</v>
      </c>
      <c r="P454" s="15">
        <f>Assumptions!$D$18</f>
        <v>14641750.345627395</v>
      </c>
      <c r="Q454" s="3">
        <f t="shared" ca="1" si="14"/>
        <v>6401932.1376279593</v>
      </c>
      <c r="R454" s="6">
        <f t="shared" ca="1" si="15"/>
        <v>21043682.483255357</v>
      </c>
    </row>
    <row r="455" spans="1:18">
      <c r="A455" s="20">
        <v>454</v>
      </c>
      <c r="B455" s="3">
        <f ca="1">_xlfn.NORM.INV(RAND(),AVERAGE(Assumptions!$D$4,Assumptions!$F$4),(Assumptions!$F$4-Assumptions!$D$4)/3.29)*44</f>
        <v>1290616.7771016941</v>
      </c>
      <c r="C455" s="6">
        <f ca="1">_xlfn.NORM.INV(RAND(),AVERAGE(Assumptions!$D$5,Assumptions!$F$5),(Assumptions!$F$5-Assumptions!$D$5)/3.29)*44</f>
        <v>1600667.9133746843</v>
      </c>
      <c r="D455" s="9">
        <f ca="1">_xlfn.NORM.INV(RAND(),AVERAGE(Assumptions!$D$6,Assumptions!$F$6),(Assumptions!$F$6-Assumptions!$D$6)/3.29)*RANDBETWEEN(2,5)</f>
        <v>825531.09392064996</v>
      </c>
      <c r="E455" s="12">
        <f ca="1">_xlfn.NORM.INV(RAND(),AVERAGE(Assumptions!$D$17,Assumptions!$F$17),(Assumptions!$F$17-Assumptions!$D$17)/3.29)*8</f>
        <v>1008847.2811533667</v>
      </c>
      <c r="F455" s="15">
        <f ca="1">_xlfn.NORM.INV(RAND(),AVERAGE(Assumptions!$D$7,Assumptions!$F$7),(Assumptions!$F$7-Assumptions!$D$7)/3.29)*RANDBETWEEN(1,3)</f>
        <v>2769714.8628209848</v>
      </c>
      <c r="G455" s="3">
        <f ca="1">_xlfn.NORM.INV(RAND(),AVERAGE(Assumptions!$D$8,Assumptions!$F$8),(Assumptions!$F$8-Assumptions!$D$8)/3.29)*44</f>
        <v>1004985.8586765832</v>
      </c>
      <c r="H455" s="6">
        <f ca="1">_xlfn.NORM.INV(RAND(),AVERAGE(Assumptions!$D$9,Assumptions!$F$9),(Assumptions!$F$9-Assumptions!$D$9)/3.29)*21</f>
        <v>3571775.4629862579</v>
      </c>
      <c r="I455" s="9">
        <f ca="1">_xlfn.NORM.INV(RAND(),AVERAGE(Assumptions!$D$10,Assumptions!$F$10),(Assumptions!$F$10-Assumptions!$D$10)/3.29)*21</f>
        <v>607378.0526352328</v>
      </c>
      <c r="J455" s="12">
        <f ca="1">NORMINV(RAND(),AVERAGE(Assumptions!$D$11,Assumptions!$F$11),(Assumptions!$F$11-Assumptions!$D$11)/3.29)*44</f>
        <v>5345592.6230741963</v>
      </c>
      <c r="K455" s="15">
        <f ca="1">_xlfn.NORM.INV(RAND(),AVERAGE(Assumptions!$D$12,Assumptions!$F$12),(Assumptions!$F$12-Assumptions!$D$12)/3.29)*44</f>
        <v>9449672.3378585689</v>
      </c>
      <c r="L455" s="3">
        <f ca="1">_xlfn.NORM.INV(RAND(),AVERAGE(Assumptions!$D$13,Assumptions!$F$13),(Assumptions!$F$13-Assumptions!$D$13)/3.29)*44</f>
        <v>13969378.016536282</v>
      </c>
      <c r="M455" s="6">
        <f ca="1">_xlfn.NORM.INV(RAND(),AVERAGE(Assumptions!$D$14,Assumptions!$F$14),(Assumptions!$F$14-Assumptions!$D$14)/3.29)*44</f>
        <v>6864810.118552587</v>
      </c>
      <c r="N455" s="9">
        <f ca="1">_xlfn.NORM.INV(RAND(),AVERAGE(Assumptions!$D$16,Assumptions!$F$16),(Assumptions!$F$16-Assumptions!$D$16)/3.29)*44</f>
        <v>14707638.321316939</v>
      </c>
      <c r="O455" s="12">
        <f ca="1">_xlfn.NORM.INV(RAND(),AVERAGE(Assumptions!$D$15,Assumptions!$F$15),(Assumptions!$F$15-Assumptions!$D$15)/3.29)*44</f>
        <v>78339672.631224051</v>
      </c>
      <c r="P455" s="15">
        <f>Assumptions!$D$18</f>
        <v>14641750.345627395</v>
      </c>
      <c r="Q455" s="3">
        <f t="shared" ca="1" si="14"/>
        <v>15323063.911216021</v>
      </c>
      <c r="R455" s="6">
        <f t="shared" ca="1" si="15"/>
        <v>29964814.256843418</v>
      </c>
    </row>
    <row r="456" spans="1:18">
      <c r="A456" s="20">
        <v>455</v>
      </c>
      <c r="B456" s="3">
        <f ca="1">_xlfn.NORM.INV(RAND(),AVERAGE(Assumptions!$D$4,Assumptions!$F$4),(Assumptions!$F$4-Assumptions!$D$4)/3.29)*44</f>
        <v>1211771.3813626657</v>
      </c>
      <c r="C456" s="6">
        <f ca="1">_xlfn.NORM.INV(RAND(),AVERAGE(Assumptions!$D$5,Assumptions!$F$5),(Assumptions!$F$5-Assumptions!$D$5)/3.29)*44</f>
        <v>1744223.9064830316</v>
      </c>
      <c r="D456" s="9">
        <f ca="1">_xlfn.NORM.INV(RAND(),AVERAGE(Assumptions!$D$6,Assumptions!$F$6),(Assumptions!$F$6-Assumptions!$D$6)/3.29)*RANDBETWEEN(2,5)</f>
        <v>5038391.7664704937</v>
      </c>
      <c r="E456" s="12">
        <f ca="1">_xlfn.NORM.INV(RAND(),AVERAGE(Assumptions!$D$17,Assumptions!$F$17),(Assumptions!$F$17-Assumptions!$D$17)/3.29)*8</f>
        <v>941495.89656931965</v>
      </c>
      <c r="F456" s="15">
        <f ca="1">_xlfn.NORM.INV(RAND(),AVERAGE(Assumptions!$D$7,Assumptions!$F$7),(Assumptions!$F$7-Assumptions!$D$7)/3.29)*RANDBETWEEN(1,3)</f>
        <v>4781762.5989460293</v>
      </c>
      <c r="G456" s="3">
        <f ca="1">_xlfn.NORM.INV(RAND(),AVERAGE(Assumptions!$D$8,Assumptions!$F$8),(Assumptions!$F$8-Assumptions!$D$8)/3.29)*44</f>
        <v>1324590.5100400485</v>
      </c>
      <c r="H456" s="6">
        <f ca="1">_xlfn.NORM.INV(RAND(),AVERAGE(Assumptions!$D$9,Assumptions!$F$9),(Assumptions!$F$9-Assumptions!$D$9)/3.29)*21</f>
        <v>4068758.3883170784</v>
      </c>
      <c r="I456" s="9">
        <f ca="1">_xlfn.NORM.INV(RAND(),AVERAGE(Assumptions!$D$10,Assumptions!$F$10),(Assumptions!$F$10-Assumptions!$D$10)/3.29)*21</f>
        <v>887632.48725887598</v>
      </c>
      <c r="J456" s="12">
        <f ca="1">NORMINV(RAND(),AVERAGE(Assumptions!$D$11,Assumptions!$F$11),(Assumptions!$F$11-Assumptions!$D$11)/3.29)*44</f>
        <v>2478141.0015786272</v>
      </c>
      <c r="K456" s="15">
        <f ca="1">_xlfn.NORM.INV(RAND(),AVERAGE(Assumptions!$D$12,Assumptions!$F$12),(Assumptions!$F$12-Assumptions!$D$12)/3.29)*44</f>
        <v>8815478.4748506919</v>
      </c>
      <c r="L456" s="3">
        <f ca="1">_xlfn.NORM.INV(RAND(),AVERAGE(Assumptions!$D$13,Assumptions!$F$13),(Assumptions!$F$13-Assumptions!$D$13)/3.29)*44</f>
        <v>10288167.357379196</v>
      </c>
      <c r="M456" s="6">
        <f ca="1">_xlfn.NORM.INV(RAND(),AVERAGE(Assumptions!$D$14,Assumptions!$F$14),(Assumptions!$F$14-Assumptions!$D$14)/3.29)*44</f>
        <v>5894292.5267622368</v>
      </c>
      <c r="N456" s="9">
        <f ca="1">_xlfn.NORM.INV(RAND(),AVERAGE(Assumptions!$D$16,Assumptions!$F$16),(Assumptions!$F$16-Assumptions!$D$16)/3.29)*44</f>
        <v>12989893.86304234</v>
      </c>
      <c r="O456" s="12">
        <f ca="1">_xlfn.NORM.INV(RAND(),AVERAGE(Assumptions!$D$15,Assumptions!$F$15),(Assumptions!$F$15-Assumptions!$D$15)/3.29)*44</f>
        <v>39174882.477388822</v>
      </c>
      <c r="P456" s="15">
        <f>Assumptions!$D$18</f>
        <v>14641750.345627395</v>
      </c>
      <c r="Q456" s="3">
        <f t="shared" ca="1" si="14"/>
        <v>-21289717.681671821</v>
      </c>
      <c r="R456" s="6">
        <f t="shared" ca="1" si="15"/>
        <v>-6647967.3360444251</v>
      </c>
    </row>
    <row r="457" spans="1:18">
      <c r="A457" s="20">
        <v>456</v>
      </c>
      <c r="B457" s="3">
        <f ca="1">_xlfn.NORM.INV(RAND(),AVERAGE(Assumptions!$D$4,Assumptions!$F$4),(Assumptions!$F$4-Assumptions!$D$4)/3.29)*44</f>
        <v>1191722.5553843975</v>
      </c>
      <c r="C457" s="6">
        <f ca="1">_xlfn.NORM.INV(RAND(),AVERAGE(Assumptions!$D$5,Assumptions!$F$5),(Assumptions!$F$5-Assumptions!$D$5)/3.29)*44</f>
        <v>1676114.9696979572</v>
      </c>
      <c r="D457" s="9">
        <f ca="1">_xlfn.NORM.INV(RAND(),AVERAGE(Assumptions!$D$6,Assumptions!$F$6),(Assumptions!$F$6-Assumptions!$D$6)/3.29)*RANDBETWEEN(2,5)</f>
        <v>4688157.0820989469</v>
      </c>
      <c r="E457" s="12">
        <f ca="1">_xlfn.NORM.INV(RAND(),AVERAGE(Assumptions!$D$17,Assumptions!$F$17),(Assumptions!$F$17-Assumptions!$D$17)/3.29)*8</f>
        <v>1117039.6552743248</v>
      </c>
      <c r="F457" s="15">
        <f ca="1">_xlfn.NORM.INV(RAND(),AVERAGE(Assumptions!$D$7,Assumptions!$F$7),(Assumptions!$F$7-Assumptions!$D$7)/3.29)*RANDBETWEEN(1,3)</f>
        <v>8136407.7585381428</v>
      </c>
      <c r="G457" s="3">
        <f ca="1">_xlfn.NORM.INV(RAND(),AVERAGE(Assumptions!$D$8,Assumptions!$F$8),(Assumptions!$F$8-Assumptions!$D$8)/3.29)*44</f>
        <v>1511935.4942948944</v>
      </c>
      <c r="H457" s="6">
        <f ca="1">_xlfn.NORM.INV(RAND(),AVERAGE(Assumptions!$D$9,Assumptions!$F$9),(Assumptions!$F$9-Assumptions!$D$9)/3.29)*21</f>
        <v>2191548.4042377784</v>
      </c>
      <c r="I457" s="9">
        <f ca="1">_xlfn.NORM.INV(RAND(),AVERAGE(Assumptions!$D$10,Assumptions!$F$10),(Assumptions!$F$10-Assumptions!$D$10)/3.29)*21</f>
        <v>536197.16071549419</v>
      </c>
      <c r="J457" s="12">
        <f ca="1">NORMINV(RAND(),AVERAGE(Assumptions!$D$11,Assumptions!$F$11),(Assumptions!$F$11-Assumptions!$D$11)/3.29)*44</f>
        <v>4307491.8694869494</v>
      </c>
      <c r="K457" s="15">
        <f ca="1">_xlfn.NORM.INV(RAND(),AVERAGE(Assumptions!$D$12,Assumptions!$F$12),(Assumptions!$F$12-Assumptions!$D$12)/3.29)*44</f>
        <v>7138708.552380668</v>
      </c>
      <c r="L457" s="3">
        <f ca="1">_xlfn.NORM.INV(RAND(),AVERAGE(Assumptions!$D$13,Assumptions!$F$13),(Assumptions!$F$13-Assumptions!$D$13)/3.29)*44</f>
        <v>6369799.3481156463</v>
      </c>
      <c r="M457" s="6">
        <f ca="1">_xlfn.NORM.INV(RAND(),AVERAGE(Assumptions!$D$14,Assumptions!$F$14),(Assumptions!$F$14-Assumptions!$D$14)/3.29)*44</f>
        <v>5997067.5030562812</v>
      </c>
      <c r="N457" s="9">
        <f ca="1">_xlfn.NORM.INV(RAND(),AVERAGE(Assumptions!$D$16,Assumptions!$F$16),(Assumptions!$F$16-Assumptions!$D$16)/3.29)*44</f>
        <v>6951297.2887489656</v>
      </c>
      <c r="O457" s="12">
        <f ca="1">_xlfn.NORM.INV(RAND(),AVERAGE(Assumptions!$D$15,Assumptions!$F$15),(Assumptions!$F$15-Assumptions!$D$15)/3.29)*44</f>
        <v>139164566.84244826</v>
      </c>
      <c r="P457" s="15">
        <f>Assumptions!$D$18</f>
        <v>14641750.345627395</v>
      </c>
      <c r="Q457" s="3">
        <f t="shared" ca="1" si="14"/>
        <v>87351079.200417817</v>
      </c>
      <c r="R457" s="6">
        <f t="shared" ca="1" si="15"/>
        <v>101992829.54604521</v>
      </c>
    </row>
    <row r="458" spans="1:18">
      <c r="A458" s="20">
        <v>457</v>
      </c>
      <c r="B458" s="3">
        <f ca="1">_xlfn.NORM.INV(RAND(),AVERAGE(Assumptions!$D$4,Assumptions!$F$4),(Assumptions!$F$4-Assumptions!$D$4)/3.29)*44</f>
        <v>1321447.3892408933</v>
      </c>
      <c r="C458" s="6">
        <f ca="1">_xlfn.NORM.INV(RAND(),AVERAGE(Assumptions!$D$5,Assumptions!$F$5),(Assumptions!$F$5-Assumptions!$D$5)/3.29)*44</f>
        <v>1948935.5156347433</v>
      </c>
      <c r="D458" s="9">
        <f ca="1">_xlfn.NORM.INV(RAND(),AVERAGE(Assumptions!$D$6,Assumptions!$F$6),(Assumptions!$F$6-Assumptions!$D$6)/3.29)*RANDBETWEEN(2,5)</f>
        <v>6856947.4203493483</v>
      </c>
      <c r="E458" s="12">
        <f ca="1">_xlfn.NORM.INV(RAND(),AVERAGE(Assumptions!$D$17,Assumptions!$F$17),(Assumptions!$F$17-Assumptions!$D$17)/3.29)*8</f>
        <v>1074716.9362100458</v>
      </c>
      <c r="F458" s="15">
        <f ca="1">_xlfn.NORM.INV(RAND(),AVERAGE(Assumptions!$D$7,Assumptions!$F$7),(Assumptions!$F$7-Assumptions!$D$7)/3.29)*RANDBETWEEN(1,3)</f>
        <v>8391983.1981857382</v>
      </c>
      <c r="G458" s="3">
        <f ca="1">_xlfn.NORM.INV(RAND(),AVERAGE(Assumptions!$D$8,Assumptions!$F$8),(Assumptions!$F$8-Assumptions!$D$8)/3.29)*44</f>
        <v>1409268.5652109021</v>
      </c>
      <c r="H458" s="6">
        <f ca="1">_xlfn.NORM.INV(RAND(),AVERAGE(Assumptions!$D$9,Assumptions!$F$9),(Assumptions!$F$9-Assumptions!$D$9)/3.29)*21</f>
        <v>3381534.6506485846</v>
      </c>
      <c r="I458" s="9">
        <f ca="1">_xlfn.NORM.INV(RAND(),AVERAGE(Assumptions!$D$10,Assumptions!$F$10),(Assumptions!$F$10-Assumptions!$D$10)/3.29)*21</f>
        <v>497495.69221209374</v>
      </c>
      <c r="J458" s="12">
        <f ca="1">NORMINV(RAND(),AVERAGE(Assumptions!$D$11,Assumptions!$F$11),(Assumptions!$F$11-Assumptions!$D$11)/3.29)*44</f>
        <v>4119726.8370649205</v>
      </c>
      <c r="K458" s="15">
        <f ca="1">_xlfn.NORM.INV(RAND(),AVERAGE(Assumptions!$D$12,Assumptions!$F$12),(Assumptions!$F$12-Assumptions!$D$12)/3.29)*44</f>
        <v>7682702.4577484606</v>
      </c>
      <c r="L458" s="3">
        <f ca="1">_xlfn.NORM.INV(RAND(),AVERAGE(Assumptions!$D$13,Assumptions!$F$13),(Assumptions!$F$13-Assumptions!$D$13)/3.29)*44</f>
        <v>9931656.9526596274</v>
      </c>
      <c r="M458" s="6">
        <f ca="1">_xlfn.NORM.INV(RAND(),AVERAGE(Assumptions!$D$14,Assumptions!$F$14),(Assumptions!$F$14-Assumptions!$D$14)/3.29)*44</f>
        <v>5609750.7064747941</v>
      </c>
      <c r="N458" s="9">
        <f ca="1">_xlfn.NORM.INV(RAND(),AVERAGE(Assumptions!$D$16,Assumptions!$F$16),(Assumptions!$F$16-Assumptions!$D$16)/3.29)*44</f>
        <v>2158305.5549764214</v>
      </c>
      <c r="O458" s="12">
        <f ca="1">_xlfn.NORM.INV(RAND(),AVERAGE(Assumptions!$D$15,Assumptions!$F$15),(Assumptions!$F$15-Assumptions!$D$15)/3.29)*44</f>
        <v>107666218.09993926</v>
      </c>
      <c r="P458" s="15">
        <f>Assumptions!$D$18</f>
        <v>14641750.345627395</v>
      </c>
      <c r="Q458" s="3">
        <f t="shared" ca="1" si="14"/>
        <v>53281746.223322682</v>
      </c>
      <c r="R458" s="6">
        <f t="shared" ca="1" si="15"/>
        <v>67923496.568950072</v>
      </c>
    </row>
    <row r="459" spans="1:18">
      <c r="A459" s="20">
        <v>458</v>
      </c>
      <c r="B459" s="3">
        <f ca="1">_xlfn.NORM.INV(RAND(),AVERAGE(Assumptions!$D$4,Assumptions!$F$4),(Assumptions!$F$4-Assumptions!$D$4)/3.29)*44</f>
        <v>1087845.6683753971</v>
      </c>
      <c r="C459" s="6">
        <f ca="1">_xlfn.NORM.INV(RAND(),AVERAGE(Assumptions!$D$5,Assumptions!$F$5),(Assumptions!$F$5-Assumptions!$D$5)/3.29)*44</f>
        <v>2018675.7638336765</v>
      </c>
      <c r="D459" s="9">
        <f ca="1">_xlfn.NORM.INV(RAND(),AVERAGE(Assumptions!$D$6,Assumptions!$F$6),(Assumptions!$F$6-Assumptions!$D$6)/3.29)*RANDBETWEEN(2,5)</f>
        <v>4146418.5441105147</v>
      </c>
      <c r="E459" s="12">
        <f ca="1">_xlfn.NORM.INV(RAND(),AVERAGE(Assumptions!$D$17,Assumptions!$F$17),(Assumptions!$F$17-Assumptions!$D$17)/3.29)*8</f>
        <v>713431.90281522099</v>
      </c>
      <c r="F459" s="15">
        <f ca="1">_xlfn.NORM.INV(RAND(),AVERAGE(Assumptions!$D$7,Assumptions!$F$7),(Assumptions!$F$7-Assumptions!$D$7)/3.29)*RANDBETWEEN(1,3)</f>
        <v>10267074.322261959</v>
      </c>
      <c r="G459" s="3">
        <f ca="1">_xlfn.NORM.INV(RAND(),AVERAGE(Assumptions!$D$8,Assumptions!$F$8),(Assumptions!$F$8-Assumptions!$D$8)/3.29)*44</f>
        <v>1448314.2195185074</v>
      </c>
      <c r="H459" s="6">
        <f ca="1">_xlfn.NORM.INV(RAND(),AVERAGE(Assumptions!$D$9,Assumptions!$F$9),(Assumptions!$F$9-Assumptions!$D$9)/3.29)*21</f>
        <v>5072152.6547278631</v>
      </c>
      <c r="I459" s="9">
        <f ca="1">_xlfn.NORM.INV(RAND(),AVERAGE(Assumptions!$D$10,Assumptions!$F$10),(Assumptions!$F$10-Assumptions!$D$10)/3.29)*21</f>
        <v>859450.10423338204</v>
      </c>
      <c r="J459" s="12">
        <f ca="1">NORMINV(RAND(),AVERAGE(Assumptions!$D$11,Assumptions!$F$11),(Assumptions!$F$11-Assumptions!$D$11)/3.29)*44</f>
        <v>4301276.8298295178</v>
      </c>
      <c r="K459" s="15">
        <f ca="1">_xlfn.NORM.INV(RAND(),AVERAGE(Assumptions!$D$12,Assumptions!$F$12),(Assumptions!$F$12-Assumptions!$D$12)/3.29)*44</f>
        <v>6318655.3658992592</v>
      </c>
      <c r="L459" s="3">
        <f ca="1">_xlfn.NORM.INV(RAND(),AVERAGE(Assumptions!$D$13,Assumptions!$F$13),(Assumptions!$F$13-Assumptions!$D$13)/3.29)*44</f>
        <v>15073101.840086944</v>
      </c>
      <c r="M459" s="6">
        <f ca="1">_xlfn.NORM.INV(RAND(),AVERAGE(Assumptions!$D$14,Assumptions!$F$14),(Assumptions!$F$14-Assumptions!$D$14)/3.29)*44</f>
        <v>5718950.2484394321</v>
      </c>
      <c r="N459" s="9">
        <f ca="1">_xlfn.NORM.INV(RAND(),AVERAGE(Assumptions!$D$16,Assumptions!$F$16),(Assumptions!$F$16-Assumptions!$D$16)/3.29)*44</f>
        <v>1333338.9920870224</v>
      </c>
      <c r="O459" s="12">
        <f ca="1">_xlfn.NORM.INV(RAND(),AVERAGE(Assumptions!$D$15,Assumptions!$F$15),(Assumptions!$F$15-Assumptions!$D$15)/3.29)*44</f>
        <v>133756055.53676444</v>
      </c>
      <c r="P459" s="15">
        <f>Assumptions!$D$18</f>
        <v>14641750.345627395</v>
      </c>
      <c r="Q459" s="3">
        <f t="shared" ca="1" si="14"/>
        <v>75397369.080545753</v>
      </c>
      <c r="R459" s="6">
        <f t="shared" ca="1" si="15"/>
        <v>90039119.426173151</v>
      </c>
    </row>
    <row r="460" spans="1:18">
      <c r="A460" s="20">
        <v>459</v>
      </c>
      <c r="B460" s="3">
        <f ca="1">_xlfn.NORM.INV(RAND(),AVERAGE(Assumptions!$D$4,Assumptions!$F$4),(Assumptions!$F$4-Assumptions!$D$4)/3.29)*44</f>
        <v>1235513.075319157</v>
      </c>
      <c r="C460" s="6">
        <f ca="1">_xlfn.NORM.INV(RAND(),AVERAGE(Assumptions!$D$5,Assumptions!$F$5),(Assumptions!$F$5-Assumptions!$D$5)/3.29)*44</f>
        <v>1964255.9563276905</v>
      </c>
      <c r="D460" s="9">
        <f ca="1">_xlfn.NORM.INV(RAND(),AVERAGE(Assumptions!$D$6,Assumptions!$F$6),(Assumptions!$F$6-Assumptions!$D$6)/3.29)*RANDBETWEEN(2,5)</f>
        <v>1777264.9130139365</v>
      </c>
      <c r="E460" s="12">
        <f ca="1">_xlfn.NORM.INV(RAND(),AVERAGE(Assumptions!$D$17,Assumptions!$F$17),(Assumptions!$F$17-Assumptions!$D$17)/3.29)*8</f>
        <v>948603.36887846375</v>
      </c>
      <c r="F460" s="15">
        <f ca="1">_xlfn.NORM.INV(RAND(),AVERAGE(Assumptions!$D$7,Assumptions!$F$7),(Assumptions!$F$7-Assumptions!$D$7)/3.29)*RANDBETWEEN(1,3)</f>
        <v>5707326.5478467876</v>
      </c>
      <c r="G460" s="3">
        <f ca="1">_xlfn.NORM.INV(RAND(),AVERAGE(Assumptions!$D$8,Assumptions!$F$8),(Assumptions!$F$8-Assumptions!$D$8)/3.29)*44</f>
        <v>1218151.8119699329</v>
      </c>
      <c r="H460" s="6">
        <f ca="1">_xlfn.NORM.INV(RAND(),AVERAGE(Assumptions!$D$9,Assumptions!$F$9),(Assumptions!$F$9-Assumptions!$D$9)/3.29)*21</f>
        <v>3990263.9063121998</v>
      </c>
      <c r="I460" s="9">
        <f ca="1">_xlfn.NORM.INV(RAND(),AVERAGE(Assumptions!$D$10,Assumptions!$F$10),(Assumptions!$F$10-Assumptions!$D$10)/3.29)*21</f>
        <v>918217.9849927196</v>
      </c>
      <c r="J460" s="12">
        <f ca="1">NORMINV(RAND(),AVERAGE(Assumptions!$D$11,Assumptions!$F$11),(Assumptions!$F$11-Assumptions!$D$11)/3.29)*44</f>
        <v>4547412.3323101783</v>
      </c>
      <c r="K460" s="15">
        <f ca="1">_xlfn.NORM.INV(RAND(),AVERAGE(Assumptions!$D$12,Assumptions!$F$12),(Assumptions!$F$12-Assumptions!$D$12)/3.29)*44</f>
        <v>7229740.2215738231</v>
      </c>
      <c r="L460" s="3">
        <f ca="1">_xlfn.NORM.INV(RAND(),AVERAGE(Assumptions!$D$13,Assumptions!$F$13),(Assumptions!$F$13-Assumptions!$D$13)/3.29)*44</f>
        <v>16388721.973966165</v>
      </c>
      <c r="M460" s="6">
        <f ca="1">_xlfn.NORM.INV(RAND(),AVERAGE(Assumptions!$D$14,Assumptions!$F$14),(Assumptions!$F$14-Assumptions!$D$14)/3.29)*44</f>
        <v>6487541.7825664459</v>
      </c>
      <c r="N460" s="9">
        <f ca="1">_xlfn.NORM.INV(RAND(),AVERAGE(Assumptions!$D$16,Assumptions!$F$16),(Assumptions!$F$16-Assumptions!$D$16)/3.29)*44</f>
        <v>13299401.855204893</v>
      </c>
      <c r="O460" s="12">
        <f ca="1">_xlfn.NORM.INV(RAND(),AVERAGE(Assumptions!$D$15,Assumptions!$F$15),(Assumptions!$F$15-Assumptions!$D$15)/3.29)*44</f>
        <v>54789664.17991256</v>
      </c>
      <c r="P460" s="15">
        <f>Assumptions!$D$18</f>
        <v>14641750.345627395</v>
      </c>
      <c r="Q460" s="3">
        <f t="shared" ca="1" si="14"/>
        <v>-10922751.550369829</v>
      </c>
      <c r="R460" s="6">
        <f t="shared" ca="1" si="15"/>
        <v>3718998.7952575665</v>
      </c>
    </row>
    <row r="461" spans="1:18">
      <c r="A461" s="20">
        <v>460</v>
      </c>
      <c r="B461" s="3">
        <f ca="1">_xlfn.NORM.INV(RAND(),AVERAGE(Assumptions!$D$4,Assumptions!$F$4),(Assumptions!$F$4-Assumptions!$D$4)/3.29)*44</f>
        <v>1229400.5518606983</v>
      </c>
      <c r="C461" s="6">
        <f ca="1">_xlfn.NORM.INV(RAND(),AVERAGE(Assumptions!$D$5,Assumptions!$F$5),(Assumptions!$F$5-Assumptions!$D$5)/3.29)*44</f>
        <v>1898301.0699356119</v>
      </c>
      <c r="D461" s="9">
        <f ca="1">_xlfn.NORM.INV(RAND(),AVERAGE(Assumptions!$D$6,Assumptions!$F$6),(Assumptions!$F$6-Assumptions!$D$6)/3.29)*RANDBETWEEN(2,5)</f>
        <v>1772071.5196807471</v>
      </c>
      <c r="E461" s="12">
        <f ca="1">_xlfn.NORM.INV(RAND(),AVERAGE(Assumptions!$D$17,Assumptions!$F$17),(Assumptions!$F$17-Assumptions!$D$17)/3.29)*8</f>
        <v>1040493.8384123439</v>
      </c>
      <c r="F461" s="15">
        <f ca="1">_xlfn.NORM.INV(RAND(),AVERAGE(Assumptions!$D$7,Assumptions!$F$7),(Assumptions!$F$7-Assumptions!$D$7)/3.29)*RANDBETWEEN(1,3)</f>
        <v>6639906.9186399328</v>
      </c>
      <c r="G461" s="3">
        <f ca="1">_xlfn.NORM.INV(RAND(),AVERAGE(Assumptions!$D$8,Assumptions!$F$8),(Assumptions!$F$8-Assumptions!$D$8)/3.29)*44</f>
        <v>1105589.7298468817</v>
      </c>
      <c r="H461" s="6">
        <f ca="1">_xlfn.NORM.INV(RAND(),AVERAGE(Assumptions!$D$9,Assumptions!$F$9),(Assumptions!$F$9-Assumptions!$D$9)/3.29)*21</f>
        <v>5152558.3648282746</v>
      </c>
      <c r="I461" s="9">
        <f ca="1">_xlfn.NORM.INV(RAND(),AVERAGE(Assumptions!$D$10,Assumptions!$F$10),(Assumptions!$F$10-Assumptions!$D$10)/3.29)*21</f>
        <v>1019497.2742400941</v>
      </c>
      <c r="J461" s="12">
        <f ca="1">NORMINV(RAND(),AVERAGE(Assumptions!$D$11,Assumptions!$F$11),(Assumptions!$F$11-Assumptions!$D$11)/3.29)*44</f>
        <v>4211647.7562188292</v>
      </c>
      <c r="K461" s="15">
        <f ca="1">_xlfn.NORM.INV(RAND(),AVERAGE(Assumptions!$D$12,Assumptions!$F$12),(Assumptions!$F$12-Assumptions!$D$12)/3.29)*44</f>
        <v>6471339.4317306746</v>
      </c>
      <c r="L461" s="3">
        <f ca="1">_xlfn.NORM.INV(RAND(),AVERAGE(Assumptions!$D$13,Assumptions!$F$13),(Assumptions!$F$13-Assumptions!$D$13)/3.29)*44</f>
        <v>12611445.253394382</v>
      </c>
      <c r="M461" s="6">
        <f ca="1">_xlfn.NORM.INV(RAND(),AVERAGE(Assumptions!$D$14,Assumptions!$F$14),(Assumptions!$F$14-Assumptions!$D$14)/3.29)*44</f>
        <v>4995029.8915566094</v>
      </c>
      <c r="N461" s="9">
        <f ca="1">_xlfn.NORM.INV(RAND(),AVERAGE(Assumptions!$D$16,Assumptions!$F$16),(Assumptions!$F$16-Assumptions!$D$16)/3.29)*44</f>
        <v>5806094.8063550489</v>
      </c>
      <c r="O461" s="12">
        <f ca="1">_xlfn.NORM.INV(RAND(),AVERAGE(Assumptions!$D$15,Assumptions!$F$15),(Assumptions!$F$15-Assumptions!$D$15)/3.29)*44</f>
        <v>84944767.465456828</v>
      </c>
      <c r="P461" s="15">
        <f>Assumptions!$D$18</f>
        <v>14641750.345627395</v>
      </c>
      <c r="Q461" s="3">
        <f t="shared" ca="1" si="14"/>
        <v>30991391.058756702</v>
      </c>
      <c r="R461" s="6">
        <f t="shared" ca="1" si="15"/>
        <v>45633141.404384099</v>
      </c>
    </row>
    <row r="462" spans="1:18">
      <c r="A462" s="20">
        <v>461</v>
      </c>
      <c r="B462" s="3">
        <f ca="1">_xlfn.NORM.INV(RAND(),AVERAGE(Assumptions!$D$4,Assumptions!$F$4),(Assumptions!$F$4-Assumptions!$D$4)/3.29)*44</f>
        <v>1202245.9332970527</v>
      </c>
      <c r="C462" s="6">
        <f ca="1">_xlfn.NORM.INV(RAND(),AVERAGE(Assumptions!$D$5,Assumptions!$F$5),(Assumptions!$F$5-Assumptions!$D$5)/3.29)*44</f>
        <v>1861877.2651002167</v>
      </c>
      <c r="D462" s="9">
        <f ca="1">_xlfn.NORM.INV(RAND(),AVERAGE(Assumptions!$D$6,Assumptions!$F$6),(Assumptions!$F$6-Assumptions!$D$6)/3.29)*RANDBETWEEN(2,5)</f>
        <v>7293464.2153307758</v>
      </c>
      <c r="E462" s="12">
        <f ca="1">_xlfn.NORM.INV(RAND(),AVERAGE(Assumptions!$D$17,Assumptions!$F$17),(Assumptions!$F$17-Assumptions!$D$17)/3.29)*8</f>
        <v>866524.62083622941</v>
      </c>
      <c r="F462" s="15">
        <f ca="1">_xlfn.NORM.INV(RAND(),AVERAGE(Assumptions!$D$7,Assumptions!$F$7),(Assumptions!$F$7-Assumptions!$D$7)/3.29)*RANDBETWEEN(1,3)</f>
        <v>1943073.0819453406</v>
      </c>
      <c r="G462" s="3">
        <f ca="1">_xlfn.NORM.INV(RAND(),AVERAGE(Assumptions!$D$8,Assumptions!$F$8),(Assumptions!$F$8-Assumptions!$D$8)/3.29)*44</f>
        <v>1354204.7986938222</v>
      </c>
      <c r="H462" s="6">
        <f ca="1">_xlfn.NORM.INV(RAND(),AVERAGE(Assumptions!$D$9,Assumptions!$F$9),(Assumptions!$F$9-Assumptions!$D$9)/3.29)*21</f>
        <v>4628442.0442366851</v>
      </c>
      <c r="I462" s="9">
        <f ca="1">_xlfn.NORM.INV(RAND(),AVERAGE(Assumptions!$D$10,Assumptions!$F$10),(Assumptions!$F$10-Assumptions!$D$10)/3.29)*21</f>
        <v>1146692.4183508875</v>
      </c>
      <c r="J462" s="12">
        <f ca="1">NORMINV(RAND(),AVERAGE(Assumptions!$D$11,Assumptions!$F$11),(Assumptions!$F$11-Assumptions!$D$11)/3.29)*44</f>
        <v>5287113.8741666218</v>
      </c>
      <c r="K462" s="15">
        <f ca="1">_xlfn.NORM.INV(RAND(),AVERAGE(Assumptions!$D$12,Assumptions!$F$12),(Assumptions!$F$12-Assumptions!$D$12)/3.29)*44</f>
        <v>7326279.257243298</v>
      </c>
      <c r="L462" s="3">
        <f ca="1">_xlfn.NORM.INV(RAND(),AVERAGE(Assumptions!$D$13,Assumptions!$F$13),(Assumptions!$F$13-Assumptions!$D$13)/3.29)*44</f>
        <v>16686899.803770378</v>
      </c>
      <c r="M462" s="6">
        <f ca="1">_xlfn.NORM.INV(RAND(),AVERAGE(Assumptions!$D$14,Assumptions!$F$14),(Assumptions!$F$14-Assumptions!$D$14)/3.29)*44</f>
        <v>6802072.0495880581</v>
      </c>
      <c r="N462" s="9">
        <f ca="1">_xlfn.NORM.INV(RAND(),AVERAGE(Assumptions!$D$16,Assumptions!$F$16),(Assumptions!$F$16-Assumptions!$D$16)/3.29)*44</f>
        <v>6535383.9820306189</v>
      </c>
      <c r="O462" s="12">
        <f ca="1">_xlfn.NORM.INV(RAND(),AVERAGE(Assumptions!$D$15,Assumptions!$F$15),(Assumptions!$F$15-Assumptions!$D$15)/3.29)*44</f>
        <v>95914513.687055379</v>
      </c>
      <c r="P462" s="15">
        <f>Assumptions!$D$18</f>
        <v>14641750.345627395</v>
      </c>
      <c r="Q462" s="3">
        <f t="shared" ca="1" si="14"/>
        <v>32980240.342465401</v>
      </c>
      <c r="R462" s="6">
        <f t="shared" ca="1" si="15"/>
        <v>47621990.688092798</v>
      </c>
    </row>
    <row r="463" spans="1:18">
      <c r="A463" s="20">
        <v>462</v>
      </c>
      <c r="B463" s="3">
        <f ca="1">_xlfn.NORM.INV(RAND(),AVERAGE(Assumptions!$D$4,Assumptions!$F$4),(Assumptions!$F$4-Assumptions!$D$4)/3.29)*44</f>
        <v>1184348.8690052233</v>
      </c>
      <c r="C463" s="6">
        <f ca="1">_xlfn.NORM.INV(RAND(),AVERAGE(Assumptions!$D$5,Assumptions!$F$5),(Assumptions!$F$5-Assumptions!$D$5)/3.29)*44</f>
        <v>1613144.6041729893</v>
      </c>
      <c r="D463" s="9">
        <f ca="1">_xlfn.NORM.INV(RAND(),AVERAGE(Assumptions!$D$6,Assumptions!$F$6),(Assumptions!$F$6-Assumptions!$D$6)/3.29)*RANDBETWEEN(2,5)</f>
        <v>7929716.2262326125</v>
      </c>
      <c r="E463" s="12">
        <f ca="1">_xlfn.NORM.INV(RAND(),AVERAGE(Assumptions!$D$17,Assumptions!$F$17),(Assumptions!$F$17-Assumptions!$D$17)/3.29)*8</f>
        <v>834691.90231022844</v>
      </c>
      <c r="F463" s="15">
        <f ca="1">_xlfn.NORM.INV(RAND(),AVERAGE(Assumptions!$D$7,Assumptions!$F$7),(Assumptions!$F$7-Assumptions!$D$7)/3.29)*RANDBETWEEN(1,3)</f>
        <v>3753298.6491787042</v>
      </c>
      <c r="G463" s="3">
        <f ca="1">_xlfn.NORM.INV(RAND(),AVERAGE(Assumptions!$D$8,Assumptions!$F$8),(Assumptions!$F$8-Assumptions!$D$8)/3.29)*44</f>
        <v>1239626.4724895936</v>
      </c>
      <c r="H463" s="6">
        <f ca="1">_xlfn.NORM.INV(RAND(),AVERAGE(Assumptions!$D$9,Assumptions!$F$9),(Assumptions!$F$9-Assumptions!$D$9)/3.29)*21</f>
        <v>4989454.0466499487</v>
      </c>
      <c r="I463" s="9">
        <f ca="1">_xlfn.NORM.INV(RAND(),AVERAGE(Assumptions!$D$10,Assumptions!$F$10),(Assumptions!$F$10-Assumptions!$D$10)/3.29)*21</f>
        <v>961025.01913276571</v>
      </c>
      <c r="J463" s="12">
        <f ca="1">NORMINV(RAND(),AVERAGE(Assumptions!$D$11,Assumptions!$F$11),(Assumptions!$F$11-Assumptions!$D$11)/3.29)*44</f>
        <v>3213170.8770565111</v>
      </c>
      <c r="K463" s="15">
        <f ca="1">_xlfn.NORM.INV(RAND(),AVERAGE(Assumptions!$D$12,Assumptions!$F$12),(Assumptions!$F$12-Assumptions!$D$12)/3.29)*44</f>
        <v>7560119.6621848987</v>
      </c>
      <c r="L463" s="3">
        <f ca="1">_xlfn.NORM.INV(RAND(),AVERAGE(Assumptions!$D$13,Assumptions!$F$13),(Assumptions!$F$13-Assumptions!$D$13)/3.29)*44</f>
        <v>15704644.761942703</v>
      </c>
      <c r="M463" s="6">
        <f ca="1">_xlfn.NORM.INV(RAND(),AVERAGE(Assumptions!$D$14,Assumptions!$F$14),(Assumptions!$F$14-Assumptions!$D$14)/3.29)*44</f>
        <v>4815187.4972022371</v>
      </c>
      <c r="N463" s="9">
        <f ca="1">_xlfn.NORM.INV(RAND(),AVERAGE(Assumptions!$D$16,Assumptions!$F$16),(Assumptions!$F$16-Assumptions!$D$16)/3.29)*44</f>
        <v>7743368.4217749974</v>
      </c>
      <c r="O463" s="12">
        <f ca="1">_xlfn.NORM.INV(RAND(),AVERAGE(Assumptions!$D$15,Assumptions!$F$15),(Assumptions!$F$15-Assumptions!$D$15)/3.29)*44</f>
        <v>154353822.06695712</v>
      </c>
      <c r="P463" s="15">
        <f>Assumptions!$D$18</f>
        <v>14641750.345627395</v>
      </c>
      <c r="Q463" s="3">
        <f t="shared" ca="1" si="14"/>
        <v>92812025.057623699</v>
      </c>
      <c r="R463" s="6">
        <f t="shared" ca="1" si="15"/>
        <v>107453775.4032511</v>
      </c>
    </row>
    <row r="464" spans="1:18">
      <c r="A464" s="20">
        <v>463</v>
      </c>
      <c r="B464" s="3">
        <f ca="1">_xlfn.NORM.INV(RAND(),AVERAGE(Assumptions!$D$4,Assumptions!$F$4),(Assumptions!$F$4-Assumptions!$D$4)/3.29)*44</f>
        <v>1190156.3284381642</v>
      </c>
      <c r="C464" s="6">
        <f ca="1">_xlfn.NORM.INV(RAND(),AVERAGE(Assumptions!$D$5,Assumptions!$F$5),(Assumptions!$F$5-Assumptions!$D$5)/3.29)*44</f>
        <v>1785579.5374168498</v>
      </c>
      <c r="D464" s="9">
        <f ca="1">_xlfn.NORM.INV(RAND(),AVERAGE(Assumptions!$D$6,Assumptions!$F$6),(Assumptions!$F$6-Assumptions!$D$6)/3.29)*RANDBETWEEN(2,5)</f>
        <v>7391649.8205240052</v>
      </c>
      <c r="E464" s="12">
        <f ca="1">_xlfn.NORM.INV(RAND(),AVERAGE(Assumptions!$D$17,Assumptions!$F$17),(Assumptions!$F$17-Assumptions!$D$17)/3.29)*8</f>
        <v>857715.73695255292</v>
      </c>
      <c r="F464" s="15">
        <f ca="1">_xlfn.NORM.INV(RAND(),AVERAGE(Assumptions!$D$7,Assumptions!$F$7),(Assumptions!$F$7-Assumptions!$D$7)/3.29)*RANDBETWEEN(1,3)</f>
        <v>4456998.1630810788</v>
      </c>
      <c r="G464" s="3">
        <f ca="1">_xlfn.NORM.INV(RAND(),AVERAGE(Assumptions!$D$8,Assumptions!$F$8),(Assumptions!$F$8-Assumptions!$D$8)/3.29)*44</f>
        <v>1149307.5118090673</v>
      </c>
      <c r="H464" s="6">
        <f ca="1">_xlfn.NORM.INV(RAND(),AVERAGE(Assumptions!$D$9,Assumptions!$F$9),(Assumptions!$F$9-Assumptions!$D$9)/3.29)*21</f>
        <v>3611563.0842942083</v>
      </c>
      <c r="I464" s="9">
        <f ca="1">_xlfn.NORM.INV(RAND(),AVERAGE(Assumptions!$D$10,Assumptions!$F$10),(Assumptions!$F$10-Assumptions!$D$10)/3.29)*21</f>
        <v>862507.8847153791</v>
      </c>
      <c r="J464" s="12">
        <f ca="1">NORMINV(RAND(),AVERAGE(Assumptions!$D$11,Assumptions!$F$11),(Assumptions!$F$11-Assumptions!$D$11)/3.29)*44</f>
        <v>3604863.0986522944</v>
      </c>
      <c r="K464" s="15">
        <f ca="1">_xlfn.NORM.INV(RAND(),AVERAGE(Assumptions!$D$12,Assumptions!$F$12),(Assumptions!$F$12-Assumptions!$D$12)/3.29)*44</f>
        <v>8640968.0348870028</v>
      </c>
      <c r="L464" s="3">
        <f ca="1">_xlfn.NORM.INV(RAND(),AVERAGE(Assumptions!$D$13,Assumptions!$F$13),(Assumptions!$F$13-Assumptions!$D$13)/3.29)*44</f>
        <v>4345142.3984320555</v>
      </c>
      <c r="M464" s="6">
        <f ca="1">_xlfn.NORM.INV(RAND(),AVERAGE(Assumptions!$D$14,Assumptions!$F$14),(Assumptions!$F$14-Assumptions!$D$14)/3.29)*44</f>
        <v>5559066.6145548578</v>
      </c>
      <c r="N464" s="9">
        <f ca="1">_xlfn.NORM.INV(RAND(),AVERAGE(Assumptions!$D$16,Assumptions!$F$16),(Assumptions!$F$16-Assumptions!$D$16)/3.29)*44</f>
        <v>11715831.574138422</v>
      </c>
      <c r="O464" s="12">
        <f ca="1">_xlfn.NORM.INV(RAND(),AVERAGE(Assumptions!$D$15,Assumptions!$F$15),(Assumptions!$F$15-Assumptions!$D$15)/3.29)*44</f>
        <v>90309742.180622041</v>
      </c>
      <c r="P464" s="15">
        <f>Assumptions!$D$18</f>
        <v>14641750.345627395</v>
      </c>
      <c r="Q464" s="3">
        <f t="shared" ca="1" si="14"/>
        <v>35138392.392726101</v>
      </c>
      <c r="R464" s="6">
        <f t="shared" ca="1" si="15"/>
        <v>49780142.738353498</v>
      </c>
    </row>
    <row r="465" spans="1:18">
      <c r="A465" s="20">
        <v>464</v>
      </c>
      <c r="B465" s="3">
        <f ca="1">_xlfn.NORM.INV(RAND(),AVERAGE(Assumptions!$D$4,Assumptions!$F$4),(Assumptions!$F$4-Assumptions!$D$4)/3.29)*44</f>
        <v>1210847.5932486572</v>
      </c>
      <c r="C465" s="6">
        <f ca="1">_xlfn.NORM.INV(RAND(),AVERAGE(Assumptions!$D$5,Assumptions!$F$5),(Assumptions!$F$5-Assumptions!$D$5)/3.29)*44</f>
        <v>1730530.9338099048</v>
      </c>
      <c r="D465" s="9">
        <f ca="1">_xlfn.NORM.INV(RAND(),AVERAGE(Assumptions!$D$6,Assumptions!$F$6),(Assumptions!$F$6-Assumptions!$D$6)/3.29)*RANDBETWEEN(2,5)</f>
        <v>7830783.6168758571</v>
      </c>
      <c r="E465" s="12">
        <f ca="1">_xlfn.NORM.INV(RAND(),AVERAGE(Assumptions!$D$17,Assumptions!$F$17),(Assumptions!$F$17-Assumptions!$D$17)/3.29)*8</f>
        <v>809633.54968418926</v>
      </c>
      <c r="F465" s="15">
        <f ca="1">_xlfn.NORM.INV(RAND(),AVERAGE(Assumptions!$D$7,Assumptions!$F$7),(Assumptions!$F$7-Assumptions!$D$7)/3.29)*RANDBETWEEN(1,3)</f>
        <v>3616818.9009789648</v>
      </c>
      <c r="G465" s="3">
        <f ca="1">_xlfn.NORM.INV(RAND(),AVERAGE(Assumptions!$D$8,Assumptions!$F$8),(Assumptions!$F$8-Assumptions!$D$8)/3.29)*44</f>
        <v>915420.30391281168</v>
      </c>
      <c r="H465" s="6">
        <f ca="1">_xlfn.NORM.INV(RAND(),AVERAGE(Assumptions!$D$9,Assumptions!$F$9),(Assumptions!$F$9-Assumptions!$D$9)/3.29)*21</f>
        <v>5406324.6168545363</v>
      </c>
      <c r="I465" s="9">
        <f ca="1">_xlfn.NORM.INV(RAND(),AVERAGE(Assumptions!$D$10,Assumptions!$F$10),(Assumptions!$F$10-Assumptions!$D$10)/3.29)*21</f>
        <v>862933.28068112291</v>
      </c>
      <c r="J465" s="12">
        <f ca="1">NORMINV(RAND(),AVERAGE(Assumptions!$D$11,Assumptions!$F$11),(Assumptions!$F$11-Assumptions!$D$11)/3.29)*44</f>
        <v>3421894.6532427603</v>
      </c>
      <c r="K465" s="15">
        <f ca="1">_xlfn.NORM.INV(RAND(),AVERAGE(Assumptions!$D$12,Assumptions!$F$12),(Assumptions!$F$12-Assumptions!$D$12)/3.29)*44</f>
        <v>7910950.3819068121</v>
      </c>
      <c r="L465" s="3">
        <f ca="1">_xlfn.NORM.INV(RAND(),AVERAGE(Assumptions!$D$13,Assumptions!$F$13),(Assumptions!$F$13-Assumptions!$D$13)/3.29)*44</f>
        <v>8177465.7419443727</v>
      </c>
      <c r="M465" s="6">
        <f ca="1">_xlfn.NORM.INV(RAND(),AVERAGE(Assumptions!$D$14,Assumptions!$F$14),(Assumptions!$F$14-Assumptions!$D$14)/3.29)*44</f>
        <v>5634249.7174566593</v>
      </c>
      <c r="N465" s="9">
        <f ca="1">_xlfn.NORM.INV(RAND(),AVERAGE(Assumptions!$D$16,Assumptions!$F$16),(Assumptions!$F$16-Assumptions!$D$16)/3.29)*44</f>
        <v>9855065.7438447606</v>
      </c>
      <c r="O465" s="12">
        <f ca="1">_xlfn.NORM.INV(RAND(),AVERAGE(Assumptions!$D$15,Assumptions!$F$15),(Assumptions!$F$15-Assumptions!$D$15)/3.29)*44</f>
        <v>34881585.367508702</v>
      </c>
      <c r="P465" s="15">
        <f>Assumptions!$D$18</f>
        <v>14641750.345627395</v>
      </c>
      <c r="Q465" s="3">
        <f t="shared" ca="1" si="14"/>
        <v>-22501333.66693271</v>
      </c>
      <c r="R465" s="6">
        <f t="shared" ca="1" si="15"/>
        <v>-7859583.3213053141</v>
      </c>
    </row>
    <row r="466" spans="1:18">
      <c r="A466" s="20">
        <v>465</v>
      </c>
      <c r="B466" s="3">
        <f ca="1">_xlfn.NORM.INV(RAND(),AVERAGE(Assumptions!$D$4,Assumptions!$F$4),(Assumptions!$F$4-Assumptions!$D$4)/3.29)*44</f>
        <v>1208402.9936769817</v>
      </c>
      <c r="C466" s="6">
        <f ca="1">_xlfn.NORM.INV(RAND(),AVERAGE(Assumptions!$D$5,Assumptions!$F$5),(Assumptions!$F$5-Assumptions!$D$5)/3.29)*44</f>
        <v>2015361.0725402636</v>
      </c>
      <c r="D466" s="9">
        <f ca="1">_xlfn.NORM.INV(RAND(),AVERAGE(Assumptions!$D$6,Assumptions!$F$6),(Assumptions!$F$6-Assumptions!$D$6)/3.29)*RANDBETWEEN(2,5)</f>
        <v>3046964.1741089621</v>
      </c>
      <c r="E466" s="12">
        <f ca="1">_xlfn.NORM.INV(RAND(),AVERAGE(Assumptions!$D$17,Assumptions!$F$17),(Assumptions!$F$17-Assumptions!$D$17)/3.29)*8</f>
        <v>904957.72425130662</v>
      </c>
      <c r="F466" s="15">
        <f ca="1">_xlfn.NORM.INV(RAND(),AVERAGE(Assumptions!$D$7,Assumptions!$F$7),(Assumptions!$F$7-Assumptions!$D$7)/3.29)*RANDBETWEEN(1,3)</f>
        <v>3405953.9560264386</v>
      </c>
      <c r="G466" s="3">
        <f ca="1">_xlfn.NORM.INV(RAND(),AVERAGE(Assumptions!$D$8,Assumptions!$F$8),(Assumptions!$F$8-Assumptions!$D$8)/3.29)*44</f>
        <v>1027838.0569015527</v>
      </c>
      <c r="H466" s="6">
        <f ca="1">_xlfn.NORM.INV(RAND(),AVERAGE(Assumptions!$D$9,Assumptions!$F$9),(Assumptions!$F$9-Assumptions!$D$9)/3.29)*21</f>
        <v>2821050.9293965343</v>
      </c>
      <c r="I466" s="9">
        <f ca="1">_xlfn.NORM.INV(RAND(),AVERAGE(Assumptions!$D$10,Assumptions!$F$10),(Assumptions!$F$10-Assumptions!$D$10)/3.29)*21</f>
        <v>753245.30833398667</v>
      </c>
      <c r="J466" s="12">
        <f ca="1">NORMINV(RAND(),AVERAGE(Assumptions!$D$11,Assumptions!$F$11),(Assumptions!$F$11-Assumptions!$D$11)/3.29)*44</f>
        <v>5154625.0542108295</v>
      </c>
      <c r="K466" s="15">
        <f ca="1">_xlfn.NORM.INV(RAND(),AVERAGE(Assumptions!$D$12,Assumptions!$F$12),(Assumptions!$F$12-Assumptions!$D$12)/3.29)*44</f>
        <v>8718879.2271748986</v>
      </c>
      <c r="L466" s="3">
        <f ca="1">_xlfn.NORM.INV(RAND(),AVERAGE(Assumptions!$D$13,Assumptions!$F$13),(Assumptions!$F$13-Assumptions!$D$13)/3.29)*44</f>
        <v>8777203.6077112854</v>
      </c>
      <c r="M466" s="6">
        <f ca="1">_xlfn.NORM.INV(RAND(),AVERAGE(Assumptions!$D$14,Assumptions!$F$14),(Assumptions!$F$14-Assumptions!$D$14)/3.29)*44</f>
        <v>3451266.3425461282</v>
      </c>
      <c r="N466" s="9">
        <f ca="1">_xlfn.NORM.INV(RAND(),AVERAGE(Assumptions!$D$16,Assumptions!$F$16),(Assumptions!$F$16-Assumptions!$D$16)/3.29)*44</f>
        <v>4748206.5558363739</v>
      </c>
      <c r="O466" s="12">
        <f ca="1">_xlfn.NORM.INV(RAND(),AVERAGE(Assumptions!$D$15,Assumptions!$F$15),(Assumptions!$F$15-Assumptions!$D$15)/3.29)*44</f>
        <v>84553637.813915208</v>
      </c>
      <c r="P466" s="15">
        <f>Assumptions!$D$18</f>
        <v>14641750.345627395</v>
      </c>
      <c r="Q466" s="3">
        <f t="shared" ca="1" si="14"/>
        <v>38519682.811199665</v>
      </c>
      <c r="R466" s="6">
        <f t="shared" ca="1" si="15"/>
        <v>53161433.156827062</v>
      </c>
    </row>
    <row r="467" spans="1:18">
      <c r="A467" s="20">
        <v>466</v>
      </c>
      <c r="B467" s="3">
        <f ca="1">_xlfn.NORM.INV(RAND(),AVERAGE(Assumptions!$D$4,Assumptions!$F$4),(Assumptions!$F$4-Assumptions!$D$4)/3.29)*44</f>
        <v>1122137.7398608092</v>
      </c>
      <c r="C467" s="6">
        <f ca="1">_xlfn.NORM.INV(RAND(),AVERAGE(Assumptions!$D$5,Assumptions!$F$5),(Assumptions!$F$5-Assumptions!$D$5)/3.29)*44</f>
        <v>1757803.8176054645</v>
      </c>
      <c r="D467" s="9">
        <f ca="1">_xlfn.NORM.INV(RAND(),AVERAGE(Assumptions!$D$6,Assumptions!$F$6),(Assumptions!$F$6-Assumptions!$D$6)/3.29)*RANDBETWEEN(2,5)</f>
        <v>5748473.7513709795</v>
      </c>
      <c r="E467" s="12">
        <f ca="1">_xlfn.NORM.INV(RAND(),AVERAGE(Assumptions!$D$17,Assumptions!$F$17),(Assumptions!$F$17-Assumptions!$D$17)/3.29)*8</f>
        <v>934338.93495135882</v>
      </c>
      <c r="F467" s="15">
        <f ca="1">_xlfn.NORM.INV(RAND(),AVERAGE(Assumptions!$D$7,Assumptions!$F$7),(Assumptions!$F$7-Assumptions!$D$7)/3.29)*RANDBETWEEN(1,3)</f>
        <v>2387051.8726023226</v>
      </c>
      <c r="G467" s="3">
        <f ca="1">_xlfn.NORM.INV(RAND(),AVERAGE(Assumptions!$D$8,Assumptions!$F$8),(Assumptions!$F$8-Assumptions!$D$8)/3.29)*44</f>
        <v>884472.99806163565</v>
      </c>
      <c r="H467" s="6">
        <f ca="1">_xlfn.NORM.INV(RAND(),AVERAGE(Assumptions!$D$9,Assumptions!$F$9),(Assumptions!$F$9-Assumptions!$D$9)/3.29)*21</f>
        <v>3382464.3159727547</v>
      </c>
      <c r="I467" s="9">
        <f ca="1">_xlfn.NORM.INV(RAND(),AVERAGE(Assumptions!$D$10,Assumptions!$F$10),(Assumptions!$F$10-Assumptions!$D$10)/3.29)*21</f>
        <v>1175758.773689925</v>
      </c>
      <c r="J467" s="12">
        <f ca="1">NORMINV(RAND(),AVERAGE(Assumptions!$D$11,Assumptions!$F$11),(Assumptions!$F$11-Assumptions!$D$11)/3.29)*44</f>
        <v>2158766.4575974452</v>
      </c>
      <c r="K467" s="15">
        <f ca="1">_xlfn.NORM.INV(RAND(),AVERAGE(Assumptions!$D$12,Assumptions!$F$12),(Assumptions!$F$12-Assumptions!$D$12)/3.29)*44</f>
        <v>10393024.146760017</v>
      </c>
      <c r="L467" s="3">
        <f ca="1">_xlfn.NORM.INV(RAND(),AVERAGE(Assumptions!$D$13,Assumptions!$F$13),(Assumptions!$F$13-Assumptions!$D$13)/3.29)*44</f>
        <v>9826181.8575057499</v>
      </c>
      <c r="M467" s="6">
        <f ca="1">_xlfn.NORM.INV(RAND(),AVERAGE(Assumptions!$D$14,Assumptions!$F$14),(Assumptions!$F$14-Assumptions!$D$14)/3.29)*44</f>
        <v>6029359.737417479</v>
      </c>
      <c r="N467" s="9">
        <f ca="1">_xlfn.NORM.INV(RAND(),AVERAGE(Assumptions!$D$16,Assumptions!$F$16),(Assumptions!$F$16-Assumptions!$D$16)/3.29)*44</f>
        <v>3279001.3907053545</v>
      </c>
      <c r="O467" s="12">
        <f ca="1">_xlfn.NORM.INV(RAND(),AVERAGE(Assumptions!$D$15,Assumptions!$F$15),(Assumptions!$F$15-Assumptions!$D$15)/3.29)*44</f>
        <v>11042183.519936113</v>
      </c>
      <c r="P467" s="15">
        <f>Assumptions!$D$18</f>
        <v>14641750.345627395</v>
      </c>
      <c r="Q467" s="3">
        <f t="shared" ca="1" si="14"/>
        <v>-38036652.274165183</v>
      </c>
      <c r="R467" s="6">
        <f t="shared" ca="1" si="15"/>
        <v>-23394901.928537786</v>
      </c>
    </row>
    <row r="468" spans="1:18">
      <c r="A468" s="20">
        <v>467</v>
      </c>
      <c r="B468" s="3">
        <f ca="1">_xlfn.NORM.INV(RAND(),AVERAGE(Assumptions!$D$4,Assumptions!$F$4),(Assumptions!$F$4-Assumptions!$D$4)/3.29)*44</f>
        <v>1262546.6243479096</v>
      </c>
      <c r="C468" s="6">
        <f ca="1">_xlfn.NORM.INV(RAND(),AVERAGE(Assumptions!$D$5,Assumptions!$F$5),(Assumptions!$F$5-Assumptions!$D$5)/3.29)*44</f>
        <v>1561546.398314317</v>
      </c>
      <c r="D468" s="9">
        <f ca="1">_xlfn.NORM.INV(RAND(),AVERAGE(Assumptions!$D$6,Assumptions!$F$6),(Assumptions!$F$6-Assumptions!$D$6)/3.29)*RANDBETWEEN(2,5)</f>
        <v>1592752.7260984967</v>
      </c>
      <c r="E468" s="12">
        <f ca="1">_xlfn.NORM.INV(RAND(),AVERAGE(Assumptions!$D$17,Assumptions!$F$17),(Assumptions!$F$17-Assumptions!$D$17)/3.29)*8</f>
        <v>958444.15195441304</v>
      </c>
      <c r="F468" s="15">
        <f ca="1">_xlfn.NORM.INV(RAND(),AVERAGE(Assumptions!$D$7,Assumptions!$F$7),(Assumptions!$F$7-Assumptions!$D$7)/3.29)*RANDBETWEEN(1,3)</f>
        <v>3416580.2691153842</v>
      </c>
      <c r="G468" s="3">
        <f ca="1">_xlfn.NORM.INV(RAND(),AVERAGE(Assumptions!$D$8,Assumptions!$F$8),(Assumptions!$F$8-Assumptions!$D$8)/3.29)*44</f>
        <v>993877.56582709146</v>
      </c>
      <c r="H468" s="6">
        <f ca="1">_xlfn.NORM.INV(RAND(),AVERAGE(Assumptions!$D$9,Assumptions!$F$9),(Assumptions!$F$9-Assumptions!$D$9)/3.29)*21</f>
        <v>2713934.5422925982</v>
      </c>
      <c r="I468" s="9">
        <f ca="1">_xlfn.NORM.INV(RAND(),AVERAGE(Assumptions!$D$10,Assumptions!$F$10),(Assumptions!$F$10-Assumptions!$D$10)/3.29)*21</f>
        <v>1054397.0594809374</v>
      </c>
      <c r="J468" s="12">
        <f ca="1">NORMINV(RAND(),AVERAGE(Assumptions!$D$11,Assumptions!$F$11),(Assumptions!$F$11-Assumptions!$D$11)/3.29)*44</f>
        <v>3253217.5978656723</v>
      </c>
      <c r="K468" s="15">
        <f ca="1">_xlfn.NORM.INV(RAND(),AVERAGE(Assumptions!$D$12,Assumptions!$F$12),(Assumptions!$F$12-Assumptions!$D$12)/3.29)*44</f>
        <v>10919543.037711186</v>
      </c>
      <c r="L468" s="3">
        <f ca="1">_xlfn.NORM.INV(RAND(),AVERAGE(Assumptions!$D$13,Assumptions!$F$13),(Assumptions!$F$13-Assumptions!$D$13)/3.29)*44</f>
        <v>13816587.409748312</v>
      </c>
      <c r="M468" s="6">
        <f ca="1">_xlfn.NORM.INV(RAND(),AVERAGE(Assumptions!$D$14,Assumptions!$F$14),(Assumptions!$F$14-Assumptions!$D$14)/3.29)*44</f>
        <v>6637866.3204884892</v>
      </c>
      <c r="N468" s="9">
        <f ca="1">_xlfn.NORM.INV(RAND(),AVERAGE(Assumptions!$D$16,Assumptions!$F$16),(Assumptions!$F$16-Assumptions!$D$16)/3.29)*44</f>
        <v>2855698.2692159126</v>
      </c>
      <c r="O468" s="12">
        <f ca="1">_xlfn.NORM.INV(RAND(),AVERAGE(Assumptions!$D$15,Assumptions!$F$15),(Assumptions!$F$15-Assumptions!$D$15)/3.29)*44</f>
        <v>195897327.75448236</v>
      </c>
      <c r="P468" s="15">
        <f>Assumptions!$D$18</f>
        <v>14641750.345627395</v>
      </c>
      <c r="Q468" s="3">
        <f t="shared" ca="1" si="14"/>
        <v>144860335.78202164</v>
      </c>
      <c r="R468" s="6">
        <f t="shared" ca="1" si="15"/>
        <v>159502086.12764904</v>
      </c>
    </row>
    <row r="469" spans="1:18">
      <c r="A469" s="20">
        <v>468</v>
      </c>
      <c r="B469" s="3">
        <f ca="1">_xlfn.NORM.INV(RAND(),AVERAGE(Assumptions!$D$4,Assumptions!$F$4),(Assumptions!$F$4-Assumptions!$D$4)/3.29)*44</f>
        <v>1197360.5814934648</v>
      </c>
      <c r="C469" s="6">
        <f ca="1">_xlfn.NORM.INV(RAND(),AVERAGE(Assumptions!$D$5,Assumptions!$F$5),(Assumptions!$F$5-Assumptions!$D$5)/3.29)*44</f>
        <v>1971011.5982496513</v>
      </c>
      <c r="D469" s="9">
        <f ca="1">_xlfn.NORM.INV(RAND(),AVERAGE(Assumptions!$D$6,Assumptions!$F$6),(Assumptions!$F$6-Assumptions!$D$6)/3.29)*RANDBETWEEN(2,5)</f>
        <v>2530791.7346819984</v>
      </c>
      <c r="E469" s="12">
        <f ca="1">_xlfn.NORM.INV(RAND(),AVERAGE(Assumptions!$D$17,Assumptions!$F$17),(Assumptions!$F$17-Assumptions!$D$17)/3.29)*8</f>
        <v>984338.34089305333</v>
      </c>
      <c r="F469" s="15">
        <f ca="1">_xlfn.NORM.INV(RAND(),AVERAGE(Assumptions!$D$7,Assumptions!$F$7),(Assumptions!$F$7-Assumptions!$D$7)/3.29)*RANDBETWEEN(1,3)</f>
        <v>8896965.1005971134</v>
      </c>
      <c r="G469" s="3">
        <f ca="1">_xlfn.NORM.INV(RAND(),AVERAGE(Assumptions!$D$8,Assumptions!$F$8),(Assumptions!$F$8-Assumptions!$D$8)/3.29)*44</f>
        <v>1361425.1591236026</v>
      </c>
      <c r="H469" s="6">
        <f ca="1">_xlfn.NORM.INV(RAND(),AVERAGE(Assumptions!$D$9,Assumptions!$F$9),(Assumptions!$F$9-Assumptions!$D$9)/3.29)*21</f>
        <v>4996490.1183937332</v>
      </c>
      <c r="I469" s="9">
        <f ca="1">_xlfn.NORM.INV(RAND(),AVERAGE(Assumptions!$D$10,Assumptions!$F$10),(Assumptions!$F$10-Assumptions!$D$10)/3.29)*21</f>
        <v>1138662.0931091339</v>
      </c>
      <c r="J469" s="12">
        <f ca="1">NORMINV(RAND(),AVERAGE(Assumptions!$D$11,Assumptions!$F$11),(Assumptions!$F$11-Assumptions!$D$11)/3.29)*44</f>
        <v>1427358.7986116561</v>
      </c>
      <c r="K469" s="15">
        <f ca="1">_xlfn.NORM.INV(RAND(),AVERAGE(Assumptions!$D$12,Assumptions!$F$12),(Assumptions!$F$12-Assumptions!$D$12)/3.29)*44</f>
        <v>9363031.9509793445</v>
      </c>
      <c r="L469" s="3">
        <f ca="1">_xlfn.NORM.INV(RAND(),AVERAGE(Assumptions!$D$13,Assumptions!$F$13),(Assumptions!$F$13-Assumptions!$D$13)/3.29)*44</f>
        <v>17480907.558241468</v>
      </c>
      <c r="M469" s="6">
        <f ca="1">_xlfn.NORM.INV(RAND(),AVERAGE(Assumptions!$D$14,Assumptions!$F$14),(Assumptions!$F$14-Assumptions!$D$14)/3.29)*44</f>
        <v>8884890.4827469792</v>
      </c>
      <c r="N469" s="9">
        <f ca="1">_xlfn.NORM.INV(RAND(),AVERAGE(Assumptions!$D$16,Assumptions!$F$16),(Assumptions!$F$16-Assumptions!$D$16)/3.29)*44</f>
        <v>20171955.576775819</v>
      </c>
      <c r="O469" s="12">
        <f ca="1">_xlfn.NORM.INV(RAND(),AVERAGE(Assumptions!$D$15,Assumptions!$F$15),(Assumptions!$F$15-Assumptions!$D$15)/3.29)*44</f>
        <v>38551281.390408754</v>
      </c>
      <c r="P469" s="15">
        <f>Assumptions!$D$18</f>
        <v>14641750.345627395</v>
      </c>
      <c r="Q469" s="3">
        <f t="shared" ca="1" si="14"/>
        <v>-41853907.703488261</v>
      </c>
      <c r="R469" s="6">
        <f t="shared" ca="1" si="15"/>
        <v>-27212157.357860863</v>
      </c>
    </row>
    <row r="470" spans="1:18">
      <c r="A470" s="20">
        <v>469</v>
      </c>
      <c r="B470" s="3">
        <f ca="1">_xlfn.NORM.INV(RAND(),AVERAGE(Assumptions!$D$4,Assumptions!$F$4),(Assumptions!$F$4-Assumptions!$D$4)/3.29)*44</f>
        <v>1241837.4736938127</v>
      </c>
      <c r="C470" s="6">
        <f ca="1">_xlfn.NORM.INV(RAND(),AVERAGE(Assumptions!$D$5,Assumptions!$F$5),(Assumptions!$F$5-Assumptions!$D$5)/3.29)*44</f>
        <v>1820990.663210663</v>
      </c>
      <c r="D470" s="9">
        <f ca="1">_xlfn.NORM.INV(RAND(),AVERAGE(Assumptions!$D$6,Assumptions!$F$6),(Assumptions!$F$6-Assumptions!$D$6)/3.29)*RANDBETWEEN(2,5)</f>
        <v>2695549.1230717865</v>
      </c>
      <c r="E470" s="12">
        <f ca="1">_xlfn.NORM.INV(RAND(),AVERAGE(Assumptions!$D$17,Assumptions!$F$17),(Assumptions!$F$17-Assumptions!$D$17)/3.29)*8</f>
        <v>938263.75071259192</v>
      </c>
      <c r="F470" s="15">
        <f ca="1">_xlfn.NORM.INV(RAND(),AVERAGE(Assumptions!$D$7,Assumptions!$F$7),(Assumptions!$F$7-Assumptions!$D$7)/3.29)*RANDBETWEEN(1,3)</f>
        <v>8339221.901661234</v>
      </c>
      <c r="G470" s="3">
        <f ca="1">_xlfn.NORM.INV(RAND(),AVERAGE(Assumptions!$D$8,Assumptions!$F$8),(Assumptions!$F$8-Assumptions!$D$8)/3.29)*44</f>
        <v>1249707.8758101461</v>
      </c>
      <c r="H470" s="6">
        <f ca="1">_xlfn.NORM.INV(RAND(),AVERAGE(Assumptions!$D$9,Assumptions!$F$9),(Assumptions!$F$9-Assumptions!$D$9)/3.29)*21</f>
        <v>6979669.7449746905</v>
      </c>
      <c r="I470" s="9">
        <f ca="1">_xlfn.NORM.INV(RAND(),AVERAGE(Assumptions!$D$10,Assumptions!$F$10),(Assumptions!$F$10-Assumptions!$D$10)/3.29)*21</f>
        <v>785459.08235059213</v>
      </c>
      <c r="J470" s="12">
        <f ca="1">NORMINV(RAND(),AVERAGE(Assumptions!$D$11,Assumptions!$F$11),(Assumptions!$F$11-Assumptions!$D$11)/3.29)*44</f>
        <v>4226314.9612723216</v>
      </c>
      <c r="K470" s="15">
        <f ca="1">_xlfn.NORM.INV(RAND(),AVERAGE(Assumptions!$D$12,Assumptions!$F$12),(Assumptions!$F$12-Assumptions!$D$12)/3.29)*44</f>
        <v>8492892.5195411108</v>
      </c>
      <c r="L470" s="3">
        <f ca="1">_xlfn.NORM.INV(RAND(),AVERAGE(Assumptions!$D$13,Assumptions!$F$13),(Assumptions!$F$13-Assumptions!$D$13)/3.29)*44</f>
        <v>5865092.2360168118</v>
      </c>
      <c r="M470" s="6">
        <f ca="1">_xlfn.NORM.INV(RAND(),AVERAGE(Assumptions!$D$14,Assumptions!$F$14),(Assumptions!$F$14-Assumptions!$D$14)/3.29)*44</f>
        <v>5106783.7710169256</v>
      </c>
      <c r="N470" s="9">
        <f ca="1">_xlfn.NORM.INV(RAND(),AVERAGE(Assumptions!$D$16,Assumptions!$F$16),(Assumptions!$F$16-Assumptions!$D$16)/3.29)*44</f>
        <v>6003344.0721340412</v>
      </c>
      <c r="O470" s="12">
        <f ca="1">_xlfn.NORM.INV(RAND(),AVERAGE(Assumptions!$D$15,Assumptions!$F$15),(Assumptions!$F$15-Assumptions!$D$15)/3.29)*44</f>
        <v>116639192.49585097</v>
      </c>
      <c r="P470" s="15">
        <f>Assumptions!$D$18</f>
        <v>14641750.345627395</v>
      </c>
      <c r="Q470" s="3">
        <f t="shared" ca="1" si="14"/>
        <v>62894065.320384242</v>
      </c>
      <c r="R470" s="6">
        <f t="shared" ca="1" si="15"/>
        <v>77535815.666011631</v>
      </c>
    </row>
    <row r="471" spans="1:18">
      <c r="A471" s="20">
        <v>470</v>
      </c>
      <c r="B471" s="3">
        <f ca="1">_xlfn.NORM.INV(RAND(),AVERAGE(Assumptions!$D$4,Assumptions!$F$4),(Assumptions!$F$4-Assumptions!$D$4)/3.29)*44</f>
        <v>1232710.3408143567</v>
      </c>
      <c r="C471" s="6">
        <f ca="1">_xlfn.NORM.INV(RAND(),AVERAGE(Assumptions!$D$5,Assumptions!$F$5),(Assumptions!$F$5-Assumptions!$D$5)/3.29)*44</f>
        <v>1870583.0501960868</v>
      </c>
      <c r="D471" s="9">
        <f ca="1">_xlfn.NORM.INV(RAND(),AVERAGE(Assumptions!$D$6,Assumptions!$F$6),(Assumptions!$F$6-Assumptions!$D$6)/3.29)*RANDBETWEEN(2,5)</f>
        <v>1695178.0248424541</v>
      </c>
      <c r="E471" s="12">
        <f ca="1">_xlfn.NORM.INV(RAND(),AVERAGE(Assumptions!$D$17,Assumptions!$F$17),(Assumptions!$F$17-Assumptions!$D$17)/3.29)*8</f>
        <v>1144088.2660411033</v>
      </c>
      <c r="F471" s="15">
        <f ca="1">_xlfn.NORM.INV(RAND(),AVERAGE(Assumptions!$D$7,Assumptions!$F$7),(Assumptions!$F$7-Assumptions!$D$7)/3.29)*RANDBETWEEN(1,3)</f>
        <v>4000185.9325264459</v>
      </c>
      <c r="G471" s="3">
        <f ca="1">_xlfn.NORM.INV(RAND(),AVERAGE(Assumptions!$D$8,Assumptions!$F$8),(Assumptions!$F$8-Assumptions!$D$8)/3.29)*44</f>
        <v>1555311.5988032478</v>
      </c>
      <c r="H471" s="6">
        <f ca="1">_xlfn.NORM.INV(RAND(),AVERAGE(Assumptions!$D$9,Assumptions!$F$9),(Assumptions!$F$9-Assumptions!$D$9)/3.29)*21</f>
        <v>3748559.5729197492</v>
      </c>
      <c r="I471" s="9">
        <f ca="1">_xlfn.NORM.INV(RAND(),AVERAGE(Assumptions!$D$10,Assumptions!$F$10),(Assumptions!$F$10-Assumptions!$D$10)/3.29)*21</f>
        <v>907470.82143851393</v>
      </c>
      <c r="J471" s="12">
        <f ca="1">NORMINV(RAND(),AVERAGE(Assumptions!$D$11,Assumptions!$F$11),(Assumptions!$F$11-Assumptions!$D$11)/3.29)*44</f>
        <v>695023.81900830637</v>
      </c>
      <c r="K471" s="15">
        <f ca="1">_xlfn.NORM.INV(RAND(),AVERAGE(Assumptions!$D$12,Assumptions!$F$12),(Assumptions!$F$12-Assumptions!$D$12)/3.29)*44</f>
        <v>6839846.2770972429</v>
      </c>
      <c r="L471" s="3">
        <f ca="1">_xlfn.NORM.INV(RAND(),AVERAGE(Assumptions!$D$13,Assumptions!$F$13),(Assumptions!$F$13-Assumptions!$D$13)/3.29)*44</f>
        <v>18699159.462324604</v>
      </c>
      <c r="M471" s="6">
        <f ca="1">_xlfn.NORM.INV(RAND(),AVERAGE(Assumptions!$D$14,Assumptions!$F$14),(Assumptions!$F$14-Assumptions!$D$14)/3.29)*44</f>
        <v>4324490.5169677148</v>
      </c>
      <c r="N471" s="9">
        <f ca="1">_xlfn.NORM.INV(RAND(),AVERAGE(Assumptions!$D$16,Assumptions!$F$16),(Assumptions!$F$16-Assumptions!$D$16)/3.29)*44</f>
        <v>10811711.475430878</v>
      </c>
      <c r="O471" s="12">
        <f ca="1">_xlfn.NORM.INV(RAND(),AVERAGE(Assumptions!$D$15,Assumptions!$F$15),(Assumptions!$F$15-Assumptions!$D$15)/3.29)*44</f>
        <v>63852206.38669353</v>
      </c>
      <c r="P471" s="15">
        <f>Assumptions!$D$18</f>
        <v>14641750.345627395</v>
      </c>
      <c r="Q471" s="3">
        <f t="shared" ca="1" si="14"/>
        <v>6327887.2282828316</v>
      </c>
      <c r="R471" s="6">
        <f t="shared" ca="1" si="15"/>
        <v>20969637.573910229</v>
      </c>
    </row>
    <row r="472" spans="1:18">
      <c r="A472" s="20">
        <v>471</v>
      </c>
      <c r="B472" s="3">
        <f ca="1">_xlfn.NORM.INV(RAND(),AVERAGE(Assumptions!$D$4,Assumptions!$F$4),(Assumptions!$F$4-Assumptions!$D$4)/3.29)*44</f>
        <v>1257887.1446353598</v>
      </c>
      <c r="C472" s="6">
        <f ca="1">_xlfn.NORM.INV(RAND(),AVERAGE(Assumptions!$D$5,Assumptions!$F$5),(Assumptions!$F$5-Assumptions!$D$5)/3.29)*44</f>
        <v>1808351.7655160946</v>
      </c>
      <c r="D472" s="9">
        <f ca="1">_xlfn.NORM.INV(RAND(),AVERAGE(Assumptions!$D$6,Assumptions!$F$6),(Assumptions!$F$6-Assumptions!$D$6)/3.29)*RANDBETWEEN(2,5)</f>
        <v>3959349.5383555754</v>
      </c>
      <c r="E472" s="12">
        <f ca="1">_xlfn.NORM.INV(RAND(),AVERAGE(Assumptions!$D$17,Assumptions!$F$17),(Assumptions!$F$17-Assumptions!$D$17)/3.29)*8</f>
        <v>999648.70707967179</v>
      </c>
      <c r="F472" s="15">
        <f ca="1">_xlfn.NORM.INV(RAND(),AVERAGE(Assumptions!$D$7,Assumptions!$F$7),(Assumptions!$F$7-Assumptions!$D$7)/3.29)*RANDBETWEEN(1,3)</f>
        <v>5159645.1848336607</v>
      </c>
      <c r="G472" s="3">
        <f ca="1">_xlfn.NORM.INV(RAND(),AVERAGE(Assumptions!$D$8,Assumptions!$F$8),(Assumptions!$F$8-Assumptions!$D$8)/3.29)*44</f>
        <v>1071384.1516995626</v>
      </c>
      <c r="H472" s="6">
        <f ca="1">_xlfn.NORM.INV(RAND(),AVERAGE(Assumptions!$D$9,Assumptions!$F$9),(Assumptions!$F$9-Assumptions!$D$9)/3.29)*21</f>
        <v>1798187.7220924958</v>
      </c>
      <c r="I472" s="9">
        <f ca="1">_xlfn.NORM.INV(RAND(),AVERAGE(Assumptions!$D$10,Assumptions!$F$10),(Assumptions!$F$10-Assumptions!$D$10)/3.29)*21</f>
        <v>727572.05103469826</v>
      </c>
      <c r="J472" s="12">
        <f ca="1">NORMINV(RAND(),AVERAGE(Assumptions!$D$11,Assumptions!$F$11),(Assumptions!$F$11-Assumptions!$D$11)/3.29)*44</f>
        <v>4739594.0744334841</v>
      </c>
      <c r="K472" s="15">
        <f ca="1">_xlfn.NORM.INV(RAND(),AVERAGE(Assumptions!$D$12,Assumptions!$F$12),(Assumptions!$F$12-Assumptions!$D$12)/3.29)*44</f>
        <v>8696221.3668322079</v>
      </c>
      <c r="L472" s="3">
        <f ca="1">_xlfn.NORM.INV(RAND(),AVERAGE(Assumptions!$D$13,Assumptions!$F$13),(Assumptions!$F$13-Assumptions!$D$13)/3.29)*44</f>
        <v>15571530.076363258</v>
      </c>
      <c r="M472" s="6">
        <f ca="1">_xlfn.NORM.INV(RAND(),AVERAGE(Assumptions!$D$14,Assumptions!$F$14),(Assumptions!$F$14-Assumptions!$D$14)/3.29)*44</f>
        <v>8577077.3633693215</v>
      </c>
      <c r="N472" s="9">
        <f ca="1">_xlfn.NORM.INV(RAND(),AVERAGE(Assumptions!$D$16,Assumptions!$F$16),(Assumptions!$F$16-Assumptions!$D$16)/3.29)*44</f>
        <v>14255211.408672478</v>
      </c>
      <c r="O472" s="12">
        <f ca="1">_xlfn.NORM.INV(RAND(),AVERAGE(Assumptions!$D$15,Assumptions!$F$15),(Assumptions!$F$15-Assumptions!$D$15)/3.29)*44</f>
        <v>184705023.75289273</v>
      </c>
      <c r="P472" s="15">
        <f>Assumptions!$D$18</f>
        <v>14641750.345627395</v>
      </c>
      <c r="Q472" s="3">
        <f t="shared" ca="1" si="14"/>
        <v>116083363.19797486</v>
      </c>
      <c r="R472" s="6">
        <f t="shared" ca="1" si="15"/>
        <v>130725113.54360226</v>
      </c>
    </row>
    <row r="473" spans="1:18">
      <c r="A473" s="20">
        <v>472</v>
      </c>
      <c r="B473" s="3">
        <f ca="1">_xlfn.NORM.INV(RAND(),AVERAGE(Assumptions!$D$4,Assumptions!$F$4),(Assumptions!$F$4-Assumptions!$D$4)/3.29)*44</f>
        <v>1194778.740697202</v>
      </c>
      <c r="C473" s="6">
        <f ca="1">_xlfn.NORM.INV(RAND(),AVERAGE(Assumptions!$D$5,Assumptions!$F$5),(Assumptions!$F$5-Assumptions!$D$5)/3.29)*44</f>
        <v>1983756.6395960301</v>
      </c>
      <c r="D473" s="9">
        <f ca="1">_xlfn.NORM.INV(RAND(),AVERAGE(Assumptions!$D$6,Assumptions!$F$6),(Assumptions!$F$6-Assumptions!$D$6)/3.29)*RANDBETWEEN(2,5)</f>
        <v>6083423.7996542659</v>
      </c>
      <c r="E473" s="12">
        <f ca="1">_xlfn.NORM.INV(RAND(),AVERAGE(Assumptions!$D$17,Assumptions!$F$17),(Assumptions!$F$17-Assumptions!$D$17)/3.29)*8</f>
        <v>911313.48162630468</v>
      </c>
      <c r="F473" s="15">
        <f ca="1">_xlfn.NORM.INV(RAND(),AVERAGE(Assumptions!$D$7,Assumptions!$F$7),(Assumptions!$F$7-Assumptions!$D$7)/3.29)*RANDBETWEEN(1,3)</f>
        <v>3306735.5735501898</v>
      </c>
      <c r="G473" s="3">
        <f ca="1">_xlfn.NORM.INV(RAND(),AVERAGE(Assumptions!$D$8,Assumptions!$F$8),(Assumptions!$F$8-Assumptions!$D$8)/3.29)*44</f>
        <v>1293371.5814710779</v>
      </c>
      <c r="H473" s="6">
        <f ca="1">_xlfn.NORM.INV(RAND(),AVERAGE(Assumptions!$D$9,Assumptions!$F$9),(Assumptions!$F$9-Assumptions!$D$9)/3.29)*21</f>
        <v>3308750.2950915783</v>
      </c>
      <c r="I473" s="9">
        <f ca="1">_xlfn.NORM.INV(RAND(),AVERAGE(Assumptions!$D$10,Assumptions!$F$10),(Assumptions!$F$10-Assumptions!$D$10)/3.29)*21</f>
        <v>889420.39729661436</v>
      </c>
      <c r="J473" s="12">
        <f ca="1">NORMINV(RAND(),AVERAGE(Assumptions!$D$11,Assumptions!$F$11),(Assumptions!$F$11-Assumptions!$D$11)/3.29)*44</f>
        <v>4159871.1379077258</v>
      </c>
      <c r="K473" s="15">
        <f ca="1">_xlfn.NORM.INV(RAND(),AVERAGE(Assumptions!$D$12,Assumptions!$F$12),(Assumptions!$F$12-Assumptions!$D$12)/3.29)*44</f>
        <v>7996306.7967805313</v>
      </c>
      <c r="L473" s="3">
        <f ca="1">_xlfn.NORM.INV(RAND(),AVERAGE(Assumptions!$D$13,Assumptions!$F$13),(Assumptions!$F$13-Assumptions!$D$13)/3.29)*44</f>
        <v>15010112.837920938</v>
      </c>
      <c r="M473" s="6">
        <f ca="1">_xlfn.NORM.INV(RAND(),AVERAGE(Assumptions!$D$14,Assumptions!$F$14),(Assumptions!$F$14-Assumptions!$D$14)/3.29)*44</f>
        <v>6314025.892291626</v>
      </c>
      <c r="N473" s="9">
        <f ca="1">_xlfn.NORM.INV(RAND(),AVERAGE(Assumptions!$D$16,Assumptions!$F$16),(Assumptions!$F$16-Assumptions!$D$16)/3.29)*44</f>
        <v>13014883.761560576</v>
      </c>
      <c r="O473" s="12">
        <f ca="1">_xlfn.NORM.INV(RAND(),AVERAGE(Assumptions!$D$15,Assumptions!$F$15),(Assumptions!$F$15-Assumptions!$D$15)/3.29)*44</f>
        <v>112212472.79555653</v>
      </c>
      <c r="P473" s="15">
        <f>Assumptions!$D$18</f>
        <v>14641750.345627395</v>
      </c>
      <c r="Q473" s="3">
        <f t="shared" ca="1" si="14"/>
        <v>46745721.86011187</v>
      </c>
      <c r="R473" s="6">
        <f t="shared" ca="1" si="15"/>
        <v>61387472.205739267</v>
      </c>
    </row>
    <row r="474" spans="1:18">
      <c r="A474" s="20">
        <v>473</v>
      </c>
      <c r="B474" s="3">
        <f ca="1">_xlfn.NORM.INV(RAND(),AVERAGE(Assumptions!$D$4,Assumptions!$F$4),(Assumptions!$F$4-Assumptions!$D$4)/3.29)*44</f>
        <v>1152710.6446814316</v>
      </c>
      <c r="C474" s="6">
        <f ca="1">_xlfn.NORM.INV(RAND(),AVERAGE(Assumptions!$D$5,Assumptions!$F$5),(Assumptions!$F$5-Assumptions!$D$5)/3.29)*44</f>
        <v>1997086.73796653</v>
      </c>
      <c r="D474" s="9">
        <f ca="1">_xlfn.NORM.INV(RAND(),AVERAGE(Assumptions!$D$6,Assumptions!$F$6),(Assumptions!$F$6-Assumptions!$D$6)/3.29)*RANDBETWEEN(2,5)</f>
        <v>3189597.6777368565</v>
      </c>
      <c r="E474" s="12">
        <f ca="1">_xlfn.NORM.INV(RAND(),AVERAGE(Assumptions!$D$17,Assumptions!$F$17),(Assumptions!$F$17-Assumptions!$D$17)/3.29)*8</f>
        <v>813694.70779129595</v>
      </c>
      <c r="F474" s="15">
        <f ca="1">_xlfn.NORM.INV(RAND(),AVERAGE(Assumptions!$D$7,Assumptions!$F$7),(Assumptions!$F$7-Assumptions!$D$7)/3.29)*RANDBETWEEN(1,3)</f>
        <v>3758629.7875996716</v>
      </c>
      <c r="G474" s="3">
        <f ca="1">_xlfn.NORM.INV(RAND(),AVERAGE(Assumptions!$D$8,Assumptions!$F$8),(Assumptions!$F$8-Assumptions!$D$8)/3.29)*44</f>
        <v>1002008.8249872491</v>
      </c>
      <c r="H474" s="6">
        <f ca="1">_xlfn.NORM.INV(RAND(),AVERAGE(Assumptions!$D$9,Assumptions!$F$9),(Assumptions!$F$9-Assumptions!$D$9)/3.29)*21</f>
        <v>4149137.2852074844</v>
      </c>
      <c r="I474" s="9">
        <f ca="1">_xlfn.NORM.INV(RAND(),AVERAGE(Assumptions!$D$10,Assumptions!$F$10),(Assumptions!$F$10-Assumptions!$D$10)/3.29)*21</f>
        <v>611115.3773757912</v>
      </c>
      <c r="J474" s="12">
        <f ca="1">NORMINV(RAND(),AVERAGE(Assumptions!$D$11,Assumptions!$F$11),(Assumptions!$F$11-Assumptions!$D$11)/3.29)*44</f>
        <v>3689529.8944151448</v>
      </c>
      <c r="K474" s="15">
        <f ca="1">_xlfn.NORM.INV(RAND(),AVERAGE(Assumptions!$D$12,Assumptions!$F$12),(Assumptions!$F$12-Assumptions!$D$12)/3.29)*44</f>
        <v>8120784.1933773868</v>
      </c>
      <c r="L474" s="3">
        <f ca="1">_xlfn.NORM.INV(RAND(),AVERAGE(Assumptions!$D$13,Assumptions!$F$13),(Assumptions!$F$13-Assumptions!$D$13)/3.29)*44</f>
        <v>9739888.0548883136</v>
      </c>
      <c r="M474" s="6">
        <f ca="1">_xlfn.NORM.INV(RAND(),AVERAGE(Assumptions!$D$14,Assumptions!$F$14),(Assumptions!$F$14-Assumptions!$D$14)/3.29)*44</f>
        <v>7357831.1811634684</v>
      </c>
      <c r="N474" s="9">
        <f ca="1">_xlfn.NORM.INV(RAND(),AVERAGE(Assumptions!$D$16,Assumptions!$F$16),(Assumptions!$F$16-Assumptions!$D$16)/3.29)*44</f>
        <v>9975807.148533076</v>
      </c>
      <c r="O474" s="12">
        <f ca="1">_xlfn.NORM.INV(RAND(),AVERAGE(Assumptions!$D$15,Assumptions!$F$15),(Assumptions!$F$15-Assumptions!$D$15)/3.29)*44</f>
        <v>161013252.18032533</v>
      </c>
      <c r="P474" s="15">
        <f>Assumptions!$D$18</f>
        <v>14641750.345627395</v>
      </c>
      <c r="Q474" s="3">
        <f t="shared" ca="1" si="14"/>
        <v>105455430.66460162</v>
      </c>
      <c r="R474" s="6">
        <f t="shared" ca="1" si="15"/>
        <v>120097181.01022902</v>
      </c>
    </row>
    <row r="475" spans="1:18">
      <c r="A475" s="20">
        <v>474</v>
      </c>
      <c r="B475" s="3">
        <f ca="1">_xlfn.NORM.INV(RAND(),AVERAGE(Assumptions!$D$4,Assumptions!$F$4),(Assumptions!$F$4-Assumptions!$D$4)/3.29)*44</f>
        <v>1284464.4857310348</v>
      </c>
      <c r="C475" s="6">
        <f ca="1">_xlfn.NORM.INV(RAND(),AVERAGE(Assumptions!$D$5,Assumptions!$F$5),(Assumptions!$F$5-Assumptions!$D$5)/3.29)*44</f>
        <v>1606928.0889690935</v>
      </c>
      <c r="D475" s="9">
        <f ca="1">_xlfn.NORM.INV(RAND(),AVERAGE(Assumptions!$D$6,Assumptions!$F$6),(Assumptions!$F$6-Assumptions!$D$6)/3.29)*RANDBETWEEN(2,5)</f>
        <v>3061523.6456872351</v>
      </c>
      <c r="E475" s="12">
        <f ca="1">_xlfn.NORM.INV(RAND(),AVERAGE(Assumptions!$D$17,Assumptions!$F$17),(Assumptions!$F$17-Assumptions!$D$17)/3.29)*8</f>
        <v>847636.79709441285</v>
      </c>
      <c r="F475" s="15">
        <f ca="1">_xlfn.NORM.INV(RAND(),AVERAGE(Assumptions!$D$7,Assumptions!$F$7),(Assumptions!$F$7-Assumptions!$D$7)/3.29)*RANDBETWEEN(1,3)</f>
        <v>10085839.249752656</v>
      </c>
      <c r="G475" s="3">
        <f ca="1">_xlfn.NORM.INV(RAND(),AVERAGE(Assumptions!$D$8,Assumptions!$F$8),(Assumptions!$F$8-Assumptions!$D$8)/3.29)*44</f>
        <v>1849653.429947648</v>
      </c>
      <c r="H475" s="6">
        <f ca="1">_xlfn.NORM.INV(RAND(),AVERAGE(Assumptions!$D$9,Assumptions!$F$9),(Assumptions!$F$9-Assumptions!$D$9)/3.29)*21</f>
        <v>3185376.3408572804</v>
      </c>
      <c r="I475" s="9">
        <f ca="1">_xlfn.NORM.INV(RAND(),AVERAGE(Assumptions!$D$10,Assumptions!$F$10),(Assumptions!$F$10-Assumptions!$D$10)/3.29)*21</f>
        <v>1180798.8495683412</v>
      </c>
      <c r="J475" s="12">
        <f ca="1">NORMINV(RAND(),AVERAGE(Assumptions!$D$11,Assumptions!$F$11),(Assumptions!$F$11-Assumptions!$D$11)/3.29)*44</f>
        <v>3352189.6940989378</v>
      </c>
      <c r="K475" s="15">
        <f ca="1">_xlfn.NORM.INV(RAND(),AVERAGE(Assumptions!$D$12,Assumptions!$F$12),(Assumptions!$F$12-Assumptions!$D$12)/3.29)*44</f>
        <v>7658599.8966086172</v>
      </c>
      <c r="L475" s="3">
        <f ca="1">_xlfn.NORM.INV(RAND(),AVERAGE(Assumptions!$D$13,Assumptions!$F$13),(Assumptions!$F$13-Assumptions!$D$13)/3.29)*44</f>
        <v>9373374.7430743687</v>
      </c>
      <c r="M475" s="6">
        <f ca="1">_xlfn.NORM.INV(RAND(),AVERAGE(Assumptions!$D$14,Assumptions!$F$14),(Assumptions!$F$14-Assumptions!$D$14)/3.29)*44</f>
        <v>6829464.5519001223</v>
      </c>
      <c r="N475" s="9">
        <f ca="1">_xlfn.NORM.INV(RAND(),AVERAGE(Assumptions!$D$16,Assumptions!$F$16),(Assumptions!$F$16-Assumptions!$D$16)/3.29)*44</f>
        <v>3708695.3939909684</v>
      </c>
      <c r="O475" s="12">
        <f ca="1">_xlfn.NORM.INV(RAND(),AVERAGE(Assumptions!$D$15,Assumptions!$F$15),(Assumptions!$F$15-Assumptions!$D$15)/3.29)*44</f>
        <v>65949485.199951559</v>
      </c>
      <c r="P475" s="15">
        <f>Assumptions!$D$18</f>
        <v>14641750.345627395</v>
      </c>
      <c r="Q475" s="3">
        <f t="shared" ca="1" si="14"/>
        <v>11924940.032670841</v>
      </c>
      <c r="R475" s="6">
        <f t="shared" ca="1" si="15"/>
        <v>26566690.378298238</v>
      </c>
    </row>
    <row r="476" spans="1:18">
      <c r="A476" s="20">
        <v>475</v>
      </c>
      <c r="B476" s="3">
        <f ca="1">_xlfn.NORM.INV(RAND(),AVERAGE(Assumptions!$D$4,Assumptions!$F$4),(Assumptions!$F$4-Assumptions!$D$4)/3.29)*44</f>
        <v>1143575.7121600504</v>
      </c>
      <c r="C476" s="6">
        <f ca="1">_xlfn.NORM.INV(RAND(),AVERAGE(Assumptions!$D$5,Assumptions!$F$5),(Assumptions!$F$5-Assumptions!$D$5)/3.29)*44</f>
        <v>1528350.1558239693</v>
      </c>
      <c r="D476" s="9">
        <f ca="1">_xlfn.NORM.INV(RAND(),AVERAGE(Assumptions!$D$6,Assumptions!$F$6),(Assumptions!$F$6-Assumptions!$D$6)/3.29)*RANDBETWEEN(2,5)</f>
        <v>3511367.8078185469</v>
      </c>
      <c r="E476" s="12">
        <f ca="1">_xlfn.NORM.INV(RAND(),AVERAGE(Assumptions!$D$17,Assumptions!$F$17),(Assumptions!$F$17-Assumptions!$D$17)/3.29)*8</f>
        <v>1028786.9824359537</v>
      </c>
      <c r="F476" s="15">
        <f ca="1">_xlfn.NORM.INV(RAND(),AVERAGE(Assumptions!$D$7,Assumptions!$F$7),(Assumptions!$F$7-Assumptions!$D$7)/3.29)*RANDBETWEEN(1,3)</f>
        <v>4527470.7732721455</v>
      </c>
      <c r="G476" s="3">
        <f ca="1">_xlfn.NORM.INV(RAND(),AVERAGE(Assumptions!$D$8,Assumptions!$F$8),(Assumptions!$F$8-Assumptions!$D$8)/3.29)*44</f>
        <v>1298659.3386782513</v>
      </c>
      <c r="H476" s="6">
        <f ca="1">_xlfn.NORM.INV(RAND(),AVERAGE(Assumptions!$D$9,Assumptions!$F$9),(Assumptions!$F$9-Assumptions!$D$9)/3.29)*21</f>
        <v>4298429.3067198507</v>
      </c>
      <c r="I476" s="9">
        <f ca="1">_xlfn.NORM.INV(RAND(),AVERAGE(Assumptions!$D$10,Assumptions!$F$10),(Assumptions!$F$10-Assumptions!$D$10)/3.29)*21</f>
        <v>843863.4784993194</v>
      </c>
      <c r="J476" s="12">
        <f ca="1">NORMINV(RAND(),AVERAGE(Assumptions!$D$11,Assumptions!$F$11),(Assumptions!$F$11-Assumptions!$D$11)/3.29)*44</f>
        <v>3803769.8729192261</v>
      </c>
      <c r="K476" s="15">
        <f ca="1">_xlfn.NORM.INV(RAND(),AVERAGE(Assumptions!$D$12,Assumptions!$F$12),(Assumptions!$F$12-Assumptions!$D$12)/3.29)*44</f>
        <v>7291867.1590575483</v>
      </c>
      <c r="L476" s="3">
        <f ca="1">_xlfn.NORM.INV(RAND(),AVERAGE(Assumptions!$D$13,Assumptions!$F$13),(Assumptions!$F$13-Assumptions!$D$13)/3.29)*44</f>
        <v>12741759.608114112</v>
      </c>
      <c r="M476" s="6">
        <f ca="1">_xlfn.NORM.INV(RAND(),AVERAGE(Assumptions!$D$14,Assumptions!$F$14),(Assumptions!$F$14-Assumptions!$D$14)/3.29)*44</f>
        <v>3633858.9083310999</v>
      </c>
      <c r="N476" s="9">
        <f ca="1">_xlfn.NORM.INV(RAND(),AVERAGE(Assumptions!$D$16,Assumptions!$F$16),(Assumptions!$F$16-Assumptions!$D$16)/3.29)*44</f>
        <v>13972132.272731923</v>
      </c>
      <c r="O476" s="12">
        <f ca="1">_xlfn.NORM.INV(RAND(),AVERAGE(Assumptions!$D$15,Assumptions!$F$15),(Assumptions!$F$15-Assumptions!$D$15)/3.29)*44</f>
        <v>64726762.364958644</v>
      </c>
      <c r="P476" s="15">
        <f>Assumptions!$D$18</f>
        <v>14641750.345627395</v>
      </c>
      <c r="Q476" s="3">
        <f t="shared" ca="1" si="14"/>
        <v>5102870.988396652</v>
      </c>
      <c r="R476" s="6">
        <f t="shared" ca="1" si="15"/>
        <v>19744621.334024049</v>
      </c>
    </row>
    <row r="477" spans="1:18">
      <c r="A477" s="20">
        <v>476</v>
      </c>
      <c r="B477" s="3">
        <f ca="1">_xlfn.NORM.INV(RAND(),AVERAGE(Assumptions!$D$4,Assumptions!$F$4),(Assumptions!$F$4-Assumptions!$D$4)/3.29)*44</f>
        <v>1142230.85136696</v>
      </c>
      <c r="C477" s="6">
        <f ca="1">_xlfn.NORM.INV(RAND(),AVERAGE(Assumptions!$D$5,Assumptions!$F$5),(Assumptions!$F$5-Assumptions!$D$5)/3.29)*44</f>
        <v>1742710.565421819</v>
      </c>
      <c r="D477" s="9">
        <f ca="1">_xlfn.NORM.INV(RAND(),AVERAGE(Assumptions!$D$6,Assumptions!$F$6),(Assumptions!$F$6-Assumptions!$D$6)/3.29)*RANDBETWEEN(2,5)</f>
        <v>1797890.1090259301</v>
      </c>
      <c r="E477" s="12">
        <f ca="1">_xlfn.NORM.INV(RAND(),AVERAGE(Assumptions!$D$17,Assumptions!$F$17),(Assumptions!$F$17-Assumptions!$D$17)/3.29)*8</f>
        <v>981695.62454687839</v>
      </c>
      <c r="F477" s="15">
        <f ca="1">_xlfn.NORM.INV(RAND(),AVERAGE(Assumptions!$D$7,Assumptions!$F$7),(Assumptions!$F$7-Assumptions!$D$7)/3.29)*RANDBETWEEN(1,3)</f>
        <v>13968944.859721709</v>
      </c>
      <c r="G477" s="3">
        <f ca="1">_xlfn.NORM.INV(RAND(),AVERAGE(Assumptions!$D$8,Assumptions!$F$8),(Assumptions!$F$8-Assumptions!$D$8)/3.29)*44</f>
        <v>1412955.447067321</v>
      </c>
      <c r="H477" s="6">
        <f ca="1">_xlfn.NORM.INV(RAND(),AVERAGE(Assumptions!$D$9,Assumptions!$F$9),(Assumptions!$F$9-Assumptions!$D$9)/3.29)*21</f>
        <v>1844794.0763344737</v>
      </c>
      <c r="I477" s="9">
        <f ca="1">_xlfn.NORM.INV(RAND(),AVERAGE(Assumptions!$D$10,Assumptions!$F$10),(Assumptions!$F$10-Assumptions!$D$10)/3.29)*21</f>
        <v>1122367.7681831527</v>
      </c>
      <c r="J477" s="12">
        <f ca="1">NORMINV(RAND(),AVERAGE(Assumptions!$D$11,Assumptions!$F$11),(Assumptions!$F$11-Assumptions!$D$11)/3.29)*44</f>
        <v>2669794.8206168478</v>
      </c>
      <c r="K477" s="15">
        <f ca="1">_xlfn.NORM.INV(RAND(),AVERAGE(Assumptions!$D$12,Assumptions!$F$12),(Assumptions!$F$12-Assumptions!$D$12)/3.29)*44</f>
        <v>7810220.7344138948</v>
      </c>
      <c r="L477" s="3">
        <f ca="1">_xlfn.NORM.INV(RAND(),AVERAGE(Assumptions!$D$13,Assumptions!$F$13),(Assumptions!$F$13-Assumptions!$D$13)/3.29)*44</f>
        <v>1911421.6075928197</v>
      </c>
      <c r="M477" s="6">
        <f ca="1">_xlfn.NORM.INV(RAND(),AVERAGE(Assumptions!$D$14,Assumptions!$F$14),(Assumptions!$F$14-Assumptions!$D$14)/3.29)*44</f>
        <v>8187116.5288350694</v>
      </c>
      <c r="N477" s="9">
        <f ca="1">_xlfn.NORM.INV(RAND(),AVERAGE(Assumptions!$D$16,Assumptions!$F$16),(Assumptions!$F$16-Assumptions!$D$16)/3.29)*44</f>
        <v>7080114.0872964421</v>
      </c>
      <c r="O477" s="12">
        <f ca="1">_xlfn.NORM.INV(RAND(),AVERAGE(Assumptions!$D$15,Assumptions!$F$15),(Assumptions!$F$15-Assumptions!$D$15)/3.29)*44</f>
        <v>268361526.49422467</v>
      </c>
      <c r="P477" s="15">
        <f>Assumptions!$D$18</f>
        <v>14641750.345627395</v>
      </c>
      <c r="Q477" s="3">
        <f t="shared" ca="1" si="14"/>
        <v>216689269.41380134</v>
      </c>
      <c r="R477" s="6">
        <f t="shared" ca="1" si="15"/>
        <v>231331019.75942874</v>
      </c>
    </row>
    <row r="478" spans="1:18">
      <c r="A478" s="20">
        <v>477</v>
      </c>
      <c r="B478" s="3">
        <f ca="1">_xlfn.NORM.INV(RAND(),AVERAGE(Assumptions!$D$4,Assumptions!$F$4),(Assumptions!$F$4-Assumptions!$D$4)/3.29)*44</f>
        <v>1164721.6507373173</v>
      </c>
      <c r="C478" s="6">
        <f ca="1">_xlfn.NORM.INV(RAND(),AVERAGE(Assumptions!$D$5,Assumptions!$F$5),(Assumptions!$F$5-Assumptions!$D$5)/3.29)*44</f>
        <v>1776032.9869958789</v>
      </c>
      <c r="D478" s="9">
        <f ca="1">_xlfn.NORM.INV(RAND(),AVERAGE(Assumptions!$D$6,Assumptions!$F$6),(Assumptions!$F$6-Assumptions!$D$6)/3.29)*RANDBETWEEN(2,5)</f>
        <v>2658416.745382322</v>
      </c>
      <c r="E478" s="12">
        <f ca="1">_xlfn.NORM.INV(RAND(),AVERAGE(Assumptions!$D$17,Assumptions!$F$17),(Assumptions!$F$17-Assumptions!$D$17)/3.29)*8</f>
        <v>956209.11572490644</v>
      </c>
      <c r="F478" s="15">
        <f ca="1">_xlfn.NORM.INV(RAND(),AVERAGE(Assumptions!$D$7,Assumptions!$F$7),(Assumptions!$F$7-Assumptions!$D$7)/3.29)*RANDBETWEEN(1,3)</f>
        <v>6032122.7342407079</v>
      </c>
      <c r="G478" s="3">
        <f ca="1">_xlfn.NORM.INV(RAND(),AVERAGE(Assumptions!$D$8,Assumptions!$F$8),(Assumptions!$F$8-Assumptions!$D$8)/3.29)*44</f>
        <v>1332317.931537082</v>
      </c>
      <c r="H478" s="6">
        <f ca="1">_xlfn.NORM.INV(RAND(),AVERAGE(Assumptions!$D$9,Assumptions!$F$9),(Assumptions!$F$9-Assumptions!$D$9)/3.29)*21</f>
        <v>4001495.0027674315</v>
      </c>
      <c r="I478" s="9">
        <f ca="1">_xlfn.NORM.INV(RAND(),AVERAGE(Assumptions!$D$10,Assumptions!$F$10),(Assumptions!$F$10-Assumptions!$D$10)/3.29)*21</f>
        <v>944551.1414915002</v>
      </c>
      <c r="J478" s="12">
        <f ca="1">NORMINV(RAND(),AVERAGE(Assumptions!$D$11,Assumptions!$F$11),(Assumptions!$F$11-Assumptions!$D$11)/3.29)*44</f>
        <v>3982121.8232012796</v>
      </c>
      <c r="K478" s="15">
        <f ca="1">_xlfn.NORM.INV(RAND(),AVERAGE(Assumptions!$D$12,Assumptions!$F$12),(Assumptions!$F$12-Assumptions!$D$12)/3.29)*44</f>
        <v>11029060.61842446</v>
      </c>
      <c r="L478" s="3">
        <f ca="1">_xlfn.NORM.INV(RAND(),AVERAGE(Assumptions!$D$13,Assumptions!$F$13),(Assumptions!$F$13-Assumptions!$D$13)/3.29)*44</f>
        <v>7238988.1377239423</v>
      </c>
      <c r="M478" s="6">
        <f ca="1">_xlfn.NORM.INV(RAND(),AVERAGE(Assumptions!$D$14,Assumptions!$F$14),(Assumptions!$F$14-Assumptions!$D$14)/3.29)*44</f>
        <v>6630792.0063911648</v>
      </c>
      <c r="N478" s="9">
        <f ca="1">_xlfn.NORM.INV(RAND(),AVERAGE(Assumptions!$D$16,Assumptions!$F$16),(Assumptions!$F$16-Assumptions!$D$16)/3.29)*44</f>
        <v>15230597.674477786</v>
      </c>
      <c r="O478" s="12">
        <f ca="1">_xlfn.NORM.INV(RAND(),AVERAGE(Assumptions!$D$15,Assumptions!$F$15),(Assumptions!$F$15-Assumptions!$D$15)/3.29)*44</f>
        <v>84838303.811102048</v>
      </c>
      <c r="P478" s="15">
        <f>Assumptions!$D$18</f>
        <v>14641750.345627395</v>
      </c>
      <c r="Q478" s="3">
        <f t="shared" ca="1" si="14"/>
        <v>21860876.242006265</v>
      </c>
      <c r="R478" s="6">
        <f t="shared" ca="1" si="15"/>
        <v>36502626.587633662</v>
      </c>
    </row>
    <row r="479" spans="1:18">
      <c r="A479" s="20">
        <v>478</v>
      </c>
      <c r="B479" s="3">
        <f ca="1">_xlfn.NORM.INV(RAND(),AVERAGE(Assumptions!$D$4,Assumptions!$F$4),(Assumptions!$F$4-Assumptions!$D$4)/3.29)*44</f>
        <v>1246375.5275720241</v>
      </c>
      <c r="C479" s="6">
        <f ca="1">_xlfn.NORM.INV(RAND(),AVERAGE(Assumptions!$D$5,Assumptions!$F$5),(Assumptions!$F$5-Assumptions!$D$5)/3.29)*44</f>
        <v>1747142.1828694006</v>
      </c>
      <c r="D479" s="9">
        <f ca="1">_xlfn.NORM.INV(RAND(),AVERAGE(Assumptions!$D$6,Assumptions!$F$6),(Assumptions!$F$6-Assumptions!$D$6)/3.29)*RANDBETWEEN(2,5)</f>
        <v>4894241.3030745322</v>
      </c>
      <c r="E479" s="12">
        <f ca="1">_xlfn.NORM.INV(RAND(),AVERAGE(Assumptions!$D$17,Assumptions!$F$17),(Assumptions!$F$17-Assumptions!$D$17)/3.29)*8</f>
        <v>885303.83576716017</v>
      </c>
      <c r="F479" s="15">
        <f ca="1">_xlfn.NORM.INV(RAND(),AVERAGE(Assumptions!$D$7,Assumptions!$F$7),(Assumptions!$F$7-Assumptions!$D$7)/3.29)*RANDBETWEEN(1,3)</f>
        <v>9986701.0164359957</v>
      </c>
      <c r="G479" s="3">
        <f ca="1">_xlfn.NORM.INV(RAND(),AVERAGE(Assumptions!$D$8,Assumptions!$F$8),(Assumptions!$F$8-Assumptions!$D$8)/3.29)*44</f>
        <v>1046837.0548487348</v>
      </c>
      <c r="H479" s="6">
        <f ca="1">_xlfn.NORM.INV(RAND(),AVERAGE(Assumptions!$D$9,Assumptions!$F$9),(Assumptions!$F$9-Assumptions!$D$9)/3.29)*21</f>
        <v>3063797.1806137105</v>
      </c>
      <c r="I479" s="9">
        <f ca="1">_xlfn.NORM.INV(RAND(),AVERAGE(Assumptions!$D$10,Assumptions!$F$10),(Assumptions!$F$10-Assumptions!$D$10)/3.29)*21</f>
        <v>601792.32116307225</v>
      </c>
      <c r="J479" s="12">
        <f ca="1">NORMINV(RAND(),AVERAGE(Assumptions!$D$11,Assumptions!$F$11),(Assumptions!$F$11-Assumptions!$D$11)/3.29)*44</f>
        <v>3466589.815890186</v>
      </c>
      <c r="K479" s="15">
        <f ca="1">_xlfn.NORM.INV(RAND(),AVERAGE(Assumptions!$D$12,Assumptions!$F$12),(Assumptions!$F$12-Assumptions!$D$12)/3.29)*44</f>
        <v>10867340.829554416</v>
      </c>
      <c r="L479" s="3">
        <f ca="1">_xlfn.NORM.INV(RAND(),AVERAGE(Assumptions!$D$13,Assumptions!$F$13),(Assumptions!$F$13-Assumptions!$D$13)/3.29)*44</f>
        <v>17557656.42238554</v>
      </c>
      <c r="M479" s="6">
        <f ca="1">_xlfn.NORM.INV(RAND(),AVERAGE(Assumptions!$D$14,Assumptions!$F$14),(Assumptions!$F$14-Assumptions!$D$14)/3.29)*44</f>
        <v>4644033.9634376122</v>
      </c>
      <c r="N479" s="9">
        <f ca="1">_xlfn.NORM.INV(RAND(),AVERAGE(Assumptions!$D$16,Assumptions!$F$16),(Assumptions!$F$16-Assumptions!$D$16)/3.29)*44</f>
        <v>10259930.266986994</v>
      </c>
      <c r="O479" s="12">
        <f ca="1">_xlfn.NORM.INV(RAND(),AVERAGE(Assumptions!$D$15,Assumptions!$F$15),(Assumptions!$F$15-Assumptions!$D$15)/3.29)*44</f>
        <v>105305416.96337907</v>
      </c>
      <c r="P479" s="15">
        <f>Assumptions!$D$18</f>
        <v>14641750.345627395</v>
      </c>
      <c r="Q479" s="3">
        <f t="shared" ca="1" si="14"/>
        <v>35037675.242779687</v>
      </c>
      <c r="R479" s="6">
        <f t="shared" ca="1" si="15"/>
        <v>49679425.588407084</v>
      </c>
    </row>
    <row r="480" spans="1:18">
      <c r="A480" s="20">
        <v>479</v>
      </c>
      <c r="B480" s="3">
        <f ca="1">_xlfn.NORM.INV(RAND(),AVERAGE(Assumptions!$D$4,Assumptions!$F$4),(Assumptions!$F$4-Assumptions!$D$4)/3.29)*44</f>
        <v>1209053.5968080207</v>
      </c>
      <c r="C480" s="6">
        <f ca="1">_xlfn.NORM.INV(RAND(),AVERAGE(Assumptions!$D$5,Assumptions!$F$5),(Assumptions!$F$5-Assumptions!$D$5)/3.29)*44</f>
        <v>1772872.6689560448</v>
      </c>
      <c r="D480" s="9">
        <f ca="1">_xlfn.NORM.INV(RAND(),AVERAGE(Assumptions!$D$6,Assumptions!$F$6),(Assumptions!$F$6-Assumptions!$D$6)/3.29)*RANDBETWEEN(2,5)</f>
        <v>8054766.5933117056</v>
      </c>
      <c r="E480" s="12">
        <f ca="1">_xlfn.NORM.INV(RAND(),AVERAGE(Assumptions!$D$17,Assumptions!$F$17),(Assumptions!$F$17-Assumptions!$D$17)/3.29)*8</f>
        <v>959479.54736101499</v>
      </c>
      <c r="F480" s="15">
        <f ca="1">_xlfn.NORM.INV(RAND(),AVERAGE(Assumptions!$D$7,Assumptions!$F$7),(Assumptions!$F$7-Assumptions!$D$7)/3.29)*RANDBETWEEN(1,3)</f>
        <v>7188966.6318414481</v>
      </c>
      <c r="G480" s="3">
        <f ca="1">_xlfn.NORM.INV(RAND(),AVERAGE(Assumptions!$D$8,Assumptions!$F$8),(Assumptions!$F$8-Assumptions!$D$8)/3.29)*44</f>
        <v>1457305.1403648593</v>
      </c>
      <c r="H480" s="6">
        <f ca="1">_xlfn.NORM.INV(RAND(),AVERAGE(Assumptions!$D$9,Assumptions!$F$9),(Assumptions!$F$9-Assumptions!$D$9)/3.29)*21</f>
        <v>3967757.5739539042</v>
      </c>
      <c r="I480" s="9">
        <f ca="1">_xlfn.NORM.INV(RAND(),AVERAGE(Assumptions!$D$10,Assumptions!$F$10),(Assumptions!$F$10-Assumptions!$D$10)/3.29)*21</f>
        <v>634375.53727314621</v>
      </c>
      <c r="J480" s="12">
        <f ca="1">NORMINV(RAND(),AVERAGE(Assumptions!$D$11,Assumptions!$F$11),(Assumptions!$F$11-Assumptions!$D$11)/3.29)*44</f>
        <v>2391566.0642917901</v>
      </c>
      <c r="K480" s="15">
        <f ca="1">_xlfn.NORM.INV(RAND(),AVERAGE(Assumptions!$D$12,Assumptions!$F$12),(Assumptions!$F$12-Assumptions!$D$12)/3.29)*44</f>
        <v>9271308.8870502673</v>
      </c>
      <c r="L480" s="3">
        <f ca="1">_xlfn.NORM.INV(RAND(),AVERAGE(Assumptions!$D$13,Assumptions!$F$13),(Assumptions!$F$13-Assumptions!$D$13)/3.29)*44</f>
        <v>11794109.41733215</v>
      </c>
      <c r="M480" s="6">
        <f ca="1">_xlfn.NORM.INV(RAND(),AVERAGE(Assumptions!$D$14,Assumptions!$F$14),(Assumptions!$F$14-Assumptions!$D$14)/3.29)*44</f>
        <v>6932914.6356086656</v>
      </c>
      <c r="N480" s="9">
        <f ca="1">_xlfn.NORM.INV(RAND(),AVERAGE(Assumptions!$D$16,Assumptions!$F$16),(Assumptions!$F$16-Assumptions!$D$16)/3.29)*44</f>
        <v>14186788.11175211</v>
      </c>
      <c r="O480" s="12">
        <f ca="1">_xlfn.NORM.INV(RAND(),AVERAGE(Assumptions!$D$15,Assumptions!$F$15),(Assumptions!$F$15-Assumptions!$D$15)/3.29)*44</f>
        <v>109405975.10316455</v>
      </c>
      <c r="P480" s="15">
        <f>Assumptions!$D$18</f>
        <v>14641750.345627395</v>
      </c>
      <c r="Q480" s="3">
        <f t="shared" ca="1" si="14"/>
        <v>39584710.697259426</v>
      </c>
      <c r="R480" s="6">
        <f t="shared" ca="1" si="15"/>
        <v>54226461.042886823</v>
      </c>
    </row>
    <row r="481" spans="1:18">
      <c r="A481" s="20">
        <v>480</v>
      </c>
      <c r="B481" s="3">
        <f ca="1">_xlfn.NORM.INV(RAND(),AVERAGE(Assumptions!$D$4,Assumptions!$F$4),(Assumptions!$F$4-Assumptions!$D$4)/3.29)*44</f>
        <v>1191150.291336464</v>
      </c>
      <c r="C481" s="6">
        <f ca="1">_xlfn.NORM.INV(RAND(),AVERAGE(Assumptions!$D$5,Assumptions!$F$5),(Assumptions!$F$5-Assumptions!$D$5)/3.29)*44</f>
        <v>2051688.6812077989</v>
      </c>
      <c r="D481" s="9">
        <f ca="1">_xlfn.NORM.INV(RAND(),AVERAGE(Assumptions!$D$6,Assumptions!$F$6),(Assumptions!$F$6-Assumptions!$D$6)/3.29)*RANDBETWEEN(2,5)</f>
        <v>3096887.5048530689</v>
      </c>
      <c r="E481" s="12">
        <f ca="1">_xlfn.NORM.INV(RAND(),AVERAGE(Assumptions!$D$17,Assumptions!$F$17),(Assumptions!$F$17-Assumptions!$D$17)/3.29)*8</f>
        <v>931556.06531899178</v>
      </c>
      <c r="F481" s="15">
        <f ca="1">_xlfn.NORM.INV(RAND(),AVERAGE(Assumptions!$D$7,Assumptions!$F$7),(Assumptions!$F$7-Assumptions!$D$7)/3.29)*RANDBETWEEN(1,3)</f>
        <v>1949234.8481689251</v>
      </c>
      <c r="G481" s="3">
        <f ca="1">_xlfn.NORM.INV(RAND(),AVERAGE(Assumptions!$D$8,Assumptions!$F$8),(Assumptions!$F$8-Assumptions!$D$8)/3.29)*44</f>
        <v>875097.49886345048</v>
      </c>
      <c r="H481" s="6">
        <f ca="1">_xlfn.NORM.INV(RAND(),AVERAGE(Assumptions!$D$9,Assumptions!$F$9),(Assumptions!$F$9-Assumptions!$D$9)/3.29)*21</f>
        <v>3483059.2256601765</v>
      </c>
      <c r="I481" s="9">
        <f ca="1">_xlfn.NORM.INV(RAND(),AVERAGE(Assumptions!$D$10,Assumptions!$F$10),(Assumptions!$F$10-Assumptions!$D$10)/3.29)*21</f>
        <v>718314.62053927442</v>
      </c>
      <c r="J481" s="12">
        <f ca="1">NORMINV(RAND(),AVERAGE(Assumptions!$D$11,Assumptions!$F$11),(Assumptions!$F$11-Assumptions!$D$11)/3.29)*44</f>
        <v>4145692.2433626968</v>
      </c>
      <c r="K481" s="15">
        <f ca="1">_xlfn.NORM.INV(RAND(),AVERAGE(Assumptions!$D$12,Assumptions!$F$12),(Assumptions!$F$12-Assumptions!$D$12)/3.29)*44</f>
        <v>8097602.9423062215</v>
      </c>
      <c r="L481" s="3">
        <f ca="1">_xlfn.NORM.INV(RAND(),AVERAGE(Assumptions!$D$13,Assumptions!$F$13),(Assumptions!$F$13-Assumptions!$D$13)/3.29)*44</f>
        <v>3441247.8850485114</v>
      </c>
      <c r="M481" s="6">
        <f ca="1">_xlfn.NORM.INV(RAND(),AVERAGE(Assumptions!$D$14,Assumptions!$F$14),(Assumptions!$F$14-Assumptions!$D$14)/3.29)*44</f>
        <v>5509378.5341606867</v>
      </c>
      <c r="N481" s="9">
        <f ca="1">_xlfn.NORM.INV(RAND(),AVERAGE(Assumptions!$D$16,Assumptions!$F$16),(Assumptions!$F$16-Assumptions!$D$16)/3.29)*44</f>
        <v>12719736.308886543</v>
      </c>
      <c r="O481" s="12">
        <f ca="1">_xlfn.NORM.INV(RAND(),AVERAGE(Assumptions!$D$15,Assumptions!$F$15),(Assumptions!$F$15-Assumptions!$D$15)/3.29)*44</f>
        <v>86441381.036313936</v>
      </c>
      <c r="P481" s="15">
        <f>Assumptions!$D$18</f>
        <v>14641750.345627395</v>
      </c>
      <c r="Q481" s="3">
        <f t="shared" ca="1" si="14"/>
        <v>38230734.386601128</v>
      </c>
      <c r="R481" s="6">
        <f t="shared" ca="1" si="15"/>
        <v>52872484.732228525</v>
      </c>
    </row>
    <row r="482" spans="1:18">
      <c r="A482" s="20">
        <v>481</v>
      </c>
      <c r="B482" s="3">
        <f ca="1">_xlfn.NORM.INV(RAND(),AVERAGE(Assumptions!$D$4,Assumptions!$F$4),(Assumptions!$F$4-Assumptions!$D$4)/3.29)*44</f>
        <v>1269920.0877753163</v>
      </c>
      <c r="C482" s="6">
        <f ca="1">_xlfn.NORM.INV(RAND(),AVERAGE(Assumptions!$D$5,Assumptions!$F$5),(Assumptions!$F$5-Assumptions!$D$5)/3.29)*44</f>
        <v>1910618.5323096502</v>
      </c>
      <c r="D482" s="9">
        <f ca="1">_xlfn.NORM.INV(RAND(),AVERAGE(Assumptions!$D$6,Assumptions!$F$6),(Assumptions!$F$6-Assumptions!$D$6)/3.29)*RANDBETWEEN(2,5)</f>
        <v>2809491.074843083</v>
      </c>
      <c r="E482" s="12">
        <f ca="1">_xlfn.NORM.INV(RAND(),AVERAGE(Assumptions!$D$17,Assumptions!$F$17),(Assumptions!$F$17-Assumptions!$D$17)/3.29)*8</f>
        <v>1103370.0557753087</v>
      </c>
      <c r="F482" s="15">
        <f ca="1">_xlfn.NORM.INV(RAND(),AVERAGE(Assumptions!$D$7,Assumptions!$F$7),(Assumptions!$F$7-Assumptions!$D$7)/3.29)*RANDBETWEEN(1,3)</f>
        <v>5846921.2477278048</v>
      </c>
      <c r="G482" s="3">
        <f ca="1">_xlfn.NORM.INV(RAND(),AVERAGE(Assumptions!$D$8,Assumptions!$F$8),(Assumptions!$F$8-Assumptions!$D$8)/3.29)*44</f>
        <v>1033797.4164278411</v>
      </c>
      <c r="H482" s="6">
        <f ca="1">_xlfn.NORM.INV(RAND(),AVERAGE(Assumptions!$D$9,Assumptions!$F$9),(Assumptions!$F$9-Assumptions!$D$9)/3.29)*21</f>
        <v>3867345.3728537997</v>
      </c>
      <c r="I482" s="9">
        <f ca="1">_xlfn.NORM.INV(RAND(),AVERAGE(Assumptions!$D$10,Assumptions!$F$10),(Assumptions!$F$10-Assumptions!$D$10)/3.29)*21</f>
        <v>682971.75080155488</v>
      </c>
      <c r="J482" s="12">
        <f ca="1">NORMINV(RAND(),AVERAGE(Assumptions!$D$11,Assumptions!$F$11),(Assumptions!$F$11-Assumptions!$D$11)/3.29)*44</f>
        <v>1594424.4032073207</v>
      </c>
      <c r="K482" s="15">
        <f ca="1">_xlfn.NORM.INV(RAND(),AVERAGE(Assumptions!$D$12,Assumptions!$F$12),(Assumptions!$F$12-Assumptions!$D$12)/3.29)*44</f>
        <v>6104844.7351412941</v>
      </c>
      <c r="L482" s="3">
        <f ca="1">_xlfn.NORM.INV(RAND(),AVERAGE(Assumptions!$D$13,Assumptions!$F$13),(Assumptions!$F$13-Assumptions!$D$13)/3.29)*44</f>
        <v>14464999.299644683</v>
      </c>
      <c r="M482" s="6">
        <f ca="1">_xlfn.NORM.INV(RAND(),AVERAGE(Assumptions!$D$14,Assumptions!$F$14),(Assumptions!$F$14-Assumptions!$D$14)/3.29)*44</f>
        <v>6608233.5847209087</v>
      </c>
      <c r="N482" s="9">
        <f ca="1">_xlfn.NORM.INV(RAND(),AVERAGE(Assumptions!$D$16,Assumptions!$F$16),(Assumptions!$F$16-Assumptions!$D$16)/3.29)*44</f>
        <v>13027158.964978252</v>
      </c>
      <c r="O482" s="12">
        <f ca="1">_xlfn.NORM.INV(RAND(),AVERAGE(Assumptions!$D$15,Assumptions!$F$15),(Assumptions!$F$15-Assumptions!$D$15)/3.29)*44</f>
        <v>47102252.21770665</v>
      </c>
      <c r="P482" s="15">
        <f>Assumptions!$D$18</f>
        <v>14641750.345627395</v>
      </c>
      <c r="Q482" s="3">
        <f t="shared" ca="1" si="14"/>
        <v>-13221844.308500163</v>
      </c>
      <c r="R482" s="6">
        <f t="shared" ca="1" si="15"/>
        <v>1419906.0371272322</v>
      </c>
    </row>
    <row r="483" spans="1:18">
      <c r="A483" s="20">
        <v>482</v>
      </c>
      <c r="B483" s="3">
        <f ca="1">_xlfn.NORM.INV(RAND(),AVERAGE(Assumptions!$D$4,Assumptions!$F$4),(Assumptions!$F$4-Assumptions!$D$4)/3.29)*44</f>
        <v>1302868.4958313336</v>
      </c>
      <c r="C483" s="6">
        <f ca="1">_xlfn.NORM.INV(RAND(),AVERAGE(Assumptions!$D$5,Assumptions!$F$5),(Assumptions!$F$5-Assumptions!$D$5)/3.29)*44</f>
        <v>1628482.7156738013</v>
      </c>
      <c r="D483" s="9">
        <f ca="1">_xlfn.NORM.INV(RAND(),AVERAGE(Assumptions!$D$6,Assumptions!$F$6),(Assumptions!$F$6-Assumptions!$D$6)/3.29)*RANDBETWEEN(2,5)</f>
        <v>9871102.3921033703</v>
      </c>
      <c r="E483" s="12">
        <f ca="1">_xlfn.NORM.INV(RAND(),AVERAGE(Assumptions!$D$17,Assumptions!$F$17),(Assumptions!$F$17-Assumptions!$D$17)/3.29)*8</f>
        <v>1215526.0136464881</v>
      </c>
      <c r="F483" s="15">
        <f ca="1">_xlfn.NORM.INV(RAND(),AVERAGE(Assumptions!$D$7,Assumptions!$F$7),(Assumptions!$F$7-Assumptions!$D$7)/3.29)*RANDBETWEEN(1,3)</f>
        <v>3282894.8204150326</v>
      </c>
      <c r="G483" s="3">
        <f ca="1">_xlfn.NORM.INV(RAND(),AVERAGE(Assumptions!$D$8,Assumptions!$F$8),(Assumptions!$F$8-Assumptions!$D$8)/3.29)*44</f>
        <v>1581523.1475231349</v>
      </c>
      <c r="H483" s="6">
        <f ca="1">_xlfn.NORM.INV(RAND(),AVERAGE(Assumptions!$D$9,Assumptions!$F$9),(Assumptions!$F$9-Assumptions!$D$9)/3.29)*21</f>
        <v>4303736.4359331792</v>
      </c>
      <c r="I483" s="9">
        <f ca="1">_xlfn.NORM.INV(RAND(),AVERAGE(Assumptions!$D$10,Assumptions!$F$10),(Assumptions!$F$10-Assumptions!$D$10)/3.29)*21</f>
        <v>924036.20186934911</v>
      </c>
      <c r="J483" s="12">
        <f ca="1">NORMINV(RAND(),AVERAGE(Assumptions!$D$11,Assumptions!$F$11),(Assumptions!$F$11-Assumptions!$D$11)/3.29)*44</f>
        <v>3538474.9847197686</v>
      </c>
      <c r="K483" s="15">
        <f ca="1">_xlfn.NORM.INV(RAND(),AVERAGE(Assumptions!$D$12,Assumptions!$F$12),(Assumptions!$F$12-Assumptions!$D$12)/3.29)*44</f>
        <v>6299398.3447450073</v>
      </c>
      <c r="L483" s="3">
        <f ca="1">_xlfn.NORM.INV(RAND(),AVERAGE(Assumptions!$D$13,Assumptions!$F$13),(Assumptions!$F$13-Assumptions!$D$13)/3.29)*44</f>
        <v>20243962.156887185</v>
      </c>
      <c r="M483" s="6">
        <f ca="1">_xlfn.NORM.INV(RAND(),AVERAGE(Assumptions!$D$14,Assumptions!$F$14),(Assumptions!$F$14-Assumptions!$D$14)/3.29)*44</f>
        <v>7415201.9608453363</v>
      </c>
      <c r="N483" s="9">
        <f ca="1">_xlfn.NORM.INV(RAND(),AVERAGE(Assumptions!$D$16,Assumptions!$F$16),(Assumptions!$F$16-Assumptions!$D$16)/3.29)*44</f>
        <v>10930906.884728193</v>
      </c>
      <c r="O483" s="12">
        <f ca="1">_xlfn.NORM.INV(RAND(),AVERAGE(Assumptions!$D$15,Assumptions!$F$15),(Assumptions!$F$15-Assumptions!$D$15)/3.29)*44</f>
        <v>42892055.383967794</v>
      </c>
      <c r="P483" s="15">
        <f>Assumptions!$D$18</f>
        <v>14641750.345627395</v>
      </c>
      <c r="Q483" s="3">
        <f t="shared" ca="1" si="14"/>
        <v>-29646059.170953386</v>
      </c>
      <c r="R483" s="6">
        <f t="shared" ca="1" si="15"/>
        <v>-15004308.82532599</v>
      </c>
    </row>
    <row r="484" spans="1:18">
      <c r="A484" s="20">
        <v>483</v>
      </c>
      <c r="B484" s="3">
        <f ca="1">_xlfn.NORM.INV(RAND(),AVERAGE(Assumptions!$D$4,Assumptions!$F$4),(Assumptions!$F$4-Assumptions!$D$4)/3.29)*44</f>
        <v>1342826.2714871499</v>
      </c>
      <c r="C484" s="6">
        <f ca="1">_xlfn.NORM.INV(RAND(),AVERAGE(Assumptions!$D$5,Assumptions!$F$5),(Assumptions!$F$5-Assumptions!$D$5)/3.29)*44</f>
        <v>1936957.9838071384</v>
      </c>
      <c r="D484" s="9">
        <f ca="1">_xlfn.NORM.INV(RAND(),AVERAGE(Assumptions!$D$6,Assumptions!$F$6),(Assumptions!$F$6-Assumptions!$D$6)/3.29)*RANDBETWEEN(2,5)</f>
        <v>3554439.9861786319</v>
      </c>
      <c r="E484" s="12">
        <f ca="1">_xlfn.NORM.INV(RAND(),AVERAGE(Assumptions!$D$17,Assumptions!$F$17),(Assumptions!$F$17-Assumptions!$D$17)/3.29)*8</f>
        <v>1086888.0632852919</v>
      </c>
      <c r="F484" s="15">
        <f ca="1">_xlfn.NORM.INV(RAND(),AVERAGE(Assumptions!$D$7,Assumptions!$F$7),(Assumptions!$F$7-Assumptions!$D$7)/3.29)*RANDBETWEEN(1,3)</f>
        <v>3283697.2240473214</v>
      </c>
      <c r="G484" s="3">
        <f ca="1">_xlfn.NORM.INV(RAND(),AVERAGE(Assumptions!$D$8,Assumptions!$F$8),(Assumptions!$F$8-Assumptions!$D$8)/3.29)*44</f>
        <v>1004996.5792568334</v>
      </c>
      <c r="H484" s="6">
        <f ca="1">_xlfn.NORM.INV(RAND(),AVERAGE(Assumptions!$D$9,Assumptions!$F$9),(Assumptions!$F$9-Assumptions!$D$9)/3.29)*21</f>
        <v>4518063.8161724396</v>
      </c>
      <c r="I484" s="9">
        <f ca="1">_xlfn.NORM.INV(RAND(),AVERAGE(Assumptions!$D$10,Assumptions!$F$10),(Assumptions!$F$10-Assumptions!$D$10)/3.29)*21</f>
        <v>845099.86383941211</v>
      </c>
      <c r="J484" s="12">
        <f ca="1">NORMINV(RAND(),AVERAGE(Assumptions!$D$11,Assumptions!$F$11),(Assumptions!$F$11-Assumptions!$D$11)/3.29)*44</f>
        <v>4056642.0320018423</v>
      </c>
      <c r="K484" s="15">
        <f ca="1">_xlfn.NORM.INV(RAND(),AVERAGE(Assumptions!$D$12,Assumptions!$F$12),(Assumptions!$F$12-Assumptions!$D$12)/3.29)*44</f>
        <v>7832943.9900706103</v>
      </c>
      <c r="L484" s="3">
        <f ca="1">_xlfn.NORM.INV(RAND(),AVERAGE(Assumptions!$D$13,Assumptions!$F$13),(Assumptions!$F$13-Assumptions!$D$13)/3.29)*44</f>
        <v>4921648.8516108589</v>
      </c>
      <c r="M484" s="6">
        <f ca="1">_xlfn.NORM.INV(RAND(),AVERAGE(Assumptions!$D$14,Assumptions!$F$14),(Assumptions!$F$14-Assumptions!$D$14)/3.29)*44</f>
        <v>5017025.0306881322</v>
      </c>
      <c r="N484" s="9">
        <f ca="1">_xlfn.NORM.INV(RAND(),AVERAGE(Assumptions!$D$16,Assumptions!$F$16),(Assumptions!$F$16-Assumptions!$D$16)/3.29)*44</f>
        <v>11527837.577988327</v>
      </c>
      <c r="O484" s="12">
        <f ca="1">_xlfn.NORM.INV(RAND(),AVERAGE(Assumptions!$D$15,Assumptions!$F$15),(Assumptions!$F$15-Assumptions!$D$15)/3.29)*44</f>
        <v>49764527.225876927</v>
      </c>
      <c r="P484" s="15">
        <f>Assumptions!$D$18</f>
        <v>14641750.345627395</v>
      </c>
      <c r="Q484" s="3">
        <f t="shared" ca="1" si="14"/>
        <v>-1164540.0445570573</v>
      </c>
      <c r="R484" s="6">
        <f t="shared" ca="1" si="15"/>
        <v>13477210.301070338</v>
      </c>
    </row>
    <row r="485" spans="1:18">
      <c r="A485" s="20">
        <v>484</v>
      </c>
      <c r="B485" s="3">
        <f ca="1">_xlfn.NORM.INV(RAND(),AVERAGE(Assumptions!$D$4,Assumptions!$F$4),(Assumptions!$F$4-Assumptions!$D$4)/3.29)*44</f>
        <v>1248189.9618865934</v>
      </c>
      <c r="C485" s="6">
        <f ca="1">_xlfn.NORM.INV(RAND(),AVERAGE(Assumptions!$D$5,Assumptions!$F$5),(Assumptions!$F$5-Assumptions!$D$5)/3.29)*44</f>
        <v>1768107.5677315355</v>
      </c>
      <c r="D485" s="9">
        <f ca="1">_xlfn.NORM.INV(RAND(),AVERAGE(Assumptions!$D$6,Assumptions!$F$6),(Assumptions!$F$6-Assumptions!$D$6)/3.29)*RANDBETWEEN(2,5)</f>
        <v>4766849.19456755</v>
      </c>
      <c r="E485" s="12">
        <f ca="1">_xlfn.NORM.INV(RAND(),AVERAGE(Assumptions!$D$17,Assumptions!$F$17),(Assumptions!$F$17-Assumptions!$D$17)/3.29)*8</f>
        <v>992805.12133835058</v>
      </c>
      <c r="F485" s="15">
        <f ca="1">_xlfn.NORM.INV(RAND(),AVERAGE(Assumptions!$D$7,Assumptions!$F$7),(Assumptions!$F$7-Assumptions!$D$7)/3.29)*RANDBETWEEN(1,3)</f>
        <v>891525.43628200609</v>
      </c>
      <c r="G485" s="3">
        <f ca="1">_xlfn.NORM.INV(RAND(),AVERAGE(Assumptions!$D$8,Assumptions!$F$8),(Assumptions!$F$8-Assumptions!$D$8)/3.29)*44</f>
        <v>857910.48649126897</v>
      </c>
      <c r="H485" s="6">
        <f ca="1">_xlfn.NORM.INV(RAND(),AVERAGE(Assumptions!$D$9,Assumptions!$F$9),(Assumptions!$F$9-Assumptions!$D$9)/3.29)*21</f>
        <v>6066321.0303465463</v>
      </c>
      <c r="I485" s="9">
        <f ca="1">_xlfn.NORM.INV(RAND(),AVERAGE(Assumptions!$D$10,Assumptions!$F$10),(Assumptions!$F$10-Assumptions!$D$10)/3.29)*21</f>
        <v>748278.75746158278</v>
      </c>
      <c r="J485" s="12">
        <f ca="1">NORMINV(RAND(),AVERAGE(Assumptions!$D$11,Assumptions!$F$11),(Assumptions!$F$11-Assumptions!$D$11)/3.29)*44</f>
        <v>2889137.0037803873</v>
      </c>
      <c r="K485" s="15">
        <f ca="1">_xlfn.NORM.INV(RAND(),AVERAGE(Assumptions!$D$12,Assumptions!$F$12),(Assumptions!$F$12-Assumptions!$D$12)/3.29)*44</f>
        <v>8070482.8990203412</v>
      </c>
      <c r="L485" s="3">
        <f ca="1">_xlfn.NORM.INV(RAND(),AVERAGE(Assumptions!$D$13,Assumptions!$F$13),(Assumptions!$F$13-Assumptions!$D$13)/3.29)*44</f>
        <v>11753767.057072043</v>
      </c>
      <c r="M485" s="6">
        <f ca="1">_xlfn.NORM.INV(RAND(),AVERAGE(Assumptions!$D$14,Assumptions!$F$14),(Assumptions!$F$14-Assumptions!$D$14)/3.29)*44</f>
        <v>5624778.7697508223</v>
      </c>
      <c r="N485" s="9">
        <f ca="1">_xlfn.NORM.INV(RAND(),AVERAGE(Assumptions!$D$16,Assumptions!$F$16),(Assumptions!$F$16-Assumptions!$D$16)/3.29)*44</f>
        <v>5701607.7926846752</v>
      </c>
      <c r="O485" s="12">
        <f ca="1">_xlfn.NORM.INV(RAND(),AVERAGE(Assumptions!$D$15,Assumptions!$F$15),(Assumptions!$F$15-Assumptions!$D$15)/3.29)*44</f>
        <v>135855271.05826777</v>
      </c>
      <c r="P485" s="15">
        <f>Assumptions!$D$18</f>
        <v>14641750.345627395</v>
      </c>
      <c r="Q485" s="3">
        <f t="shared" ca="1" si="14"/>
        <v>84475509.979854077</v>
      </c>
      <c r="R485" s="6">
        <f t="shared" ca="1" si="15"/>
        <v>99117260.325481474</v>
      </c>
    </row>
    <row r="486" spans="1:18">
      <c r="A486" s="20">
        <v>485</v>
      </c>
      <c r="B486" s="3">
        <f ca="1">_xlfn.NORM.INV(RAND(),AVERAGE(Assumptions!$D$4,Assumptions!$F$4),(Assumptions!$F$4-Assumptions!$D$4)/3.29)*44</f>
        <v>1228557.0401494845</v>
      </c>
      <c r="C486" s="6">
        <f ca="1">_xlfn.NORM.INV(RAND(),AVERAGE(Assumptions!$D$5,Assumptions!$F$5),(Assumptions!$F$5-Assumptions!$D$5)/3.29)*44</f>
        <v>1808297.403064298</v>
      </c>
      <c r="D486" s="9">
        <f ca="1">_xlfn.NORM.INV(RAND(),AVERAGE(Assumptions!$D$6,Assumptions!$F$6),(Assumptions!$F$6-Assumptions!$D$6)/3.29)*RANDBETWEEN(2,5)</f>
        <v>4801283.9340590676</v>
      </c>
      <c r="E486" s="12">
        <f ca="1">_xlfn.NORM.INV(RAND(),AVERAGE(Assumptions!$D$17,Assumptions!$F$17),(Assumptions!$F$17-Assumptions!$D$17)/3.29)*8</f>
        <v>978537.96231158939</v>
      </c>
      <c r="F486" s="15">
        <f ca="1">_xlfn.NORM.INV(RAND(),AVERAGE(Assumptions!$D$7,Assumptions!$F$7),(Assumptions!$F$7-Assumptions!$D$7)/3.29)*RANDBETWEEN(1,3)</f>
        <v>1087058.0720889501</v>
      </c>
      <c r="G486" s="3">
        <f ca="1">_xlfn.NORM.INV(RAND(),AVERAGE(Assumptions!$D$8,Assumptions!$F$8),(Assumptions!$F$8-Assumptions!$D$8)/3.29)*44</f>
        <v>1267538.5887060841</v>
      </c>
      <c r="H486" s="6">
        <f ca="1">_xlfn.NORM.INV(RAND(),AVERAGE(Assumptions!$D$9,Assumptions!$F$9),(Assumptions!$F$9-Assumptions!$D$9)/3.29)*21</f>
        <v>5944405.4555453565</v>
      </c>
      <c r="I486" s="9">
        <f ca="1">_xlfn.NORM.INV(RAND(),AVERAGE(Assumptions!$D$10,Assumptions!$F$10),(Assumptions!$F$10-Assumptions!$D$10)/3.29)*21</f>
        <v>1296511.1871331059</v>
      </c>
      <c r="J486" s="12">
        <f ca="1">NORMINV(RAND(),AVERAGE(Assumptions!$D$11,Assumptions!$F$11),(Assumptions!$F$11-Assumptions!$D$11)/3.29)*44</f>
        <v>5627570.5566265211</v>
      </c>
      <c r="K486" s="15">
        <f ca="1">_xlfn.NORM.INV(RAND(),AVERAGE(Assumptions!$D$12,Assumptions!$F$12),(Assumptions!$F$12-Assumptions!$D$12)/3.29)*44</f>
        <v>10396170.291717332</v>
      </c>
      <c r="L486" s="3">
        <f ca="1">_xlfn.NORM.INV(RAND(),AVERAGE(Assumptions!$D$13,Assumptions!$F$13),(Assumptions!$F$13-Assumptions!$D$13)/3.29)*44</f>
        <v>10060748.691030543</v>
      </c>
      <c r="M486" s="6">
        <f ca="1">_xlfn.NORM.INV(RAND(),AVERAGE(Assumptions!$D$14,Assumptions!$F$14),(Assumptions!$F$14-Assumptions!$D$14)/3.29)*44</f>
        <v>7179979.0132338246</v>
      </c>
      <c r="N486" s="9">
        <f ca="1">_xlfn.NORM.INV(RAND(),AVERAGE(Assumptions!$D$16,Assumptions!$F$16),(Assumptions!$F$16-Assumptions!$D$16)/3.29)*44</f>
        <v>9199975.8941679019</v>
      </c>
      <c r="O486" s="12">
        <f ca="1">_xlfn.NORM.INV(RAND(),AVERAGE(Assumptions!$D$15,Assumptions!$F$15),(Assumptions!$F$15-Assumptions!$D$15)/3.29)*44</f>
        <v>48570872.603145763</v>
      </c>
      <c r="P486" s="15">
        <f>Assumptions!$D$18</f>
        <v>14641750.345627395</v>
      </c>
      <c r="Q486" s="3">
        <f t="shared" ca="1" si="14"/>
        <v>-12305761.486688294</v>
      </c>
      <c r="R486" s="6">
        <f t="shared" ca="1" si="15"/>
        <v>2335988.8589391019</v>
      </c>
    </row>
    <row r="487" spans="1:18">
      <c r="A487" s="20">
        <v>486</v>
      </c>
      <c r="B487" s="3">
        <f ca="1">_xlfn.NORM.INV(RAND(),AVERAGE(Assumptions!$D$4,Assumptions!$F$4),(Assumptions!$F$4-Assumptions!$D$4)/3.29)*44</f>
        <v>1105310.3118680813</v>
      </c>
      <c r="C487" s="6">
        <f ca="1">_xlfn.NORM.INV(RAND(),AVERAGE(Assumptions!$D$5,Assumptions!$F$5),(Assumptions!$F$5-Assumptions!$D$5)/3.29)*44</f>
        <v>1653047.3156467222</v>
      </c>
      <c r="D487" s="9">
        <f ca="1">_xlfn.NORM.INV(RAND(),AVERAGE(Assumptions!$D$6,Assumptions!$F$6),(Assumptions!$F$6-Assumptions!$D$6)/3.29)*RANDBETWEEN(2,5)</f>
        <v>4891504.3270959705</v>
      </c>
      <c r="E487" s="12">
        <f ca="1">_xlfn.NORM.INV(RAND(),AVERAGE(Assumptions!$D$17,Assumptions!$F$17),(Assumptions!$F$17-Assumptions!$D$17)/3.29)*8</f>
        <v>1068698.0505132298</v>
      </c>
      <c r="F487" s="15">
        <f ca="1">_xlfn.NORM.INV(RAND(),AVERAGE(Assumptions!$D$7,Assumptions!$F$7),(Assumptions!$F$7-Assumptions!$D$7)/3.29)*RANDBETWEEN(1,3)</f>
        <v>5667004.2742273239</v>
      </c>
      <c r="G487" s="3">
        <f ca="1">_xlfn.NORM.INV(RAND(),AVERAGE(Assumptions!$D$8,Assumptions!$F$8),(Assumptions!$F$8-Assumptions!$D$8)/3.29)*44</f>
        <v>1014868.2715649158</v>
      </c>
      <c r="H487" s="6">
        <f ca="1">_xlfn.NORM.INV(RAND(),AVERAGE(Assumptions!$D$9,Assumptions!$F$9),(Assumptions!$F$9-Assumptions!$D$9)/3.29)*21</f>
        <v>3909997.1103685801</v>
      </c>
      <c r="I487" s="9">
        <f ca="1">_xlfn.NORM.INV(RAND(),AVERAGE(Assumptions!$D$10,Assumptions!$F$10),(Assumptions!$F$10-Assumptions!$D$10)/3.29)*21</f>
        <v>1437002.2734806219</v>
      </c>
      <c r="J487" s="12">
        <f ca="1">NORMINV(RAND(),AVERAGE(Assumptions!$D$11,Assumptions!$F$11),(Assumptions!$F$11-Assumptions!$D$11)/3.29)*44</f>
        <v>5099353.0799133852</v>
      </c>
      <c r="K487" s="15">
        <f ca="1">_xlfn.NORM.INV(RAND(),AVERAGE(Assumptions!$D$12,Assumptions!$F$12),(Assumptions!$F$12-Assumptions!$D$12)/3.29)*44</f>
        <v>11802193.925154045</v>
      </c>
      <c r="L487" s="3">
        <f ca="1">_xlfn.NORM.INV(RAND(),AVERAGE(Assumptions!$D$13,Assumptions!$F$13),(Assumptions!$F$13-Assumptions!$D$13)/3.29)*44</f>
        <v>10774556.567729602</v>
      </c>
      <c r="M487" s="6">
        <f ca="1">_xlfn.NORM.INV(RAND(),AVERAGE(Assumptions!$D$14,Assumptions!$F$14),(Assumptions!$F$14-Assumptions!$D$14)/3.29)*44</f>
        <v>6903561.1222264012</v>
      </c>
      <c r="N487" s="9">
        <f ca="1">_xlfn.NORM.INV(RAND(),AVERAGE(Assumptions!$D$16,Assumptions!$F$16),(Assumptions!$F$16-Assumptions!$D$16)/3.29)*44</f>
        <v>7229132.2378636077</v>
      </c>
      <c r="O487" s="12">
        <f ca="1">_xlfn.NORM.INV(RAND(),AVERAGE(Assumptions!$D$15,Assumptions!$F$15),(Assumptions!$F$15-Assumptions!$D$15)/3.29)*44</f>
        <v>105608044.21087469</v>
      </c>
      <c r="P487" s="15">
        <f>Assumptions!$D$18</f>
        <v>14641750.345627395</v>
      </c>
      <c r="Q487" s="3">
        <f t="shared" ca="1" si="14"/>
        <v>43051815.343222208</v>
      </c>
      <c r="R487" s="6">
        <f t="shared" ca="1" si="15"/>
        <v>57693565.688849606</v>
      </c>
    </row>
    <row r="488" spans="1:18">
      <c r="A488" s="20">
        <v>487</v>
      </c>
      <c r="B488" s="3">
        <f ca="1">_xlfn.NORM.INV(RAND(),AVERAGE(Assumptions!$D$4,Assumptions!$F$4),(Assumptions!$F$4-Assumptions!$D$4)/3.29)*44</f>
        <v>1232052.3070949181</v>
      </c>
      <c r="C488" s="6">
        <f ca="1">_xlfn.NORM.INV(RAND(),AVERAGE(Assumptions!$D$5,Assumptions!$F$5),(Assumptions!$F$5-Assumptions!$D$5)/3.29)*44</f>
        <v>1614919.6764555322</v>
      </c>
      <c r="D488" s="9">
        <f ca="1">_xlfn.NORM.INV(RAND(),AVERAGE(Assumptions!$D$6,Assumptions!$F$6),(Assumptions!$F$6-Assumptions!$D$6)/3.29)*RANDBETWEEN(2,5)</f>
        <v>5663139.7863092776</v>
      </c>
      <c r="E488" s="12">
        <f ca="1">_xlfn.NORM.INV(RAND(),AVERAGE(Assumptions!$D$17,Assumptions!$F$17),(Assumptions!$F$17-Assumptions!$D$17)/3.29)*8</f>
        <v>845449.8400471916</v>
      </c>
      <c r="F488" s="15">
        <f ca="1">_xlfn.NORM.INV(RAND(),AVERAGE(Assumptions!$D$7,Assumptions!$F$7),(Assumptions!$F$7-Assumptions!$D$7)/3.29)*RANDBETWEEN(1,3)</f>
        <v>1317411.2346469255</v>
      </c>
      <c r="G488" s="3">
        <f ca="1">_xlfn.NORM.INV(RAND(),AVERAGE(Assumptions!$D$8,Assumptions!$F$8),(Assumptions!$F$8-Assumptions!$D$8)/3.29)*44</f>
        <v>1363254.4413116993</v>
      </c>
      <c r="H488" s="6">
        <f ca="1">_xlfn.NORM.INV(RAND(),AVERAGE(Assumptions!$D$9,Assumptions!$F$9),(Assumptions!$F$9-Assumptions!$D$9)/3.29)*21</f>
        <v>4466591.5080400454</v>
      </c>
      <c r="I488" s="9">
        <f ca="1">_xlfn.NORM.INV(RAND(),AVERAGE(Assumptions!$D$10,Assumptions!$F$10),(Assumptions!$F$10-Assumptions!$D$10)/3.29)*21</f>
        <v>839206.66354323248</v>
      </c>
      <c r="J488" s="12">
        <f ca="1">NORMINV(RAND(),AVERAGE(Assumptions!$D$11,Assumptions!$F$11),(Assumptions!$F$11-Assumptions!$D$11)/3.29)*44</f>
        <v>3511348.3356507891</v>
      </c>
      <c r="K488" s="15">
        <f ca="1">_xlfn.NORM.INV(RAND(),AVERAGE(Assumptions!$D$12,Assumptions!$F$12),(Assumptions!$F$12-Assumptions!$D$12)/3.29)*44</f>
        <v>9330862.0759974122</v>
      </c>
      <c r="L488" s="3">
        <f ca="1">_xlfn.NORM.INV(RAND(),AVERAGE(Assumptions!$D$13,Assumptions!$F$13),(Assumptions!$F$13-Assumptions!$D$13)/3.29)*44</f>
        <v>2146727.4646749347</v>
      </c>
      <c r="M488" s="6">
        <f ca="1">_xlfn.NORM.INV(RAND(),AVERAGE(Assumptions!$D$14,Assumptions!$F$14),(Assumptions!$F$14-Assumptions!$D$14)/3.29)*44</f>
        <v>5666292.7855786709</v>
      </c>
      <c r="N488" s="9">
        <f ca="1">_xlfn.NORM.INV(RAND(),AVERAGE(Assumptions!$D$16,Assumptions!$F$16),(Assumptions!$F$16-Assumptions!$D$16)/3.29)*44</f>
        <v>11949531.700408226</v>
      </c>
      <c r="O488" s="12">
        <f ca="1">_xlfn.NORM.INV(RAND(),AVERAGE(Assumptions!$D$15,Assumptions!$F$15),(Assumptions!$F$15-Assumptions!$D$15)/3.29)*44</f>
        <v>120316869.0951823</v>
      </c>
      <c r="P488" s="15">
        <f>Assumptions!$D$18</f>
        <v>14641750.345627395</v>
      </c>
      <c r="Q488" s="3">
        <f t="shared" ca="1" si="14"/>
        <v>70370081.275423437</v>
      </c>
      <c r="R488" s="6">
        <f t="shared" ca="1" si="15"/>
        <v>85011831.621050835</v>
      </c>
    </row>
    <row r="489" spans="1:18">
      <c r="A489" s="20">
        <v>488</v>
      </c>
      <c r="B489" s="3">
        <f ca="1">_xlfn.NORM.INV(RAND(),AVERAGE(Assumptions!$D$4,Assumptions!$F$4),(Assumptions!$F$4-Assumptions!$D$4)/3.29)*44</f>
        <v>1118161.741792717</v>
      </c>
      <c r="C489" s="6">
        <f ca="1">_xlfn.NORM.INV(RAND(),AVERAGE(Assumptions!$D$5,Assumptions!$F$5),(Assumptions!$F$5-Assumptions!$D$5)/3.29)*44</f>
        <v>1986250.6221725626</v>
      </c>
      <c r="D489" s="9">
        <f ca="1">_xlfn.NORM.INV(RAND(),AVERAGE(Assumptions!$D$6,Assumptions!$F$6),(Assumptions!$F$6-Assumptions!$D$6)/3.29)*RANDBETWEEN(2,5)</f>
        <v>5950710.9254508326</v>
      </c>
      <c r="E489" s="12">
        <f ca="1">_xlfn.NORM.INV(RAND(),AVERAGE(Assumptions!$D$17,Assumptions!$F$17),(Assumptions!$F$17-Assumptions!$D$17)/3.29)*8</f>
        <v>1018801.4843713687</v>
      </c>
      <c r="F489" s="15">
        <f ca="1">_xlfn.NORM.INV(RAND(),AVERAGE(Assumptions!$D$7,Assumptions!$F$7),(Assumptions!$F$7-Assumptions!$D$7)/3.29)*RANDBETWEEN(1,3)</f>
        <v>3768394.8349854886</v>
      </c>
      <c r="G489" s="3">
        <f ca="1">_xlfn.NORM.INV(RAND(),AVERAGE(Assumptions!$D$8,Assumptions!$F$8),(Assumptions!$F$8-Assumptions!$D$8)/3.29)*44</f>
        <v>1003751.6744396794</v>
      </c>
      <c r="H489" s="6">
        <f ca="1">_xlfn.NORM.INV(RAND(),AVERAGE(Assumptions!$D$9,Assumptions!$F$9),(Assumptions!$F$9-Assumptions!$D$9)/3.29)*21</f>
        <v>5704835.2814509543</v>
      </c>
      <c r="I489" s="9">
        <f ca="1">_xlfn.NORM.INV(RAND(),AVERAGE(Assumptions!$D$10,Assumptions!$F$10),(Assumptions!$F$10-Assumptions!$D$10)/3.29)*21</f>
        <v>865647.4553148495</v>
      </c>
      <c r="J489" s="12">
        <f ca="1">NORMINV(RAND(),AVERAGE(Assumptions!$D$11,Assumptions!$F$11),(Assumptions!$F$11-Assumptions!$D$11)/3.29)*44</f>
        <v>3199227.7929610428</v>
      </c>
      <c r="K489" s="15">
        <f ca="1">_xlfn.NORM.INV(RAND(),AVERAGE(Assumptions!$D$12,Assumptions!$F$12),(Assumptions!$F$12-Assumptions!$D$12)/3.29)*44</f>
        <v>8377560.3625995284</v>
      </c>
      <c r="L489" s="3">
        <f ca="1">_xlfn.NORM.INV(RAND(),AVERAGE(Assumptions!$D$13,Assumptions!$F$13),(Assumptions!$F$13-Assumptions!$D$13)/3.29)*44</f>
        <v>14896617.592325943</v>
      </c>
      <c r="M489" s="6">
        <f ca="1">_xlfn.NORM.INV(RAND(),AVERAGE(Assumptions!$D$14,Assumptions!$F$14),(Assumptions!$F$14-Assumptions!$D$14)/3.29)*44</f>
        <v>8774675.4889073726</v>
      </c>
      <c r="N489" s="9">
        <f ca="1">_xlfn.NORM.INV(RAND(),AVERAGE(Assumptions!$D$16,Assumptions!$F$16),(Assumptions!$F$16-Assumptions!$D$16)/3.29)*44</f>
        <v>5609955.4039604524</v>
      </c>
      <c r="O489" s="12">
        <f ca="1">_xlfn.NORM.INV(RAND(),AVERAGE(Assumptions!$D$15,Assumptions!$F$15),(Assumptions!$F$15-Assumptions!$D$15)/3.29)*44</f>
        <v>35577277.44061777</v>
      </c>
      <c r="P489" s="15">
        <f>Assumptions!$D$18</f>
        <v>14641750.345627395</v>
      </c>
      <c r="Q489" s="3">
        <f t="shared" ca="1" si="14"/>
        <v>-26697313.220115028</v>
      </c>
      <c r="R489" s="6">
        <f t="shared" ca="1" si="15"/>
        <v>-12055562.874487633</v>
      </c>
    </row>
    <row r="490" spans="1:18">
      <c r="A490" s="20">
        <v>489</v>
      </c>
      <c r="B490" s="3">
        <f ca="1">_xlfn.NORM.INV(RAND(),AVERAGE(Assumptions!$D$4,Assumptions!$F$4),(Assumptions!$F$4-Assumptions!$D$4)/3.29)*44</f>
        <v>1223278.0454205694</v>
      </c>
      <c r="C490" s="6">
        <f ca="1">_xlfn.NORM.INV(RAND(),AVERAGE(Assumptions!$D$5,Assumptions!$F$5),(Assumptions!$F$5-Assumptions!$D$5)/3.29)*44</f>
        <v>1914153.9101045863</v>
      </c>
      <c r="D490" s="9">
        <f ca="1">_xlfn.NORM.INV(RAND(),AVERAGE(Assumptions!$D$6,Assumptions!$F$6),(Assumptions!$F$6-Assumptions!$D$6)/3.29)*RANDBETWEEN(2,5)</f>
        <v>2215309.1016575107</v>
      </c>
      <c r="E490" s="12">
        <f ca="1">_xlfn.NORM.INV(RAND(),AVERAGE(Assumptions!$D$17,Assumptions!$F$17),(Assumptions!$F$17-Assumptions!$D$17)/3.29)*8</f>
        <v>1055529.1831837799</v>
      </c>
      <c r="F490" s="15">
        <f ca="1">_xlfn.NORM.INV(RAND(),AVERAGE(Assumptions!$D$7,Assumptions!$F$7),(Assumptions!$F$7-Assumptions!$D$7)/3.29)*RANDBETWEEN(1,3)</f>
        <v>2838722.3613813636</v>
      </c>
      <c r="G490" s="3">
        <f ca="1">_xlfn.NORM.INV(RAND(),AVERAGE(Assumptions!$D$8,Assumptions!$F$8),(Assumptions!$F$8-Assumptions!$D$8)/3.29)*44</f>
        <v>919461.76535569329</v>
      </c>
      <c r="H490" s="6">
        <f ca="1">_xlfn.NORM.INV(RAND(),AVERAGE(Assumptions!$D$9,Assumptions!$F$9),(Assumptions!$F$9-Assumptions!$D$9)/3.29)*21</f>
        <v>4585987.7348021455</v>
      </c>
      <c r="I490" s="9">
        <f ca="1">_xlfn.NORM.INV(RAND(),AVERAGE(Assumptions!$D$10,Assumptions!$F$10),(Assumptions!$F$10-Assumptions!$D$10)/3.29)*21</f>
        <v>1064998.654482665</v>
      </c>
      <c r="J490" s="12">
        <f ca="1">NORMINV(RAND(),AVERAGE(Assumptions!$D$11,Assumptions!$F$11),(Assumptions!$F$11-Assumptions!$D$11)/3.29)*44</f>
        <v>3005186.9613843551</v>
      </c>
      <c r="K490" s="15">
        <f ca="1">_xlfn.NORM.INV(RAND(),AVERAGE(Assumptions!$D$12,Assumptions!$F$12),(Assumptions!$F$12-Assumptions!$D$12)/3.29)*44</f>
        <v>7450563.1484361803</v>
      </c>
      <c r="L490" s="3">
        <f ca="1">_xlfn.NORM.INV(RAND(),AVERAGE(Assumptions!$D$13,Assumptions!$F$13),(Assumptions!$F$13-Assumptions!$D$13)/3.29)*44</f>
        <v>18573055.4284431</v>
      </c>
      <c r="M490" s="6">
        <f ca="1">_xlfn.NORM.INV(RAND(),AVERAGE(Assumptions!$D$14,Assumptions!$F$14),(Assumptions!$F$14-Assumptions!$D$14)/3.29)*44</f>
        <v>7795927.312844649</v>
      </c>
      <c r="N490" s="9">
        <f ca="1">_xlfn.NORM.INV(RAND(),AVERAGE(Assumptions!$D$16,Assumptions!$F$16),(Assumptions!$F$16-Assumptions!$D$16)/3.29)*44</f>
        <v>9431541.5026526228</v>
      </c>
      <c r="O490" s="12">
        <f ca="1">_xlfn.NORM.INV(RAND(),AVERAGE(Assumptions!$D$15,Assumptions!$F$15),(Assumptions!$F$15-Assumptions!$D$15)/3.29)*44</f>
        <v>171332456.47569281</v>
      </c>
      <c r="P490" s="15">
        <f>Assumptions!$D$18</f>
        <v>14641750.345627395</v>
      </c>
      <c r="Q490" s="3">
        <f t="shared" ca="1" si="14"/>
        <v>109258741.36554359</v>
      </c>
      <c r="R490" s="6">
        <f t="shared" ca="1" si="15"/>
        <v>123900491.71117099</v>
      </c>
    </row>
    <row r="491" spans="1:18">
      <c r="A491" s="20">
        <v>490</v>
      </c>
      <c r="B491" s="3">
        <f ca="1">_xlfn.NORM.INV(RAND(),AVERAGE(Assumptions!$D$4,Assumptions!$F$4),(Assumptions!$F$4-Assumptions!$D$4)/3.29)*44</f>
        <v>1197284.4097360431</v>
      </c>
      <c r="C491" s="6">
        <f ca="1">_xlfn.NORM.INV(RAND(),AVERAGE(Assumptions!$D$5,Assumptions!$F$5),(Assumptions!$F$5-Assumptions!$D$5)/3.29)*44</f>
        <v>1752931.5244643679</v>
      </c>
      <c r="D491" s="9">
        <f ca="1">_xlfn.NORM.INV(RAND(),AVERAGE(Assumptions!$D$6,Assumptions!$F$6),(Assumptions!$F$6-Assumptions!$D$6)/3.29)*RANDBETWEEN(2,5)</f>
        <v>6876491.7817032943</v>
      </c>
      <c r="E491" s="12">
        <f ca="1">_xlfn.NORM.INV(RAND(),AVERAGE(Assumptions!$D$17,Assumptions!$F$17),(Assumptions!$F$17-Assumptions!$D$17)/3.29)*8</f>
        <v>846117.16564875515</v>
      </c>
      <c r="F491" s="15">
        <f ca="1">_xlfn.NORM.INV(RAND(),AVERAGE(Assumptions!$D$7,Assumptions!$F$7),(Assumptions!$F$7-Assumptions!$D$7)/3.29)*RANDBETWEEN(1,3)</f>
        <v>8280207.3747720625</v>
      </c>
      <c r="G491" s="3">
        <f ca="1">_xlfn.NORM.INV(RAND(),AVERAGE(Assumptions!$D$8,Assumptions!$F$8),(Assumptions!$F$8-Assumptions!$D$8)/3.29)*44</f>
        <v>1097609.8867359054</v>
      </c>
      <c r="H491" s="6">
        <f ca="1">_xlfn.NORM.INV(RAND(),AVERAGE(Assumptions!$D$9,Assumptions!$F$9),(Assumptions!$F$9-Assumptions!$D$9)/3.29)*21</f>
        <v>4682790.3768755617</v>
      </c>
      <c r="I491" s="9">
        <f ca="1">_xlfn.NORM.INV(RAND(),AVERAGE(Assumptions!$D$10,Assumptions!$F$10),(Assumptions!$F$10-Assumptions!$D$10)/3.29)*21</f>
        <v>667607.84959511191</v>
      </c>
      <c r="J491" s="12">
        <f ca="1">NORMINV(RAND(),AVERAGE(Assumptions!$D$11,Assumptions!$F$11),(Assumptions!$F$11-Assumptions!$D$11)/3.29)*44</f>
        <v>3939953.4743609061</v>
      </c>
      <c r="K491" s="15">
        <f ca="1">_xlfn.NORM.INV(RAND(),AVERAGE(Assumptions!$D$12,Assumptions!$F$12),(Assumptions!$F$12-Assumptions!$D$12)/3.29)*44</f>
        <v>11549707.804134773</v>
      </c>
      <c r="L491" s="3">
        <f ca="1">_xlfn.NORM.INV(RAND(),AVERAGE(Assumptions!$D$13,Assumptions!$F$13),(Assumptions!$F$13-Assumptions!$D$13)/3.29)*44</f>
        <v>7929282.3018192984</v>
      </c>
      <c r="M491" s="6">
        <f ca="1">_xlfn.NORM.INV(RAND(),AVERAGE(Assumptions!$D$14,Assumptions!$F$14),(Assumptions!$F$14-Assumptions!$D$14)/3.29)*44</f>
        <v>5423743.39299748</v>
      </c>
      <c r="N491" s="9">
        <f ca="1">_xlfn.NORM.INV(RAND(),AVERAGE(Assumptions!$D$16,Assumptions!$F$16),(Assumptions!$F$16-Assumptions!$D$16)/3.29)*44</f>
        <v>12060902.798805511</v>
      </c>
      <c r="O491" s="12">
        <f ca="1">_xlfn.NORM.INV(RAND(),AVERAGE(Assumptions!$D$15,Assumptions!$F$15),(Assumptions!$F$15-Assumptions!$D$15)/3.29)*44</f>
        <v>109249760.53035103</v>
      </c>
      <c r="P491" s="15">
        <f>Assumptions!$D$18</f>
        <v>14641750.345627395</v>
      </c>
      <c r="Q491" s="3">
        <f t="shared" ca="1" si="14"/>
        <v>42945130.38870196</v>
      </c>
      <c r="R491" s="6">
        <f t="shared" ca="1" si="15"/>
        <v>57586880.734329358</v>
      </c>
    </row>
    <row r="492" spans="1:18">
      <c r="A492" s="20">
        <v>491</v>
      </c>
      <c r="B492" s="3">
        <f ca="1">_xlfn.NORM.INV(RAND(),AVERAGE(Assumptions!$D$4,Assumptions!$F$4),(Assumptions!$F$4-Assumptions!$D$4)/3.29)*44</f>
        <v>1273225.3375733101</v>
      </c>
      <c r="C492" s="6">
        <f ca="1">_xlfn.NORM.INV(RAND(),AVERAGE(Assumptions!$D$5,Assumptions!$F$5),(Assumptions!$F$5-Assumptions!$D$5)/3.29)*44</f>
        <v>2032052.0864821412</v>
      </c>
      <c r="D492" s="9">
        <f ca="1">_xlfn.NORM.INV(RAND(),AVERAGE(Assumptions!$D$6,Assumptions!$F$6),(Assumptions!$F$6-Assumptions!$D$6)/3.29)*RANDBETWEEN(2,5)</f>
        <v>5190179.739851634</v>
      </c>
      <c r="E492" s="12">
        <f ca="1">_xlfn.NORM.INV(RAND(),AVERAGE(Assumptions!$D$17,Assumptions!$F$17),(Assumptions!$F$17-Assumptions!$D$17)/3.29)*8</f>
        <v>1072435.2487809663</v>
      </c>
      <c r="F492" s="15">
        <f ca="1">_xlfn.NORM.INV(RAND(),AVERAGE(Assumptions!$D$7,Assumptions!$F$7),(Assumptions!$F$7-Assumptions!$D$7)/3.29)*RANDBETWEEN(1,3)</f>
        <v>10889012.472113676</v>
      </c>
      <c r="G492" s="3">
        <f ca="1">_xlfn.NORM.INV(RAND(),AVERAGE(Assumptions!$D$8,Assumptions!$F$8),(Assumptions!$F$8-Assumptions!$D$8)/3.29)*44</f>
        <v>1499555.2276290886</v>
      </c>
      <c r="H492" s="6">
        <f ca="1">_xlfn.NORM.INV(RAND(),AVERAGE(Assumptions!$D$9,Assumptions!$F$9),(Assumptions!$F$9-Assumptions!$D$9)/3.29)*21</f>
        <v>4065551.6205416317</v>
      </c>
      <c r="I492" s="9">
        <f ca="1">_xlfn.NORM.INV(RAND(),AVERAGE(Assumptions!$D$10,Assumptions!$F$10),(Assumptions!$F$10-Assumptions!$D$10)/3.29)*21</f>
        <v>582473.4031345729</v>
      </c>
      <c r="J492" s="12">
        <f ca="1">NORMINV(RAND(),AVERAGE(Assumptions!$D$11,Assumptions!$F$11),(Assumptions!$F$11-Assumptions!$D$11)/3.29)*44</f>
        <v>2963469.2634060737</v>
      </c>
      <c r="K492" s="15">
        <f ca="1">_xlfn.NORM.INV(RAND(),AVERAGE(Assumptions!$D$12,Assumptions!$F$12),(Assumptions!$F$12-Assumptions!$D$12)/3.29)*44</f>
        <v>10482765.585155079</v>
      </c>
      <c r="L492" s="3">
        <f ca="1">_xlfn.NORM.INV(RAND(),AVERAGE(Assumptions!$D$13,Assumptions!$F$13),(Assumptions!$F$13-Assumptions!$D$13)/3.29)*44</f>
        <v>10142830.820099372</v>
      </c>
      <c r="M492" s="6">
        <f ca="1">_xlfn.NORM.INV(RAND(),AVERAGE(Assumptions!$D$14,Assumptions!$F$14),(Assumptions!$F$14-Assumptions!$D$14)/3.29)*44</f>
        <v>7357395.0022362564</v>
      </c>
      <c r="N492" s="9">
        <f ca="1">_xlfn.NORM.INV(RAND(),AVERAGE(Assumptions!$D$16,Assumptions!$F$16),(Assumptions!$F$16-Assumptions!$D$16)/3.29)*44</f>
        <v>12510415.228677753</v>
      </c>
      <c r="O492" s="12">
        <f ca="1">_xlfn.NORM.INV(RAND(),AVERAGE(Assumptions!$D$15,Assumptions!$F$15),(Assumptions!$F$15-Assumptions!$D$15)/3.29)*44</f>
        <v>60023317.438474685</v>
      </c>
      <c r="P492" s="15">
        <f>Assumptions!$D$18</f>
        <v>14641750.345627395</v>
      </c>
      <c r="Q492" s="3">
        <f t="shared" ca="1" si="14"/>
        <v>-10038043.597206876</v>
      </c>
      <c r="R492" s="6">
        <f t="shared" ca="1" si="15"/>
        <v>4603706.7484205198</v>
      </c>
    </row>
    <row r="493" spans="1:18">
      <c r="A493" s="20">
        <v>492</v>
      </c>
      <c r="B493" s="3">
        <f ca="1">_xlfn.NORM.INV(RAND(),AVERAGE(Assumptions!$D$4,Assumptions!$F$4),(Assumptions!$F$4-Assumptions!$D$4)/3.29)*44</f>
        <v>1191251.7873485603</v>
      </c>
      <c r="C493" s="6">
        <f ca="1">_xlfn.NORM.INV(RAND(),AVERAGE(Assumptions!$D$5,Assumptions!$F$5),(Assumptions!$F$5-Assumptions!$D$5)/3.29)*44</f>
        <v>1859534.0606854949</v>
      </c>
      <c r="D493" s="9">
        <f ca="1">_xlfn.NORM.INV(RAND(),AVERAGE(Assumptions!$D$6,Assumptions!$F$6),(Assumptions!$F$6-Assumptions!$D$6)/3.29)*RANDBETWEEN(2,5)</f>
        <v>6034427.6867219638</v>
      </c>
      <c r="E493" s="12">
        <f ca="1">_xlfn.NORM.INV(RAND(),AVERAGE(Assumptions!$D$17,Assumptions!$F$17),(Assumptions!$F$17-Assumptions!$D$17)/3.29)*8</f>
        <v>953210.0758907916</v>
      </c>
      <c r="F493" s="15">
        <f ca="1">_xlfn.NORM.INV(RAND(),AVERAGE(Assumptions!$D$7,Assumptions!$F$7),(Assumptions!$F$7-Assumptions!$D$7)/3.29)*RANDBETWEEN(1,3)</f>
        <v>4411708.2326425109</v>
      </c>
      <c r="G493" s="3">
        <f ca="1">_xlfn.NORM.INV(RAND(),AVERAGE(Assumptions!$D$8,Assumptions!$F$8),(Assumptions!$F$8-Assumptions!$D$8)/3.29)*44</f>
        <v>562737.55982672551</v>
      </c>
      <c r="H493" s="6">
        <f ca="1">_xlfn.NORM.INV(RAND(),AVERAGE(Assumptions!$D$9,Assumptions!$F$9),(Assumptions!$F$9-Assumptions!$D$9)/3.29)*21</f>
        <v>3580320.6888180017</v>
      </c>
      <c r="I493" s="9">
        <f ca="1">_xlfn.NORM.INV(RAND(),AVERAGE(Assumptions!$D$10,Assumptions!$F$10),(Assumptions!$F$10-Assumptions!$D$10)/3.29)*21</f>
        <v>802614.39536539081</v>
      </c>
      <c r="J493" s="12">
        <f ca="1">NORMINV(RAND(),AVERAGE(Assumptions!$D$11,Assumptions!$F$11),(Assumptions!$F$11-Assumptions!$D$11)/3.29)*44</f>
        <v>3627405.3836976653</v>
      </c>
      <c r="K493" s="15">
        <f ca="1">_xlfn.NORM.INV(RAND(),AVERAGE(Assumptions!$D$12,Assumptions!$F$12),(Assumptions!$F$12-Assumptions!$D$12)/3.29)*44</f>
        <v>7332835.3756363383</v>
      </c>
      <c r="L493" s="3">
        <f ca="1">_xlfn.NORM.INV(RAND(),AVERAGE(Assumptions!$D$13,Assumptions!$F$13),(Assumptions!$F$13-Assumptions!$D$13)/3.29)*44</f>
        <v>24286217.537415817</v>
      </c>
      <c r="M493" s="6">
        <f ca="1">_xlfn.NORM.INV(RAND(),AVERAGE(Assumptions!$D$14,Assumptions!$F$14),(Assumptions!$F$14-Assumptions!$D$14)/3.29)*44</f>
        <v>8186059.5458998336</v>
      </c>
      <c r="N493" s="9">
        <f ca="1">_xlfn.NORM.INV(RAND(),AVERAGE(Assumptions!$D$16,Assumptions!$F$16),(Assumptions!$F$16-Assumptions!$D$16)/3.29)*44</f>
        <v>5781563.2348782383</v>
      </c>
      <c r="O493" s="12">
        <f ca="1">_xlfn.NORM.INV(RAND(),AVERAGE(Assumptions!$D$15,Assumptions!$F$15),(Assumptions!$F$15-Assumptions!$D$15)/3.29)*44</f>
        <v>62374335.831338517</v>
      </c>
      <c r="P493" s="15">
        <f>Assumptions!$D$18</f>
        <v>14641750.345627395</v>
      </c>
      <c r="Q493" s="3">
        <f t="shared" ca="1" si="14"/>
        <v>-6235549.7334888205</v>
      </c>
      <c r="R493" s="6">
        <f t="shared" ca="1" si="15"/>
        <v>8406200.6121385749</v>
      </c>
    </row>
    <row r="494" spans="1:18">
      <c r="A494" s="20">
        <v>493</v>
      </c>
      <c r="B494" s="3">
        <f ca="1">_xlfn.NORM.INV(RAND(),AVERAGE(Assumptions!$D$4,Assumptions!$F$4),(Assumptions!$F$4-Assumptions!$D$4)/3.29)*44</f>
        <v>1141700.0452288119</v>
      </c>
      <c r="C494" s="6">
        <f ca="1">_xlfn.NORM.INV(RAND(),AVERAGE(Assumptions!$D$5,Assumptions!$F$5),(Assumptions!$F$5-Assumptions!$D$5)/3.29)*44</f>
        <v>1931075.5697765979</v>
      </c>
      <c r="D494" s="9">
        <f ca="1">_xlfn.NORM.INV(RAND(),AVERAGE(Assumptions!$D$6,Assumptions!$F$6),(Assumptions!$F$6-Assumptions!$D$6)/3.29)*RANDBETWEEN(2,5)</f>
        <v>6312139.0413290588</v>
      </c>
      <c r="E494" s="12">
        <f ca="1">_xlfn.NORM.INV(RAND(),AVERAGE(Assumptions!$D$17,Assumptions!$F$17),(Assumptions!$F$17-Assumptions!$D$17)/3.29)*8</f>
        <v>1034106.9871554237</v>
      </c>
      <c r="F494" s="15">
        <f ca="1">_xlfn.NORM.INV(RAND(),AVERAGE(Assumptions!$D$7,Assumptions!$F$7),(Assumptions!$F$7-Assumptions!$D$7)/3.29)*RANDBETWEEN(1,3)</f>
        <v>5327315.0144655956</v>
      </c>
      <c r="G494" s="3">
        <f ca="1">_xlfn.NORM.INV(RAND(),AVERAGE(Assumptions!$D$8,Assumptions!$F$8),(Assumptions!$F$8-Assumptions!$D$8)/3.29)*44</f>
        <v>1434072.2968767881</v>
      </c>
      <c r="H494" s="6">
        <f ca="1">_xlfn.NORM.INV(RAND(),AVERAGE(Assumptions!$D$9,Assumptions!$F$9),(Assumptions!$F$9-Assumptions!$D$9)/3.29)*21</f>
        <v>2622198.2766905292</v>
      </c>
      <c r="I494" s="9">
        <f ca="1">_xlfn.NORM.INV(RAND(),AVERAGE(Assumptions!$D$10,Assumptions!$F$10),(Assumptions!$F$10-Assumptions!$D$10)/3.29)*21</f>
        <v>1234784.8695080588</v>
      </c>
      <c r="J494" s="12">
        <f ca="1">NORMINV(RAND(),AVERAGE(Assumptions!$D$11,Assumptions!$F$11),(Assumptions!$F$11-Assumptions!$D$11)/3.29)*44</f>
        <v>3569985.0017800801</v>
      </c>
      <c r="K494" s="15">
        <f ca="1">_xlfn.NORM.INV(RAND(),AVERAGE(Assumptions!$D$12,Assumptions!$F$12),(Assumptions!$F$12-Assumptions!$D$12)/3.29)*44</f>
        <v>8122291.2811245592</v>
      </c>
      <c r="L494" s="3">
        <f ca="1">_xlfn.NORM.INV(RAND(),AVERAGE(Assumptions!$D$13,Assumptions!$F$13),(Assumptions!$F$13-Assumptions!$D$13)/3.29)*44</f>
        <v>7954119.0385361072</v>
      </c>
      <c r="M494" s="6">
        <f ca="1">_xlfn.NORM.INV(RAND(),AVERAGE(Assumptions!$D$14,Assumptions!$F$14),(Assumptions!$F$14-Assumptions!$D$14)/3.29)*44</f>
        <v>7666644.5665507345</v>
      </c>
      <c r="N494" s="9">
        <f ca="1">_xlfn.NORM.INV(RAND(),AVERAGE(Assumptions!$D$16,Assumptions!$F$16),(Assumptions!$F$16-Assumptions!$D$16)/3.29)*44</f>
        <v>11759694.790198827</v>
      </c>
      <c r="O494" s="12">
        <f ca="1">_xlfn.NORM.INV(RAND(),AVERAGE(Assumptions!$D$15,Assumptions!$F$15),(Assumptions!$F$15-Assumptions!$D$15)/3.29)*44</f>
        <v>117529031.80834997</v>
      </c>
      <c r="P494" s="15">
        <f>Assumptions!$D$18</f>
        <v>14641750.345627395</v>
      </c>
      <c r="Q494" s="3">
        <f t="shared" ca="1" si="14"/>
        <v>57418905.029128805</v>
      </c>
      <c r="R494" s="6">
        <f t="shared" ca="1" si="15"/>
        <v>72060655.374756202</v>
      </c>
    </row>
    <row r="495" spans="1:18">
      <c r="A495" s="20">
        <v>494</v>
      </c>
      <c r="B495" s="3">
        <f ca="1">_xlfn.NORM.INV(RAND(),AVERAGE(Assumptions!$D$4,Assumptions!$F$4),(Assumptions!$F$4-Assumptions!$D$4)/3.29)*44</f>
        <v>1244867.9139813764</v>
      </c>
      <c r="C495" s="6">
        <f ca="1">_xlfn.NORM.INV(RAND(),AVERAGE(Assumptions!$D$5,Assumptions!$F$5),(Assumptions!$F$5-Assumptions!$D$5)/3.29)*44</f>
        <v>1790588.5074865213</v>
      </c>
      <c r="D495" s="9">
        <f ca="1">_xlfn.NORM.INV(RAND(),AVERAGE(Assumptions!$D$6,Assumptions!$F$6),(Assumptions!$F$6-Assumptions!$D$6)/3.29)*RANDBETWEEN(2,5)</f>
        <v>3490126.7331754742</v>
      </c>
      <c r="E495" s="12">
        <f ca="1">_xlfn.NORM.INV(RAND(),AVERAGE(Assumptions!$D$17,Assumptions!$F$17),(Assumptions!$F$17-Assumptions!$D$17)/3.29)*8</f>
        <v>764843.58008566953</v>
      </c>
      <c r="F495" s="15">
        <f ca="1">_xlfn.NORM.INV(RAND(),AVERAGE(Assumptions!$D$7,Assumptions!$F$7),(Assumptions!$F$7-Assumptions!$D$7)/3.29)*RANDBETWEEN(1,3)</f>
        <v>3914847.2058296707</v>
      </c>
      <c r="G495" s="3">
        <f ca="1">_xlfn.NORM.INV(RAND(),AVERAGE(Assumptions!$D$8,Assumptions!$F$8),(Assumptions!$F$8-Assumptions!$D$8)/3.29)*44</f>
        <v>1217234.724273666</v>
      </c>
      <c r="H495" s="6">
        <f ca="1">_xlfn.NORM.INV(RAND(),AVERAGE(Assumptions!$D$9,Assumptions!$F$9),(Assumptions!$F$9-Assumptions!$D$9)/3.29)*21</f>
        <v>3795740.5857222532</v>
      </c>
      <c r="I495" s="9">
        <f ca="1">_xlfn.NORM.INV(RAND(),AVERAGE(Assumptions!$D$10,Assumptions!$F$10),(Assumptions!$F$10-Assumptions!$D$10)/3.29)*21</f>
        <v>737172.57956618257</v>
      </c>
      <c r="J495" s="12">
        <f ca="1">NORMINV(RAND(),AVERAGE(Assumptions!$D$11,Assumptions!$F$11),(Assumptions!$F$11-Assumptions!$D$11)/3.29)*44</f>
        <v>2640886.9064263147</v>
      </c>
      <c r="K495" s="15">
        <f ca="1">_xlfn.NORM.INV(RAND(),AVERAGE(Assumptions!$D$12,Assumptions!$F$12),(Assumptions!$F$12-Assumptions!$D$12)/3.29)*44</f>
        <v>10428212.958095683</v>
      </c>
      <c r="L495" s="3">
        <f ca="1">_xlfn.NORM.INV(RAND(),AVERAGE(Assumptions!$D$13,Assumptions!$F$13),(Assumptions!$F$13-Assumptions!$D$13)/3.29)*44</f>
        <v>15616520.214905998</v>
      </c>
      <c r="M495" s="6">
        <f ca="1">_xlfn.NORM.INV(RAND(),AVERAGE(Assumptions!$D$14,Assumptions!$F$14),(Assumptions!$F$14-Assumptions!$D$14)/3.29)*44</f>
        <v>6517874.1735987179</v>
      </c>
      <c r="N495" s="9">
        <f ca="1">_xlfn.NORM.INV(RAND(),AVERAGE(Assumptions!$D$16,Assumptions!$F$16),(Assumptions!$F$16-Assumptions!$D$16)/3.29)*44</f>
        <v>10742686.529438769</v>
      </c>
      <c r="O495" s="12">
        <f ca="1">_xlfn.NORM.INV(RAND(),AVERAGE(Assumptions!$D$15,Assumptions!$F$15),(Assumptions!$F$15-Assumptions!$D$15)/3.29)*44</f>
        <v>28355798.756422088</v>
      </c>
      <c r="P495" s="15">
        <f>Assumptions!$D$18</f>
        <v>14641750.345627395</v>
      </c>
      <c r="Q495" s="3">
        <f t="shared" ca="1" si="14"/>
        <v>-34545803.856164217</v>
      </c>
      <c r="R495" s="6">
        <f t="shared" ca="1" si="15"/>
        <v>-19904053.51053682</v>
      </c>
    </row>
    <row r="496" spans="1:18">
      <c r="A496" s="20">
        <v>495</v>
      </c>
      <c r="B496" s="3">
        <f ca="1">_xlfn.NORM.INV(RAND(),AVERAGE(Assumptions!$D$4,Assumptions!$F$4),(Assumptions!$F$4-Assumptions!$D$4)/3.29)*44</f>
        <v>1224132.3602385228</v>
      </c>
      <c r="C496" s="6">
        <f ca="1">_xlfn.NORM.INV(RAND(),AVERAGE(Assumptions!$D$5,Assumptions!$F$5),(Assumptions!$F$5-Assumptions!$D$5)/3.29)*44</f>
        <v>1859326.7398636278</v>
      </c>
      <c r="D496" s="9">
        <f ca="1">_xlfn.NORM.INV(RAND(),AVERAGE(Assumptions!$D$6,Assumptions!$F$6),(Assumptions!$F$6-Assumptions!$D$6)/3.29)*RANDBETWEEN(2,5)</f>
        <v>5120598.4516210696</v>
      </c>
      <c r="E496" s="12">
        <f ca="1">_xlfn.NORM.INV(RAND(),AVERAGE(Assumptions!$D$17,Assumptions!$F$17),(Assumptions!$F$17-Assumptions!$D$17)/3.29)*8</f>
        <v>1097252.3668231708</v>
      </c>
      <c r="F496" s="15">
        <f ca="1">_xlfn.NORM.INV(RAND(),AVERAGE(Assumptions!$D$7,Assumptions!$F$7),(Assumptions!$F$7-Assumptions!$D$7)/3.29)*RANDBETWEEN(1,3)</f>
        <v>4580869.1294182371</v>
      </c>
      <c r="G496" s="3">
        <f ca="1">_xlfn.NORM.INV(RAND(),AVERAGE(Assumptions!$D$8,Assumptions!$F$8),(Assumptions!$F$8-Assumptions!$D$8)/3.29)*44</f>
        <v>1129057.1994414525</v>
      </c>
      <c r="H496" s="6">
        <f ca="1">_xlfn.NORM.INV(RAND(),AVERAGE(Assumptions!$D$9,Assumptions!$F$9),(Assumptions!$F$9-Assumptions!$D$9)/3.29)*21</f>
        <v>2988605.6518420796</v>
      </c>
      <c r="I496" s="9">
        <f ca="1">_xlfn.NORM.INV(RAND(),AVERAGE(Assumptions!$D$10,Assumptions!$F$10),(Assumptions!$F$10-Assumptions!$D$10)/3.29)*21</f>
        <v>526939.10569751041</v>
      </c>
      <c r="J496" s="12">
        <f ca="1">NORMINV(RAND(),AVERAGE(Assumptions!$D$11,Assumptions!$F$11),(Assumptions!$F$11-Assumptions!$D$11)/3.29)*44</f>
        <v>3304722.6393146776</v>
      </c>
      <c r="K496" s="15">
        <f ca="1">_xlfn.NORM.INV(RAND(),AVERAGE(Assumptions!$D$12,Assumptions!$F$12),(Assumptions!$F$12-Assumptions!$D$12)/3.29)*44</f>
        <v>10816501.675476123</v>
      </c>
      <c r="L496" s="3">
        <f ca="1">_xlfn.NORM.INV(RAND(),AVERAGE(Assumptions!$D$13,Assumptions!$F$13),(Assumptions!$F$13-Assumptions!$D$13)/3.29)*44</f>
        <v>10124109.386508124</v>
      </c>
      <c r="M496" s="6">
        <f ca="1">_xlfn.NORM.INV(RAND(),AVERAGE(Assumptions!$D$14,Assumptions!$F$14),(Assumptions!$F$14-Assumptions!$D$14)/3.29)*44</f>
        <v>5152503.7647261824</v>
      </c>
      <c r="N496" s="9">
        <f ca="1">_xlfn.NORM.INV(RAND(),AVERAGE(Assumptions!$D$16,Assumptions!$F$16),(Assumptions!$F$16-Assumptions!$D$16)/3.29)*44</f>
        <v>10278130.062634362</v>
      </c>
      <c r="O496" s="12">
        <f ca="1">_xlfn.NORM.INV(RAND(),AVERAGE(Assumptions!$D$15,Assumptions!$F$15),(Assumptions!$F$15-Assumptions!$D$15)/3.29)*44</f>
        <v>117828322.59727809</v>
      </c>
      <c r="P496" s="15">
        <f>Assumptions!$D$18</f>
        <v>14641750.345627395</v>
      </c>
      <c r="Q496" s="3">
        <f t="shared" ca="1" si="14"/>
        <v>59625574.063672945</v>
      </c>
      <c r="R496" s="6">
        <f t="shared" ca="1" si="15"/>
        <v>74267324.409300342</v>
      </c>
    </row>
    <row r="497" spans="1:18">
      <c r="A497" s="20">
        <v>496</v>
      </c>
      <c r="B497" s="3">
        <f ca="1">_xlfn.NORM.INV(RAND(),AVERAGE(Assumptions!$D$4,Assumptions!$F$4),(Assumptions!$F$4-Assumptions!$D$4)/3.29)*44</f>
        <v>1245245.7381108887</v>
      </c>
      <c r="C497" s="6">
        <f ca="1">_xlfn.NORM.INV(RAND(),AVERAGE(Assumptions!$D$5,Assumptions!$F$5),(Assumptions!$F$5-Assumptions!$D$5)/3.29)*44</f>
        <v>1950755.9922412969</v>
      </c>
      <c r="D497" s="9">
        <f ca="1">_xlfn.NORM.INV(RAND(),AVERAGE(Assumptions!$D$6,Assumptions!$F$6),(Assumptions!$F$6-Assumptions!$D$6)/3.29)*RANDBETWEEN(2,5)</f>
        <v>6222349.7684753761</v>
      </c>
      <c r="E497" s="12">
        <f ca="1">_xlfn.NORM.INV(RAND(),AVERAGE(Assumptions!$D$17,Assumptions!$F$17),(Assumptions!$F$17-Assumptions!$D$17)/3.29)*8</f>
        <v>1037787.0785843206</v>
      </c>
      <c r="F497" s="15">
        <f ca="1">_xlfn.NORM.INV(RAND(),AVERAGE(Assumptions!$D$7,Assumptions!$F$7),(Assumptions!$F$7-Assumptions!$D$7)/3.29)*RANDBETWEEN(1,3)</f>
        <v>3556654.6593142282</v>
      </c>
      <c r="G497" s="3">
        <f ca="1">_xlfn.NORM.INV(RAND(),AVERAGE(Assumptions!$D$8,Assumptions!$F$8),(Assumptions!$F$8-Assumptions!$D$8)/3.29)*44</f>
        <v>1289683.4280850012</v>
      </c>
      <c r="H497" s="6">
        <f ca="1">_xlfn.NORM.INV(RAND(),AVERAGE(Assumptions!$D$9,Assumptions!$F$9),(Assumptions!$F$9-Assumptions!$D$9)/3.29)*21</f>
        <v>4272163.0476540914</v>
      </c>
      <c r="I497" s="9">
        <f ca="1">_xlfn.NORM.INV(RAND(),AVERAGE(Assumptions!$D$10,Assumptions!$F$10),(Assumptions!$F$10-Assumptions!$D$10)/3.29)*21</f>
        <v>947985.04682542279</v>
      </c>
      <c r="J497" s="12">
        <f ca="1">NORMINV(RAND(),AVERAGE(Assumptions!$D$11,Assumptions!$F$11),(Assumptions!$F$11-Assumptions!$D$11)/3.29)*44</f>
        <v>596068.2974823009</v>
      </c>
      <c r="K497" s="15">
        <f ca="1">_xlfn.NORM.INV(RAND(),AVERAGE(Assumptions!$D$12,Assumptions!$F$12),(Assumptions!$F$12-Assumptions!$D$12)/3.29)*44</f>
        <v>10507055.852297721</v>
      </c>
      <c r="L497" s="3">
        <f ca="1">_xlfn.NORM.INV(RAND(),AVERAGE(Assumptions!$D$13,Assumptions!$F$13),(Assumptions!$F$13-Assumptions!$D$13)/3.29)*44</f>
        <v>18425234.237681944</v>
      </c>
      <c r="M497" s="6">
        <f ca="1">_xlfn.NORM.INV(RAND(),AVERAGE(Assumptions!$D$14,Assumptions!$F$14),(Assumptions!$F$14-Assumptions!$D$14)/3.29)*44</f>
        <v>5686625.1542999549</v>
      </c>
      <c r="N497" s="9">
        <f ca="1">_xlfn.NORM.INV(RAND(),AVERAGE(Assumptions!$D$16,Assumptions!$F$16),(Assumptions!$F$16-Assumptions!$D$16)/3.29)*44</f>
        <v>7729132.9561457094</v>
      </c>
      <c r="O497" s="12">
        <f ca="1">_xlfn.NORM.INV(RAND(),AVERAGE(Assumptions!$D$15,Assumptions!$F$15),(Assumptions!$F$15-Assumptions!$D$15)/3.29)*44</f>
        <v>193046112.20058942</v>
      </c>
      <c r="P497" s="15">
        <f>Assumptions!$D$18</f>
        <v>14641750.345627395</v>
      </c>
      <c r="Q497" s="3">
        <f t="shared" ca="1" si="14"/>
        <v>129579370.94339117</v>
      </c>
      <c r="R497" s="6">
        <f t="shared" ca="1" si="15"/>
        <v>144221121.28901857</v>
      </c>
    </row>
    <row r="498" spans="1:18">
      <c r="A498" s="20">
        <v>497</v>
      </c>
      <c r="B498" s="3">
        <f ca="1">_xlfn.NORM.INV(RAND(),AVERAGE(Assumptions!$D$4,Assumptions!$F$4),(Assumptions!$F$4-Assumptions!$D$4)/3.29)*44</f>
        <v>1176024.7886395846</v>
      </c>
      <c r="C498" s="6">
        <f ca="1">_xlfn.NORM.INV(RAND(),AVERAGE(Assumptions!$D$5,Assumptions!$F$5),(Assumptions!$F$5-Assumptions!$D$5)/3.29)*44</f>
        <v>1788480.9459370975</v>
      </c>
      <c r="D498" s="9">
        <f ca="1">_xlfn.NORM.INV(RAND(),AVERAGE(Assumptions!$D$6,Assumptions!$F$6),(Assumptions!$F$6-Assumptions!$D$6)/3.29)*RANDBETWEEN(2,5)</f>
        <v>7148709.168947883</v>
      </c>
      <c r="E498" s="12">
        <f ca="1">_xlfn.NORM.INV(RAND(),AVERAGE(Assumptions!$D$17,Assumptions!$F$17),(Assumptions!$F$17-Assumptions!$D$17)/3.29)*8</f>
        <v>1082364.6869087173</v>
      </c>
      <c r="F498" s="15">
        <f ca="1">_xlfn.NORM.INV(RAND(),AVERAGE(Assumptions!$D$7,Assumptions!$F$7),(Assumptions!$F$7-Assumptions!$D$7)/3.29)*RANDBETWEEN(1,3)</f>
        <v>5227410.9784248257</v>
      </c>
      <c r="G498" s="3">
        <f ca="1">_xlfn.NORM.INV(RAND(),AVERAGE(Assumptions!$D$8,Assumptions!$F$8),(Assumptions!$F$8-Assumptions!$D$8)/3.29)*44</f>
        <v>968662.5926262209</v>
      </c>
      <c r="H498" s="6">
        <f ca="1">_xlfn.NORM.INV(RAND(),AVERAGE(Assumptions!$D$9,Assumptions!$F$9),(Assumptions!$F$9-Assumptions!$D$9)/3.29)*21</f>
        <v>4777457.5626900271</v>
      </c>
      <c r="I498" s="9">
        <f ca="1">_xlfn.NORM.INV(RAND(),AVERAGE(Assumptions!$D$10,Assumptions!$F$10),(Assumptions!$F$10-Assumptions!$D$10)/3.29)*21</f>
        <v>1166318.6462692996</v>
      </c>
      <c r="J498" s="12">
        <f ca="1">NORMINV(RAND(),AVERAGE(Assumptions!$D$11,Assumptions!$F$11),(Assumptions!$F$11-Assumptions!$D$11)/3.29)*44</f>
        <v>3842539.503693616</v>
      </c>
      <c r="K498" s="15">
        <f ca="1">_xlfn.NORM.INV(RAND(),AVERAGE(Assumptions!$D$12,Assumptions!$F$12),(Assumptions!$F$12-Assumptions!$D$12)/3.29)*44</f>
        <v>6491926.2101943092</v>
      </c>
      <c r="L498" s="3">
        <f ca="1">_xlfn.NORM.INV(RAND(),AVERAGE(Assumptions!$D$13,Assumptions!$F$13),(Assumptions!$F$13-Assumptions!$D$13)/3.29)*44</f>
        <v>13626147.868472416</v>
      </c>
      <c r="M498" s="6">
        <f ca="1">_xlfn.NORM.INV(RAND(),AVERAGE(Assumptions!$D$14,Assumptions!$F$14),(Assumptions!$F$14-Assumptions!$D$14)/3.29)*44</f>
        <v>5564559.4376292415</v>
      </c>
      <c r="N498" s="9">
        <f ca="1">_xlfn.NORM.INV(RAND(),AVERAGE(Assumptions!$D$16,Assumptions!$F$16),(Assumptions!$F$16-Assumptions!$D$16)/3.29)*44</f>
        <v>13173636.727568934</v>
      </c>
      <c r="O498" s="12">
        <f ca="1">_xlfn.NORM.INV(RAND(),AVERAGE(Assumptions!$D$15,Assumptions!$F$15),(Assumptions!$F$15-Assumptions!$D$15)/3.29)*44</f>
        <v>102852963.7728505</v>
      </c>
      <c r="P498" s="15">
        <f>Assumptions!$D$18</f>
        <v>14641750.345627395</v>
      </c>
      <c r="Q498" s="3">
        <f t="shared" ca="1" si="14"/>
        <v>36818724.654848337</v>
      </c>
      <c r="R498" s="6">
        <f t="shared" ca="1" si="15"/>
        <v>51460475.000475734</v>
      </c>
    </row>
    <row r="499" spans="1:18">
      <c r="A499" s="20">
        <v>498</v>
      </c>
      <c r="B499" s="3">
        <f ca="1">_xlfn.NORM.INV(RAND(),AVERAGE(Assumptions!$D$4,Assumptions!$F$4),(Assumptions!$F$4-Assumptions!$D$4)/3.29)*44</f>
        <v>1323822.7860041577</v>
      </c>
      <c r="C499" s="6">
        <f ca="1">_xlfn.NORM.INV(RAND(),AVERAGE(Assumptions!$D$5,Assumptions!$F$5),(Assumptions!$F$5-Assumptions!$D$5)/3.29)*44</f>
        <v>1958372.3354281131</v>
      </c>
      <c r="D499" s="9">
        <f ca="1">_xlfn.NORM.INV(RAND(),AVERAGE(Assumptions!$D$6,Assumptions!$F$6),(Assumptions!$F$6-Assumptions!$D$6)/3.29)*RANDBETWEEN(2,5)</f>
        <v>4305212.1721031982</v>
      </c>
      <c r="E499" s="12">
        <f ca="1">_xlfn.NORM.INV(RAND(),AVERAGE(Assumptions!$D$17,Assumptions!$F$17),(Assumptions!$F$17-Assumptions!$D$17)/3.29)*8</f>
        <v>939647.55229396489</v>
      </c>
      <c r="F499" s="15">
        <f ca="1">_xlfn.NORM.INV(RAND(),AVERAGE(Assumptions!$D$7,Assumptions!$F$7),(Assumptions!$F$7-Assumptions!$D$7)/3.29)*RANDBETWEEN(1,3)</f>
        <v>3847825.0391993173</v>
      </c>
      <c r="G499" s="3">
        <f ca="1">_xlfn.NORM.INV(RAND(),AVERAGE(Assumptions!$D$8,Assumptions!$F$8),(Assumptions!$F$8-Assumptions!$D$8)/3.29)*44</f>
        <v>1113105.353070006</v>
      </c>
      <c r="H499" s="6">
        <f ca="1">_xlfn.NORM.INV(RAND(),AVERAGE(Assumptions!$D$9,Assumptions!$F$9),(Assumptions!$F$9-Assumptions!$D$9)/3.29)*21</f>
        <v>5909542.1031243633</v>
      </c>
      <c r="I499" s="9">
        <f ca="1">_xlfn.NORM.INV(RAND(),AVERAGE(Assumptions!$D$10,Assumptions!$F$10),(Assumptions!$F$10-Assumptions!$D$10)/3.29)*21</f>
        <v>1224712.0623649859</v>
      </c>
      <c r="J499" s="12">
        <f ca="1">NORMINV(RAND(),AVERAGE(Assumptions!$D$11,Assumptions!$F$11),(Assumptions!$F$11-Assumptions!$D$11)/3.29)*44</f>
        <v>3462383.6988205835</v>
      </c>
      <c r="K499" s="15">
        <f ca="1">_xlfn.NORM.INV(RAND(),AVERAGE(Assumptions!$D$12,Assumptions!$F$12),(Assumptions!$F$12-Assumptions!$D$12)/3.29)*44</f>
        <v>6749676.496032414</v>
      </c>
      <c r="L499" s="3">
        <f ca="1">_xlfn.NORM.INV(RAND(),AVERAGE(Assumptions!$D$13,Assumptions!$F$13),(Assumptions!$F$13-Assumptions!$D$13)/3.29)*44</f>
        <v>16475819.904731294</v>
      </c>
      <c r="M499" s="6">
        <f ca="1">_xlfn.NORM.INV(RAND(),AVERAGE(Assumptions!$D$14,Assumptions!$F$14),(Assumptions!$F$14-Assumptions!$D$14)/3.29)*44</f>
        <v>6975536.7789727123</v>
      </c>
      <c r="N499" s="9">
        <f ca="1">_xlfn.NORM.INV(RAND(),AVERAGE(Assumptions!$D$16,Assumptions!$F$16),(Assumptions!$F$16-Assumptions!$D$16)/3.29)*44</f>
        <v>2961614.5844156896</v>
      </c>
      <c r="O499" s="12">
        <f ca="1">_xlfn.NORM.INV(RAND(),AVERAGE(Assumptions!$D$15,Assumptions!$F$15),(Assumptions!$F$15-Assumptions!$D$15)/3.29)*44</f>
        <v>105741957.48328716</v>
      </c>
      <c r="P499" s="15">
        <f>Assumptions!$D$18</f>
        <v>14641750.345627395</v>
      </c>
      <c r="Q499" s="3">
        <f t="shared" ca="1" si="14"/>
        <v>48494686.616726354</v>
      </c>
      <c r="R499" s="6">
        <f t="shared" ca="1" si="15"/>
        <v>63136436.962353751</v>
      </c>
    </row>
    <row r="500" spans="1:18">
      <c r="A500" s="20">
        <v>499</v>
      </c>
      <c r="B500" s="3">
        <f ca="1">_xlfn.NORM.INV(RAND(),AVERAGE(Assumptions!$D$4,Assumptions!$F$4),(Assumptions!$F$4-Assumptions!$D$4)/3.29)*44</f>
        <v>1329575.9798607673</v>
      </c>
      <c r="C500" s="6">
        <f ca="1">_xlfn.NORM.INV(RAND(),AVERAGE(Assumptions!$D$5,Assumptions!$F$5),(Assumptions!$F$5-Assumptions!$D$5)/3.29)*44</f>
        <v>1931645.3291502134</v>
      </c>
      <c r="D500" s="9">
        <f ca="1">_xlfn.NORM.INV(RAND(),AVERAGE(Assumptions!$D$6,Assumptions!$F$6),(Assumptions!$F$6-Assumptions!$D$6)/3.29)*RANDBETWEEN(2,5)</f>
        <v>7792338.6750991531</v>
      </c>
      <c r="E500" s="12">
        <f ca="1">_xlfn.NORM.INV(RAND(),AVERAGE(Assumptions!$D$17,Assumptions!$F$17),(Assumptions!$F$17-Assumptions!$D$17)/3.29)*8</f>
        <v>1161781.8204997079</v>
      </c>
      <c r="F500" s="15">
        <f ca="1">_xlfn.NORM.INV(RAND(),AVERAGE(Assumptions!$D$7,Assumptions!$F$7),(Assumptions!$F$7-Assumptions!$D$7)/3.29)*RANDBETWEEN(1,3)</f>
        <v>7590890.1981282858</v>
      </c>
      <c r="G500" s="3">
        <f ca="1">_xlfn.NORM.INV(RAND(),AVERAGE(Assumptions!$D$8,Assumptions!$F$8),(Assumptions!$F$8-Assumptions!$D$8)/3.29)*44</f>
        <v>1460468.8654924673</v>
      </c>
      <c r="H500" s="6">
        <f ca="1">_xlfn.NORM.INV(RAND(),AVERAGE(Assumptions!$D$9,Assumptions!$F$9),(Assumptions!$F$9-Assumptions!$D$9)/3.29)*21</f>
        <v>5818248.2980132727</v>
      </c>
      <c r="I500" s="9">
        <f ca="1">_xlfn.NORM.INV(RAND(),AVERAGE(Assumptions!$D$10,Assumptions!$F$10),(Assumptions!$F$10-Assumptions!$D$10)/3.29)*21</f>
        <v>649081.51928122202</v>
      </c>
      <c r="J500" s="12">
        <f ca="1">NORMINV(RAND(),AVERAGE(Assumptions!$D$11,Assumptions!$F$11),(Assumptions!$F$11-Assumptions!$D$11)/3.29)*44</f>
        <v>3279169.2362013771</v>
      </c>
      <c r="K500" s="15">
        <f ca="1">_xlfn.NORM.INV(RAND(),AVERAGE(Assumptions!$D$12,Assumptions!$F$12),(Assumptions!$F$12-Assumptions!$D$12)/3.29)*44</f>
        <v>12041112.310723579</v>
      </c>
      <c r="L500" s="3">
        <f ca="1">_xlfn.NORM.INV(RAND(),AVERAGE(Assumptions!$D$13,Assumptions!$F$13),(Assumptions!$F$13-Assumptions!$D$13)/3.29)*44</f>
        <v>10718400.831644123</v>
      </c>
      <c r="M500" s="6">
        <f ca="1">_xlfn.NORM.INV(RAND(),AVERAGE(Assumptions!$D$14,Assumptions!$F$14),(Assumptions!$F$14-Assumptions!$D$14)/3.29)*44</f>
        <v>6888337.487651024</v>
      </c>
      <c r="N500" s="9">
        <f ca="1">_xlfn.NORM.INV(RAND(),AVERAGE(Assumptions!$D$16,Assumptions!$F$16),(Assumptions!$F$16-Assumptions!$D$16)/3.29)*44</f>
        <v>8692262.2309261914</v>
      </c>
      <c r="O500" s="12">
        <f ca="1">_xlfn.NORM.INV(RAND(),AVERAGE(Assumptions!$D$15,Assumptions!$F$15),(Assumptions!$F$15-Assumptions!$D$15)/3.29)*44</f>
        <v>123575880.60036887</v>
      </c>
      <c r="P500" s="15">
        <f>Assumptions!$D$18</f>
        <v>14641750.345627395</v>
      </c>
      <c r="Q500" s="3">
        <f t="shared" ca="1" si="14"/>
        <v>54222567.817697495</v>
      </c>
      <c r="R500" s="6">
        <f t="shared" ca="1" si="15"/>
        <v>68864318.163324893</v>
      </c>
    </row>
    <row r="501" spans="1:18">
      <c r="A501" s="20">
        <v>500</v>
      </c>
      <c r="B501" s="3">
        <f ca="1">_xlfn.NORM.INV(RAND(),AVERAGE(Assumptions!$D$4,Assumptions!$F$4),(Assumptions!$F$4-Assumptions!$D$4)/3.29)*44</f>
        <v>1150098.555867193</v>
      </c>
      <c r="C501" s="6">
        <f ca="1">_xlfn.NORM.INV(RAND(),AVERAGE(Assumptions!$D$5,Assumptions!$F$5),(Assumptions!$F$5-Assumptions!$D$5)/3.29)*44</f>
        <v>2062728.8203724853</v>
      </c>
      <c r="D501" s="9">
        <f ca="1">_xlfn.NORM.INV(RAND(),AVERAGE(Assumptions!$D$6,Assumptions!$F$6),(Assumptions!$F$6-Assumptions!$D$6)/3.29)*RANDBETWEEN(2,5)</f>
        <v>5143158.1766219689</v>
      </c>
      <c r="E501" s="12">
        <f ca="1">_xlfn.NORM.INV(RAND(),AVERAGE(Assumptions!$D$17,Assumptions!$F$17),(Assumptions!$F$17-Assumptions!$D$17)/3.29)*8</f>
        <v>1019415.3743503836</v>
      </c>
      <c r="F501" s="15">
        <f ca="1">_xlfn.NORM.INV(RAND(),AVERAGE(Assumptions!$D$7,Assumptions!$F$7),(Assumptions!$F$7-Assumptions!$D$7)/3.29)*RANDBETWEEN(1,3)</f>
        <v>3496217.4583967812</v>
      </c>
      <c r="G501" s="3">
        <f ca="1">_xlfn.NORM.INV(RAND(),AVERAGE(Assumptions!$D$8,Assumptions!$F$8),(Assumptions!$F$8-Assumptions!$D$8)/3.29)*44</f>
        <v>836510.43931082112</v>
      </c>
      <c r="H501" s="6">
        <f ca="1">_xlfn.NORM.INV(RAND(),AVERAGE(Assumptions!$D$9,Assumptions!$F$9),(Assumptions!$F$9-Assumptions!$D$9)/3.29)*21</f>
        <v>3355173.1581302178</v>
      </c>
      <c r="I501" s="9">
        <f ca="1">_xlfn.NORM.INV(RAND(),AVERAGE(Assumptions!$D$10,Assumptions!$F$10),(Assumptions!$F$10-Assumptions!$D$10)/3.29)*21</f>
        <v>763065.8935188941</v>
      </c>
      <c r="J501" s="12">
        <f ca="1">NORMINV(RAND(),AVERAGE(Assumptions!$D$11,Assumptions!$F$11),(Assumptions!$F$11-Assumptions!$D$11)/3.29)*44</f>
        <v>3920845.115086643</v>
      </c>
      <c r="K501" s="15">
        <f ca="1">_xlfn.NORM.INV(RAND(),AVERAGE(Assumptions!$D$12,Assumptions!$F$12),(Assumptions!$F$12-Assumptions!$D$12)/3.29)*44</f>
        <v>7218189.8126430782</v>
      </c>
      <c r="L501" s="3">
        <f ca="1">_xlfn.NORM.INV(RAND(),AVERAGE(Assumptions!$D$13,Assumptions!$F$13),(Assumptions!$F$13-Assumptions!$D$13)/3.29)*44</f>
        <v>7502560.1632386446</v>
      </c>
      <c r="M501" s="6">
        <f ca="1">_xlfn.NORM.INV(RAND(),AVERAGE(Assumptions!$D$14,Assumptions!$F$14),(Assumptions!$F$14-Assumptions!$D$14)/3.29)*44</f>
        <v>5216471.2544173682</v>
      </c>
      <c r="N501" s="9">
        <f ca="1">_xlfn.NORM.INV(RAND(),AVERAGE(Assumptions!$D$16,Assumptions!$F$16),(Assumptions!$F$16-Assumptions!$D$16)/3.29)*44</f>
        <v>18250245.60296385</v>
      </c>
      <c r="O501" s="12">
        <f ca="1">_xlfn.NORM.INV(RAND(),AVERAGE(Assumptions!$D$15,Assumptions!$F$15),(Assumptions!$F$15-Assumptions!$D$15)/3.29)*44</f>
        <v>148865833.60956317</v>
      </c>
      <c r="P501" s="15">
        <f>Assumptions!$D$18</f>
        <v>14641750.345627395</v>
      </c>
      <c r="Q501" s="3">
        <f t="shared" ca="1" si="14"/>
        <v>88931153.784644842</v>
      </c>
      <c r="R501" s="6">
        <f t="shared" ca="1" si="15"/>
        <v>103572904.13027224</v>
      </c>
    </row>
    <row r="502" spans="1:18">
      <c r="A502" s="20">
        <v>501</v>
      </c>
      <c r="B502" s="3">
        <f ca="1">_xlfn.NORM.INV(RAND(),AVERAGE(Assumptions!$D$4,Assumptions!$F$4),(Assumptions!$F$4-Assumptions!$D$4)/3.29)*44</f>
        <v>1271728.8572370694</v>
      </c>
      <c r="C502" s="6">
        <f ca="1">_xlfn.NORM.INV(RAND(),AVERAGE(Assumptions!$D$5,Assumptions!$F$5),(Assumptions!$F$5-Assumptions!$D$5)/3.29)*44</f>
        <v>1895749.1863656442</v>
      </c>
      <c r="D502" s="9">
        <f ca="1">_xlfn.NORM.INV(RAND(),AVERAGE(Assumptions!$D$6,Assumptions!$F$6),(Assumptions!$F$6-Assumptions!$D$6)/3.29)*RANDBETWEEN(2,5)</f>
        <v>2975655.4088061517</v>
      </c>
      <c r="E502" s="12">
        <f ca="1">_xlfn.NORM.INV(RAND(),AVERAGE(Assumptions!$D$17,Assumptions!$F$17),(Assumptions!$F$17-Assumptions!$D$17)/3.29)*8</f>
        <v>852924.1120211205</v>
      </c>
      <c r="F502" s="15">
        <f ca="1">_xlfn.NORM.INV(RAND(),AVERAGE(Assumptions!$D$7,Assumptions!$F$7),(Assumptions!$F$7-Assumptions!$D$7)/3.29)*RANDBETWEEN(1,3)</f>
        <v>10347034.157965405</v>
      </c>
      <c r="G502" s="3">
        <f ca="1">_xlfn.NORM.INV(RAND(),AVERAGE(Assumptions!$D$8,Assumptions!$F$8),(Assumptions!$F$8-Assumptions!$D$8)/3.29)*44</f>
        <v>679926.87534974341</v>
      </c>
      <c r="H502" s="6">
        <f ca="1">_xlfn.NORM.INV(RAND(),AVERAGE(Assumptions!$D$9,Assumptions!$F$9),(Assumptions!$F$9-Assumptions!$D$9)/3.29)*21</f>
        <v>3327329.3126579542</v>
      </c>
      <c r="I502" s="9">
        <f ca="1">_xlfn.NORM.INV(RAND(),AVERAGE(Assumptions!$D$10,Assumptions!$F$10),(Assumptions!$F$10-Assumptions!$D$10)/3.29)*21</f>
        <v>467246.27352955297</v>
      </c>
      <c r="J502" s="12">
        <f ca="1">NORMINV(RAND(),AVERAGE(Assumptions!$D$11,Assumptions!$F$11),(Assumptions!$F$11-Assumptions!$D$11)/3.29)*44</f>
        <v>1849277.3134486391</v>
      </c>
      <c r="K502" s="15">
        <f ca="1">_xlfn.NORM.INV(RAND(),AVERAGE(Assumptions!$D$12,Assumptions!$F$12),(Assumptions!$F$12-Assumptions!$D$12)/3.29)*44</f>
        <v>8560054.9229599014</v>
      </c>
      <c r="L502" s="3">
        <f ca="1">_xlfn.NORM.INV(RAND(),AVERAGE(Assumptions!$D$13,Assumptions!$F$13),(Assumptions!$F$13-Assumptions!$D$13)/3.29)*44</f>
        <v>21725436.648782868</v>
      </c>
      <c r="M502" s="6">
        <f ca="1">_xlfn.NORM.INV(RAND(),AVERAGE(Assumptions!$D$14,Assumptions!$F$14),(Assumptions!$F$14-Assumptions!$D$14)/3.29)*44</f>
        <v>5526362.6102173375</v>
      </c>
      <c r="N502" s="9">
        <f ca="1">_xlfn.NORM.INV(RAND(),AVERAGE(Assumptions!$D$16,Assumptions!$F$16),(Assumptions!$F$16-Assumptions!$D$16)/3.29)*44</f>
        <v>7795438.1188309193</v>
      </c>
      <c r="O502" s="12">
        <f ca="1">_xlfn.NORM.INV(RAND(),AVERAGE(Assumptions!$D$15,Assumptions!$F$15),(Assumptions!$F$15-Assumptions!$D$15)/3.29)*44</f>
        <v>148152791.11057591</v>
      </c>
      <c r="P502" s="15">
        <f>Assumptions!$D$18</f>
        <v>14641750.345627395</v>
      </c>
      <c r="Q502" s="3">
        <f t="shared" ca="1" si="14"/>
        <v>80878627.312403604</v>
      </c>
      <c r="R502" s="6">
        <f t="shared" ca="1" si="15"/>
        <v>95520377.658031002</v>
      </c>
    </row>
    <row r="503" spans="1:18">
      <c r="A503" s="20">
        <v>502</v>
      </c>
      <c r="B503" s="3">
        <f ca="1">_xlfn.NORM.INV(RAND(),AVERAGE(Assumptions!$D$4,Assumptions!$F$4),(Assumptions!$F$4-Assumptions!$D$4)/3.29)*44</f>
        <v>1236249.1303640234</v>
      </c>
      <c r="C503" s="6">
        <f ca="1">_xlfn.NORM.INV(RAND(),AVERAGE(Assumptions!$D$5,Assumptions!$F$5),(Assumptions!$F$5-Assumptions!$D$5)/3.29)*44</f>
        <v>1842030.780265335</v>
      </c>
      <c r="D503" s="9">
        <f ca="1">_xlfn.NORM.INV(RAND(),AVERAGE(Assumptions!$D$6,Assumptions!$F$6),(Assumptions!$F$6-Assumptions!$D$6)/3.29)*RANDBETWEEN(2,5)</f>
        <v>3077589.700846775</v>
      </c>
      <c r="E503" s="12">
        <f ca="1">_xlfn.NORM.INV(RAND(),AVERAGE(Assumptions!$D$17,Assumptions!$F$17),(Assumptions!$F$17-Assumptions!$D$17)/3.29)*8</f>
        <v>1047222.9268655523</v>
      </c>
      <c r="F503" s="15">
        <f ca="1">_xlfn.NORM.INV(RAND(),AVERAGE(Assumptions!$D$7,Assumptions!$F$7),(Assumptions!$F$7-Assumptions!$D$7)/3.29)*RANDBETWEEN(1,3)</f>
        <v>5959444.0221158043</v>
      </c>
      <c r="G503" s="3">
        <f ca="1">_xlfn.NORM.INV(RAND(),AVERAGE(Assumptions!$D$8,Assumptions!$F$8),(Assumptions!$F$8-Assumptions!$D$8)/3.29)*44</f>
        <v>1598474.1678491738</v>
      </c>
      <c r="H503" s="6">
        <f ca="1">_xlfn.NORM.INV(RAND(),AVERAGE(Assumptions!$D$9,Assumptions!$F$9),(Assumptions!$F$9-Assumptions!$D$9)/3.29)*21</f>
        <v>5145213.7087355396</v>
      </c>
      <c r="I503" s="9">
        <f ca="1">_xlfn.NORM.INV(RAND(),AVERAGE(Assumptions!$D$10,Assumptions!$F$10),(Assumptions!$F$10-Assumptions!$D$10)/3.29)*21</f>
        <v>584015.31609203375</v>
      </c>
      <c r="J503" s="12">
        <f ca="1">NORMINV(RAND(),AVERAGE(Assumptions!$D$11,Assumptions!$F$11),(Assumptions!$F$11-Assumptions!$D$11)/3.29)*44</f>
        <v>3262367.9352975818</v>
      </c>
      <c r="K503" s="15">
        <f ca="1">_xlfn.NORM.INV(RAND(),AVERAGE(Assumptions!$D$12,Assumptions!$F$12),(Assumptions!$F$12-Assumptions!$D$12)/3.29)*44</f>
        <v>10144634.783448655</v>
      </c>
      <c r="L503" s="3">
        <f ca="1">_xlfn.NORM.INV(RAND(),AVERAGE(Assumptions!$D$13,Assumptions!$F$13),(Assumptions!$F$13-Assumptions!$D$13)/3.29)*44</f>
        <v>14504853.732514355</v>
      </c>
      <c r="M503" s="6">
        <f ca="1">_xlfn.NORM.INV(RAND(),AVERAGE(Assumptions!$D$14,Assumptions!$F$14),(Assumptions!$F$14-Assumptions!$D$14)/3.29)*44</f>
        <v>6084326.344589727</v>
      </c>
      <c r="N503" s="9">
        <f ca="1">_xlfn.NORM.INV(RAND(),AVERAGE(Assumptions!$D$16,Assumptions!$F$16),(Assumptions!$F$16-Assumptions!$D$16)/3.29)*44</f>
        <v>12692588.280429324</v>
      </c>
      <c r="O503" s="12">
        <f ca="1">_xlfn.NORM.INV(RAND(),AVERAGE(Assumptions!$D$15,Assumptions!$F$15),(Assumptions!$F$15-Assumptions!$D$15)/3.29)*44</f>
        <v>31570480.861556038</v>
      </c>
      <c r="P503" s="15">
        <f>Assumptions!$D$18</f>
        <v>14641750.345627395</v>
      </c>
      <c r="Q503" s="3">
        <f t="shared" ca="1" si="14"/>
        <v>-35608529.967857838</v>
      </c>
      <c r="R503" s="6">
        <f t="shared" ca="1" si="15"/>
        <v>-20966779.62223044</v>
      </c>
    </row>
    <row r="504" spans="1:18">
      <c r="A504" s="20">
        <v>503</v>
      </c>
      <c r="B504" s="3">
        <f ca="1">_xlfn.NORM.INV(RAND(),AVERAGE(Assumptions!$D$4,Assumptions!$F$4),(Assumptions!$F$4-Assumptions!$D$4)/3.29)*44</f>
        <v>1288740.8978408775</v>
      </c>
      <c r="C504" s="6">
        <f ca="1">_xlfn.NORM.INV(RAND(),AVERAGE(Assumptions!$D$5,Assumptions!$F$5),(Assumptions!$F$5-Assumptions!$D$5)/3.29)*44</f>
        <v>1900589.6932686043</v>
      </c>
      <c r="D504" s="9">
        <f ca="1">_xlfn.NORM.INV(RAND(),AVERAGE(Assumptions!$D$6,Assumptions!$F$6),(Assumptions!$F$6-Assumptions!$D$6)/3.29)*RANDBETWEEN(2,5)</f>
        <v>3682806.9478107253</v>
      </c>
      <c r="E504" s="12">
        <f ca="1">_xlfn.NORM.INV(RAND(),AVERAGE(Assumptions!$D$17,Assumptions!$F$17),(Assumptions!$F$17-Assumptions!$D$17)/3.29)*8</f>
        <v>925553.98688816116</v>
      </c>
      <c r="F504" s="15">
        <f ca="1">_xlfn.NORM.INV(RAND(),AVERAGE(Assumptions!$D$7,Assumptions!$F$7),(Assumptions!$F$7-Assumptions!$D$7)/3.29)*RANDBETWEEN(1,3)</f>
        <v>2222359.8442746201</v>
      </c>
      <c r="G504" s="3">
        <f ca="1">_xlfn.NORM.INV(RAND(),AVERAGE(Assumptions!$D$8,Assumptions!$F$8),(Assumptions!$F$8-Assumptions!$D$8)/3.29)*44</f>
        <v>1197485.6248695701</v>
      </c>
      <c r="H504" s="6">
        <f ca="1">_xlfn.NORM.INV(RAND(),AVERAGE(Assumptions!$D$9,Assumptions!$F$9),(Assumptions!$F$9-Assumptions!$D$9)/3.29)*21</f>
        <v>3702238.5806661174</v>
      </c>
      <c r="I504" s="9">
        <f ca="1">_xlfn.NORM.INV(RAND(),AVERAGE(Assumptions!$D$10,Assumptions!$F$10),(Assumptions!$F$10-Assumptions!$D$10)/3.29)*21</f>
        <v>884558.17245754076</v>
      </c>
      <c r="J504" s="12">
        <f ca="1">NORMINV(RAND(),AVERAGE(Assumptions!$D$11,Assumptions!$F$11),(Assumptions!$F$11-Assumptions!$D$11)/3.29)*44</f>
        <v>3293198.7580054356</v>
      </c>
      <c r="K504" s="15">
        <f ca="1">_xlfn.NORM.INV(RAND(),AVERAGE(Assumptions!$D$12,Assumptions!$F$12),(Assumptions!$F$12-Assumptions!$D$12)/3.29)*44</f>
        <v>8122921.3525060639</v>
      </c>
      <c r="L504" s="3">
        <f ca="1">_xlfn.NORM.INV(RAND(),AVERAGE(Assumptions!$D$13,Assumptions!$F$13),(Assumptions!$F$13-Assumptions!$D$13)/3.29)*44</f>
        <v>26137984.013068534</v>
      </c>
      <c r="M504" s="6">
        <f ca="1">_xlfn.NORM.INV(RAND(),AVERAGE(Assumptions!$D$14,Assumptions!$F$14),(Assumptions!$F$14-Assumptions!$D$14)/3.29)*44</f>
        <v>6111671.1912600854</v>
      </c>
      <c r="N504" s="9">
        <f ca="1">_xlfn.NORM.INV(RAND(),AVERAGE(Assumptions!$D$16,Assumptions!$F$16),(Assumptions!$F$16-Assumptions!$D$16)/3.29)*44</f>
        <v>12324848.960459642</v>
      </c>
      <c r="O504" s="12">
        <f ca="1">_xlfn.NORM.INV(RAND(),AVERAGE(Assumptions!$D$15,Assumptions!$F$15),(Assumptions!$F$15-Assumptions!$D$15)/3.29)*44</f>
        <v>67106823.8766836</v>
      </c>
      <c r="P504" s="15">
        <f>Assumptions!$D$18</f>
        <v>14641750.345627395</v>
      </c>
      <c r="Q504" s="3">
        <f t="shared" ca="1" si="14"/>
        <v>-4688134.1466923729</v>
      </c>
      <c r="R504" s="6">
        <f t="shared" ca="1" si="15"/>
        <v>9953616.1989350226</v>
      </c>
    </row>
    <row r="505" spans="1:18">
      <c r="A505" s="20">
        <v>504</v>
      </c>
      <c r="B505" s="3">
        <f ca="1">_xlfn.NORM.INV(RAND(),AVERAGE(Assumptions!$D$4,Assumptions!$F$4),(Assumptions!$F$4-Assumptions!$D$4)/3.29)*44</f>
        <v>1243829.4513129061</v>
      </c>
      <c r="C505" s="6">
        <f ca="1">_xlfn.NORM.INV(RAND(),AVERAGE(Assumptions!$D$5,Assumptions!$F$5),(Assumptions!$F$5-Assumptions!$D$5)/3.29)*44</f>
        <v>1808751.9161805515</v>
      </c>
      <c r="D505" s="9">
        <f ca="1">_xlfn.NORM.INV(RAND(),AVERAGE(Assumptions!$D$6,Assumptions!$F$6),(Assumptions!$F$6-Assumptions!$D$6)/3.29)*RANDBETWEEN(2,5)</f>
        <v>1972651.5239209728</v>
      </c>
      <c r="E505" s="12">
        <f ca="1">_xlfn.NORM.INV(RAND(),AVERAGE(Assumptions!$D$17,Assumptions!$F$17),(Assumptions!$F$17-Assumptions!$D$17)/3.29)*8</f>
        <v>929297.62835257</v>
      </c>
      <c r="F505" s="15">
        <f ca="1">_xlfn.NORM.INV(RAND(),AVERAGE(Assumptions!$D$7,Assumptions!$F$7),(Assumptions!$F$7-Assumptions!$D$7)/3.29)*RANDBETWEEN(1,3)</f>
        <v>9080025.5569563713</v>
      </c>
      <c r="G505" s="3">
        <f ca="1">_xlfn.NORM.INV(RAND(),AVERAGE(Assumptions!$D$8,Assumptions!$F$8),(Assumptions!$F$8-Assumptions!$D$8)/3.29)*44</f>
        <v>1241704.5530712896</v>
      </c>
      <c r="H505" s="6">
        <f ca="1">_xlfn.NORM.INV(RAND(),AVERAGE(Assumptions!$D$9,Assumptions!$F$9),(Assumptions!$F$9-Assumptions!$D$9)/3.29)*21</f>
        <v>3501658.8569173785</v>
      </c>
      <c r="I505" s="9">
        <f ca="1">_xlfn.NORM.INV(RAND(),AVERAGE(Assumptions!$D$10,Assumptions!$F$10),(Assumptions!$F$10-Assumptions!$D$10)/3.29)*21</f>
        <v>878299.14918563503</v>
      </c>
      <c r="J505" s="12">
        <f ca="1">NORMINV(RAND(),AVERAGE(Assumptions!$D$11,Assumptions!$F$11),(Assumptions!$F$11-Assumptions!$D$11)/3.29)*44</f>
        <v>2880185.8685120218</v>
      </c>
      <c r="K505" s="15">
        <f ca="1">_xlfn.NORM.INV(RAND(),AVERAGE(Assumptions!$D$12,Assumptions!$F$12),(Assumptions!$F$12-Assumptions!$D$12)/3.29)*44</f>
        <v>7964362.754145097</v>
      </c>
      <c r="L505" s="3">
        <f ca="1">_xlfn.NORM.INV(RAND(),AVERAGE(Assumptions!$D$13,Assumptions!$F$13),(Assumptions!$F$13-Assumptions!$D$13)/3.29)*44</f>
        <v>17339955.163346406</v>
      </c>
      <c r="M505" s="6">
        <f ca="1">_xlfn.NORM.INV(RAND(),AVERAGE(Assumptions!$D$14,Assumptions!$F$14),(Assumptions!$F$14-Assumptions!$D$14)/3.29)*44</f>
        <v>5494273.9018477155</v>
      </c>
      <c r="N505" s="9">
        <f ca="1">_xlfn.NORM.INV(RAND(),AVERAGE(Assumptions!$D$16,Assumptions!$F$16),(Assumptions!$F$16-Assumptions!$D$16)/3.29)*44</f>
        <v>4568660.4745758492</v>
      </c>
      <c r="O505" s="12">
        <f ca="1">_xlfn.NORM.INV(RAND(),AVERAGE(Assumptions!$D$15,Assumptions!$F$15),(Assumptions!$F$15-Assumptions!$D$15)/3.29)*44</f>
        <v>97858260.859959006</v>
      </c>
      <c r="P505" s="15">
        <f>Assumptions!$D$18</f>
        <v>14641750.345627395</v>
      </c>
      <c r="Q505" s="3">
        <f t="shared" ca="1" si="14"/>
        <v>38954604.06163425</v>
      </c>
      <c r="R505" s="6">
        <f t="shared" ca="1" si="15"/>
        <v>53596354.407261647</v>
      </c>
    </row>
    <row r="506" spans="1:18">
      <c r="A506" s="20">
        <v>505</v>
      </c>
      <c r="B506" s="3">
        <f ca="1">_xlfn.NORM.INV(RAND(),AVERAGE(Assumptions!$D$4,Assumptions!$F$4),(Assumptions!$F$4-Assumptions!$D$4)/3.29)*44</f>
        <v>1227086.1361499859</v>
      </c>
      <c r="C506" s="6">
        <f ca="1">_xlfn.NORM.INV(RAND(),AVERAGE(Assumptions!$D$5,Assumptions!$F$5),(Assumptions!$F$5-Assumptions!$D$5)/3.29)*44</f>
        <v>1820433.3794740008</v>
      </c>
      <c r="D506" s="9">
        <f ca="1">_xlfn.NORM.INV(RAND(),AVERAGE(Assumptions!$D$6,Assumptions!$F$6),(Assumptions!$F$6-Assumptions!$D$6)/3.29)*RANDBETWEEN(2,5)</f>
        <v>2773712.6338859173</v>
      </c>
      <c r="E506" s="12">
        <f ca="1">_xlfn.NORM.INV(RAND(),AVERAGE(Assumptions!$D$17,Assumptions!$F$17),(Assumptions!$F$17-Assumptions!$D$17)/3.29)*8</f>
        <v>1000913.9818583012</v>
      </c>
      <c r="F506" s="15">
        <f ca="1">_xlfn.NORM.INV(RAND(),AVERAGE(Assumptions!$D$7,Assumptions!$F$7),(Assumptions!$F$7-Assumptions!$D$7)/3.29)*RANDBETWEEN(1,3)</f>
        <v>6108041.6854795218</v>
      </c>
      <c r="G506" s="3">
        <f ca="1">_xlfn.NORM.INV(RAND(),AVERAGE(Assumptions!$D$8,Assumptions!$F$8),(Assumptions!$F$8-Assumptions!$D$8)/3.29)*44</f>
        <v>908018.79635443294</v>
      </c>
      <c r="H506" s="6">
        <f ca="1">_xlfn.NORM.INV(RAND(),AVERAGE(Assumptions!$D$9,Assumptions!$F$9),(Assumptions!$F$9-Assumptions!$D$9)/3.29)*21</f>
        <v>5132591.1228820719</v>
      </c>
      <c r="I506" s="9">
        <f ca="1">_xlfn.NORM.INV(RAND(),AVERAGE(Assumptions!$D$10,Assumptions!$F$10),(Assumptions!$F$10-Assumptions!$D$10)/3.29)*21</f>
        <v>670004.50437692972</v>
      </c>
      <c r="J506" s="12">
        <f ca="1">NORMINV(RAND(),AVERAGE(Assumptions!$D$11,Assumptions!$F$11),(Assumptions!$F$11-Assumptions!$D$11)/3.29)*44</f>
        <v>3696448.5648685051</v>
      </c>
      <c r="K506" s="15">
        <f ca="1">_xlfn.NORM.INV(RAND(),AVERAGE(Assumptions!$D$12,Assumptions!$F$12),(Assumptions!$F$12-Assumptions!$D$12)/3.29)*44</f>
        <v>8046511.1975082299</v>
      </c>
      <c r="L506" s="3">
        <f ca="1">_xlfn.NORM.INV(RAND(),AVERAGE(Assumptions!$D$13,Assumptions!$F$13),(Assumptions!$F$13-Assumptions!$D$13)/3.29)*44</f>
        <v>4580187.6825381787</v>
      </c>
      <c r="M506" s="6">
        <f ca="1">_xlfn.NORM.INV(RAND(),AVERAGE(Assumptions!$D$14,Assumptions!$F$14),(Assumptions!$F$14-Assumptions!$D$14)/3.29)*44</f>
        <v>6564511.6785433404</v>
      </c>
      <c r="N506" s="9">
        <f ca="1">_xlfn.NORM.INV(RAND(),AVERAGE(Assumptions!$D$16,Assumptions!$F$16),(Assumptions!$F$16-Assumptions!$D$16)/3.29)*44</f>
        <v>13424775.094118752</v>
      </c>
      <c r="O506" s="12">
        <f ca="1">_xlfn.NORM.INV(RAND(),AVERAGE(Assumptions!$D$15,Assumptions!$F$15),(Assumptions!$F$15-Assumptions!$D$15)/3.29)*44</f>
        <v>115953625.19061644</v>
      </c>
      <c r="P506" s="15">
        <f>Assumptions!$D$18</f>
        <v>14641750.345627395</v>
      </c>
      <c r="Q506" s="3">
        <f t="shared" ca="1" si="14"/>
        <v>60000388.73257827</v>
      </c>
      <c r="R506" s="6">
        <f t="shared" ca="1" si="15"/>
        <v>74642139.07820566</v>
      </c>
    </row>
    <row r="507" spans="1:18">
      <c r="A507" s="20">
        <v>506</v>
      </c>
      <c r="B507" s="3">
        <f ca="1">_xlfn.NORM.INV(RAND(),AVERAGE(Assumptions!$D$4,Assumptions!$F$4),(Assumptions!$F$4-Assumptions!$D$4)/3.29)*44</f>
        <v>1273165.8895475271</v>
      </c>
      <c r="C507" s="6">
        <f ca="1">_xlfn.NORM.INV(RAND(),AVERAGE(Assumptions!$D$5,Assumptions!$F$5),(Assumptions!$F$5-Assumptions!$D$5)/3.29)*44</f>
        <v>1834857.5694693138</v>
      </c>
      <c r="D507" s="9">
        <f ca="1">_xlfn.NORM.INV(RAND(),AVERAGE(Assumptions!$D$6,Assumptions!$F$6),(Assumptions!$F$6-Assumptions!$D$6)/3.29)*RANDBETWEEN(2,5)</f>
        <v>2404438.0093016531</v>
      </c>
      <c r="E507" s="12">
        <f ca="1">_xlfn.NORM.INV(RAND(),AVERAGE(Assumptions!$D$17,Assumptions!$F$17),(Assumptions!$F$17-Assumptions!$D$17)/3.29)*8</f>
        <v>893394.04853000538</v>
      </c>
      <c r="F507" s="15">
        <f ca="1">_xlfn.NORM.INV(RAND(),AVERAGE(Assumptions!$D$7,Assumptions!$F$7),(Assumptions!$F$7-Assumptions!$D$7)/3.29)*RANDBETWEEN(1,3)</f>
        <v>8003359.2278958047</v>
      </c>
      <c r="G507" s="3">
        <f ca="1">_xlfn.NORM.INV(RAND(),AVERAGE(Assumptions!$D$8,Assumptions!$F$8),(Assumptions!$F$8-Assumptions!$D$8)/3.29)*44</f>
        <v>1133712.7545189674</v>
      </c>
      <c r="H507" s="6">
        <f ca="1">_xlfn.NORM.INV(RAND(),AVERAGE(Assumptions!$D$9,Assumptions!$F$9),(Assumptions!$F$9-Assumptions!$D$9)/3.29)*21</f>
        <v>6050149.5040143812</v>
      </c>
      <c r="I507" s="9">
        <f ca="1">_xlfn.NORM.INV(RAND(),AVERAGE(Assumptions!$D$10,Assumptions!$F$10),(Assumptions!$F$10-Assumptions!$D$10)/3.29)*21</f>
        <v>547916.49054912583</v>
      </c>
      <c r="J507" s="12">
        <f ca="1">NORMINV(RAND(),AVERAGE(Assumptions!$D$11,Assumptions!$F$11),(Assumptions!$F$11-Assumptions!$D$11)/3.29)*44</f>
        <v>2172246.5263723019</v>
      </c>
      <c r="K507" s="15">
        <f ca="1">_xlfn.NORM.INV(RAND(),AVERAGE(Assumptions!$D$12,Assumptions!$F$12),(Assumptions!$F$12-Assumptions!$D$12)/3.29)*44</f>
        <v>8005929.3805876607</v>
      </c>
      <c r="L507" s="3">
        <f ca="1">_xlfn.NORM.INV(RAND(),AVERAGE(Assumptions!$D$13,Assumptions!$F$13),(Assumptions!$F$13-Assumptions!$D$13)/3.29)*44</f>
        <v>6993514.1927736774</v>
      </c>
      <c r="M507" s="6">
        <f ca="1">_xlfn.NORM.INV(RAND(),AVERAGE(Assumptions!$D$14,Assumptions!$F$14),(Assumptions!$F$14-Assumptions!$D$14)/3.29)*44</f>
        <v>6563233.339405112</v>
      </c>
      <c r="N507" s="9">
        <f ca="1">_xlfn.NORM.INV(RAND(),AVERAGE(Assumptions!$D$16,Assumptions!$F$16),(Assumptions!$F$16-Assumptions!$D$16)/3.29)*44</f>
        <v>7223464.414368107</v>
      </c>
      <c r="O507" s="12">
        <f ca="1">_xlfn.NORM.INV(RAND(),AVERAGE(Assumptions!$D$15,Assumptions!$F$15),(Assumptions!$F$15-Assumptions!$D$15)/3.29)*44</f>
        <v>63132927.998756856</v>
      </c>
      <c r="P507" s="15">
        <f>Assumptions!$D$18</f>
        <v>14641750.345627395</v>
      </c>
      <c r="Q507" s="3">
        <f t="shared" ca="1" si="14"/>
        <v>10033546.651423216</v>
      </c>
      <c r="R507" s="6">
        <f t="shared" ca="1" si="15"/>
        <v>24675296.997050613</v>
      </c>
    </row>
    <row r="508" spans="1:18">
      <c r="A508" s="20">
        <v>507</v>
      </c>
      <c r="B508" s="3">
        <f ca="1">_xlfn.NORM.INV(RAND(),AVERAGE(Assumptions!$D$4,Assumptions!$F$4),(Assumptions!$F$4-Assumptions!$D$4)/3.29)*44</f>
        <v>1282292.9485464999</v>
      </c>
      <c r="C508" s="6">
        <f ca="1">_xlfn.NORM.INV(RAND(),AVERAGE(Assumptions!$D$5,Assumptions!$F$5),(Assumptions!$F$5-Assumptions!$D$5)/3.29)*44</f>
        <v>2052618.3026036702</v>
      </c>
      <c r="D508" s="9">
        <f ca="1">_xlfn.NORM.INV(RAND(),AVERAGE(Assumptions!$D$6,Assumptions!$F$6),(Assumptions!$F$6-Assumptions!$D$6)/3.29)*RANDBETWEEN(2,5)</f>
        <v>5496924.7965168972</v>
      </c>
      <c r="E508" s="12">
        <f ca="1">_xlfn.NORM.INV(RAND(),AVERAGE(Assumptions!$D$17,Assumptions!$F$17),(Assumptions!$F$17-Assumptions!$D$17)/3.29)*8</f>
        <v>1090663.7936935974</v>
      </c>
      <c r="F508" s="15">
        <f ca="1">_xlfn.NORM.INV(RAND(),AVERAGE(Assumptions!$D$7,Assumptions!$F$7),(Assumptions!$F$7-Assumptions!$D$7)/3.29)*RANDBETWEEN(1,3)</f>
        <v>4600526.9397746455</v>
      </c>
      <c r="G508" s="3">
        <f ca="1">_xlfn.NORM.INV(RAND(),AVERAGE(Assumptions!$D$8,Assumptions!$F$8),(Assumptions!$F$8-Assumptions!$D$8)/3.29)*44</f>
        <v>858828.83081611153</v>
      </c>
      <c r="H508" s="6">
        <f ca="1">_xlfn.NORM.INV(RAND(),AVERAGE(Assumptions!$D$9,Assumptions!$F$9),(Assumptions!$F$9-Assumptions!$D$9)/3.29)*21</f>
        <v>4818102.0201383177</v>
      </c>
      <c r="I508" s="9">
        <f ca="1">_xlfn.NORM.INV(RAND(),AVERAGE(Assumptions!$D$10,Assumptions!$F$10),(Assumptions!$F$10-Assumptions!$D$10)/3.29)*21</f>
        <v>761957.83816914307</v>
      </c>
      <c r="J508" s="12">
        <f ca="1">NORMINV(RAND(),AVERAGE(Assumptions!$D$11,Assumptions!$F$11),(Assumptions!$F$11-Assumptions!$D$11)/3.29)*44</f>
        <v>1839998.2842431704</v>
      </c>
      <c r="K508" s="15">
        <f ca="1">_xlfn.NORM.INV(RAND(),AVERAGE(Assumptions!$D$12,Assumptions!$F$12),(Assumptions!$F$12-Assumptions!$D$12)/3.29)*44</f>
        <v>8139957.4600719381</v>
      </c>
      <c r="L508" s="3">
        <f ca="1">_xlfn.NORM.INV(RAND(),AVERAGE(Assumptions!$D$13,Assumptions!$F$13),(Assumptions!$F$13-Assumptions!$D$13)/3.29)*44</f>
        <v>17762977.236217678</v>
      </c>
      <c r="M508" s="6">
        <f ca="1">_xlfn.NORM.INV(RAND(),AVERAGE(Assumptions!$D$14,Assumptions!$F$14),(Assumptions!$F$14-Assumptions!$D$14)/3.29)*44</f>
        <v>6687843.3411338571</v>
      </c>
      <c r="N508" s="9">
        <f ca="1">_xlfn.NORM.INV(RAND(),AVERAGE(Assumptions!$D$16,Assumptions!$F$16),(Assumptions!$F$16-Assumptions!$D$16)/3.29)*44</f>
        <v>5300057.3739454858</v>
      </c>
      <c r="O508" s="12">
        <f ca="1">_xlfn.NORM.INV(RAND(),AVERAGE(Assumptions!$D$15,Assumptions!$F$15),(Assumptions!$F$15-Assumptions!$D$15)/3.29)*44</f>
        <v>102494718.56118356</v>
      </c>
      <c r="P508" s="15">
        <f>Assumptions!$D$18</f>
        <v>14641750.345627395</v>
      </c>
      <c r="Q508" s="3">
        <f t="shared" ca="1" si="14"/>
        <v>41801969.395312555</v>
      </c>
      <c r="R508" s="6">
        <f t="shared" ca="1" si="15"/>
        <v>56443719.740939952</v>
      </c>
    </row>
    <row r="509" spans="1:18">
      <c r="A509" s="20">
        <v>508</v>
      </c>
      <c r="B509" s="3">
        <f ca="1">_xlfn.NORM.INV(RAND(),AVERAGE(Assumptions!$D$4,Assumptions!$F$4),(Assumptions!$F$4-Assumptions!$D$4)/3.29)*44</f>
        <v>1190676.5761645413</v>
      </c>
      <c r="C509" s="6">
        <f ca="1">_xlfn.NORM.INV(RAND(),AVERAGE(Assumptions!$D$5,Assumptions!$F$5),(Assumptions!$F$5-Assumptions!$D$5)/3.29)*44</f>
        <v>1843788.7834108297</v>
      </c>
      <c r="D509" s="9">
        <f ca="1">_xlfn.NORM.INV(RAND(),AVERAGE(Assumptions!$D$6,Assumptions!$F$6),(Assumptions!$F$6-Assumptions!$D$6)/3.29)*RANDBETWEEN(2,5)</f>
        <v>2329609.3425643891</v>
      </c>
      <c r="E509" s="12">
        <f ca="1">_xlfn.NORM.INV(RAND(),AVERAGE(Assumptions!$D$17,Assumptions!$F$17),(Assumptions!$F$17-Assumptions!$D$17)/3.29)*8</f>
        <v>1002946.0754382246</v>
      </c>
      <c r="F509" s="15">
        <f ca="1">_xlfn.NORM.INV(RAND(),AVERAGE(Assumptions!$D$7,Assumptions!$F$7),(Assumptions!$F$7-Assumptions!$D$7)/3.29)*RANDBETWEEN(1,3)</f>
        <v>4461204.8643532498</v>
      </c>
      <c r="G509" s="3">
        <f ca="1">_xlfn.NORM.INV(RAND(),AVERAGE(Assumptions!$D$8,Assumptions!$F$8),(Assumptions!$F$8-Assumptions!$D$8)/3.29)*44</f>
        <v>779278.53168618598</v>
      </c>
      <c r="H509" s="6">
        <f ca="1">_xlfn.NORM.INV(RAND(),AVERAGE(Assumptions!$D$9,Assumptions!$F$9),(Assumptions!$F$9-Assumptions!$D$9)/3.29)*21</f>
        <v>5665712.8303400185</v>
      </c>
      <c r="I509" s="9">
        <f ca="1">_xlfn.NORM.INV(RAND(),AVERAGE(Assumptions!$D$10,Assumptions!$F$10),(Assumptions!$F$10-Assumptions!$D$10)/3.29)*21</f>
        <v>1592565.5971714451</v>
      </c>
      <c r="J509" s="12">
        <f ca="1">NORMINV(RAND(),AVERAGE(Assumptions!$D$11,Assumptions!$F$11),(Assumptions!$F$11-Assumptions!$D$11)/3.29)*44</f>
        <v>4670295.9374943487</v>
      </c>
      <c r="K509" s="15">
        <f ca="1">_xlfn.NORM.INV(RAND(),AVERAGE(Assumptions!$D$12,Assumptions!$F$12),(Assumptions!$F$12-Assumptions!$D$12)/3.29)*44</f>
        <v>11123646.052615156</v>
      </c>
      <c r="L509" s="3">
        <f ca="1">_xlfn.NORM.INV(RAND(),AVERAGE(Assumptions!$D$13,Assumptions!$F$13),(Assumptions!$F$13-Assumptions!$D$13)/3.29)*44</f>
        <v>15576021.061168939</v>
      </c>
      <c r="M509" s="6">
        <f ca="1">_xlfn.NORM.INV(RAND(),AVERAGE(Assumptions!$D$14,Assumptions!$F$14),(Assumptions!$F$14-Assumptions!$D$14)/3.29)*44</f>
        <v>7562743.7764037978</v>
      </c>
      <c r="N509" s="9">
        <f ca="1">_xlfn.NORM.INV(RAND(),AVERAGE(Assumptions!$D$16,Assumptions!$F$16),(Assumptions!$F$16-Assumptions!$D$16)/3.29)*44</f>
        <v>9142953.847242184</v>
      </c>
      <c r="O509" s="12">
        <f ca="1">_xlfn.NORM.INV(RAND(),AVERAGE(Assumptions!$D$15,Assumptions!$F$15),(Assumptions!$F$15-Assumptions!$D$15)/3.29)*44</f>
        <v>109802573.75695685</v>
      </c>
      <c r="P509" s="15">
        <f>Assumptions!$D$18</f>
        <v>14641750.345627395</v>
      </c>
      <c r="Q509" s="3">
        <f t="shared" ca="1" si="14"/>
        <v>42861130.480903536</v>
      </c>
      <c r="R509" s="6">
        <f t="shared" ca="1" si="15"/>
        <v>57502880.826530933</v>
      </c>
    </row>
    <row r="510" spans="1:18">
      <c r="A510" s="20">
        <v>509</v>
      </c>
      <c r="B510" s="3">
        <f ca="1">_xlfn.NORM.INV(RAND(),AVERAGE(Assumptions!$D$4,Assumptions!$F$4),(Assumptions!$F$4-Assumptions!$D$4)/3.29)*44</f>
        <v>1245332.3064258227</v>
      </c>
      <c r="C510" s="6">
        <f ca="1">_xlfn.NORM.INV(RAND(),AVERAGE(Assumptions!$D$5,Assumptions!$F$5),(Assumptions!$F$5-Assumptions!$D$5)/3.29)*44</f>
        <v>1732363.8338613908</v>
      </c>
      <c r="D510" s="9">
        <f ca="1">_xlfn.NORM.INV(RAND(),AVERAGE(Assumptions!$D$6,Assumptions!$F$6),(Assumptions!$F$6-Assumptions!$D$6)/3.29)*RANDBETWEEN(2,5)</f>
        <v>5691084.4342759494</v>
      </c>
      <c r="E510" s="12">
        <f ca="1">_xlfn.NORM.INV(RAND(),AVERAGE(Assumptions!$D$17,Assumptions!$F$17),(Assumptions!$F$17-Assumptions!$D$17)/3.29)*8</f>
        <v>875876.1246126804</v>
      </c>
      <c r="F510" s="15">
        <f ca="1">_xlfn.NORM.INV(RAND(),AVERAGE(Assumptions!$D$7,Assumptions!$F$7),(Assumptions!$F$7-Assumptions!$D$7)/3.29)*RANDBETWEEN(1,3)</f>
        <v>3414893.0071997773</v>
      </c>
      <c r="G510" s="3">
        <f ca="1">_xlfn.NORM.INV(RAND(),AVERAGE(Assumptions!$D$8,Assumptions!$F$8),(Assumptions!$F$8-Assumptions!$D$8)/3.29)*44</f>
        <v>1443021.9214432149</v>
      </c>
      <c r="H510" s="6">
        <f ca="1">_xlfn.NORM.INV(RAND(),AVERAGE(Assumptions!$D$9,Assumptions!$F$9),(Assumptions!$F$9-Assumptions!$D$9)/3.29)*21</f>
        <v>3927705.9750141203</v>
      </c>
      <c r="I510" s="9">
        <f ca="1">_xlfn.NORM.INV(RAND(),AVERAGE(Assumptions!$D$10,Assumptions!$F$10),(Assumptions!$F$10-Assumptions!$D$10)/3.29)*21</f>
        <v>697309.7924411071</v>
      </c>
      <c r="J510" s="12">
        <f ca="1">NORMINV(RAND(),AVERAGE(Assumptions!$D$11,Assumptions!$F$11),(Assumptions!$F$11-Assumptions!$D$11)/3.29)*44</f>
        <v>2944795.0318340273</v>
      </c>
      <c r="K510" s="15">
        <f ca="1">_xlfn.NORM.INV(RAND(),AVERAGE(Assumptions!$D$12,Assumptions!$F$12),(Assumptions!$F$12-Assumptions!$D$12)/3.29)*44</f>
        <v>8882704.3145117033</v>
      </c>
      <c r="L510" s="3">
        <f ca="1">_xlfn.NORM.INV(RAND(),AVERAGE(Assumptions!$D$13,Assumptions!$F$13),(Assumptions!$F$13-Assumptions!$D$13)/3.29)*44</f>
        <v>13100742.152003113</v>
      </c>
      <c r="M510" s="6">
        <f ca="1">_xlfn.NORM.INV(RAND(),AVERAGE(Assumptions!$D$14,Assumptions!$F$14),(Assumptions!$F$14-Assumptions!$D$14)/3.29)*44</f>
        <v>6451313.3646087144</v>
      </c>
      <c r="N510" s="9">
        <f ca="1">_xlfn.NORM.INV(RAND(),AVERAGE(Assumptions!$D$16,Assumptions!$F$16),(Assumptions!$F$16-Assumptions!$D$16)/3.29)*44</f>
        <v>13058271.61982058</v>
      </c>
      <c r="O510" s="12">
        <f ca="1">_xlfn.NORM.INV(RAND(),AVERAGE(Assumptions!$D$15,Assumptions!$F$15),(Assumptions!$F$15-Assumptions!$D$15)/3.29)*44</f>
        <v>117920045.14713776</v>
      </c>
      <c r="P510" s="15">
        <f>Assumptions!$D$18</f>
        <v>14641750.345627395</v>
      </c>
      <c r="Q510" s="3">
        <f t="shared" ca="1" si="14"/>
        <v>54454631.269085556</v>
      </c>
      <c r="R510" s="6">
        <f t="shared" ca="1" si="15"/>
        <v>69096381.614712954</v>
      </c>
    </row>
    <row r="511" spans="1:18">
      <c r="A511" s="20">
        <v>510</v>
      </c>
      <c r="B511" s="3">
        <f ca="1">_xlfn.NORM.INV(RAND(),AVERAGE(Assumptions!$D$4,Assumptions!$F$4),(Assumptions!$F$4-Assumptions!$D$4)/3.29)*44</f>
        <v>1246470.6301854819</v>
      </c>
      <c r="C511" s="6">
        <f ca="1">_xlfn.NORM.INV(RAND(),AVERAGE(Assumptions!$D$5,Assumptions!$F$5),(Assumptions!$F$5-Assumptions!$D$5)/3.29)*44</f>
        <v>1932735.9297513517</v>
      </c>
      <c r="D511" s="9">
        <f ca="1">_xlfn.NORM.INV(RAND(),AVERAGE(Assumptions!$D$6,Assumptions!$F$6),(Assumptions!$F$6-Assumptions!$D$6)/3.29)*RANDBETWEEN(2,5)</f>
        <v>10293570.723911695</v>
      </c>
      <c r="E511" s="12">
        <f ca="1">_xlfn.NORM.INV(RAND(),AVERAGE(Assumptions!$D$17,Assumptions!$F$17),(Assumptions!$F$17-Assumptions!$D$17)/3.29)*8</f>
        <v>967175.69514934486</v>
      </c>
      <c r="F511" s="15">
        <f ca="1">_xlfn.NORM.INV(RAND(),AVERAGE(Assumptions!$D$7,Assumptions!$F$7),(Assumptions!$F$7-Assumptions!$D$7)/3.29)*RANDBETWEEN(1,3)</f>
        <v>1793039.5763110975</v>
      </c>
      <c r="G511" s="3">
        <f ca="1">_xlfn.NORM.INV(RAND(),AVERAGE(Assumptions!$D$8,Assumptions!$F$8),(Assumptions!$F$8-Assumptions!$D$8)/3.29)*44</f>
        <v>1443542.8088597457</v>
      </c>
      <c r="H511" s="6">
        <f ca="1">_xlfn.NORM.INV(RAND(),AVERAGE(Assumptions!$D$9,Assumptions!$F$9),(Assumptions!$F$9-Assumptions!$D$9)/3.29)*21</f>
        <v>4746989.7176576657</v>
      </c>
      <c r="I511" s="9">
        <f ca="1">_xlfn.NORM.INV(RAND(),AVERAGE(Assumptions!$D$10,Assumptions!$F$10),(Assumptions!$F$10-Assumptions!$D$10)/3.29)*21</f>
        <v>1164025.9673965648</v>
      </c>
      <c r="J511" s="12">
        <f ca="1">NORMINV(RAND(),AVERAGE(Assumptions!$D$11,Assumptions!$F$11),(Assumptions!$F$11-Assumptions!$D$11)/3.29)*44</f>
        <v>3602921.8187790182</v>
      </c>
      <c r="K511" s="15">
        <f ca="1">_xlfn.NORM.INV(RAND(),AVERAGE(Assumptions!$D$12,Assumptions!$F$12),(Assumptions!$F$12-Assumptions!$D$12)/3.29)*44</f>
        <v>6263630.6757289125</v>
      </c>
      <c r="L511" s="3">
        <f ca="1">_xlfn.NORM.INV(RAND(),AVERAGE(Assumptions!$D$13,Assumptions!$F$13),(Assumptions!$F$13-Assumptions!$D$13)/3.29)*44</f>
        <v>23870902.167166211</v>
      </c>
      <c r="M511" s="6">
        <f ca="1">_xlfn.NORM.INV(RAND(),AVERAGE(Assumptions!$D$14,Assumptions!$F$14),(Assumptions!$F$14-Assumptions!$D$14)/3.29)*44</f>
        <v>5360194.7380218543</v>
      </c>
      <c r="N511" s="9">
        <f ca="1">_xlfn.NORM.INV(RAND(),AVERAGE(Assumptions!$D$16,Assumptions!$F$16),(Assumptions!$F$16-Assumptions!$D$16)/3.29)*44</f>
        <v>18074160.524141289</v>
      </c>
      <c r="O511" s="12">
        <f ca="1">_xlfn.NORM.INV(RAND(),AVERAGE(Assumptions!$D$15,Assumptions!$F$15),(Assumptions!$F$15-Assumptions!$D$15)/3.29)*44</f>
        <v>41882121.82622119</v>
      </c>
      <c r="P511" s="15">
        <f>Assumptions!$D$18</f>
        <v>14641750.345627395</v>
      </c>
      <c r="Q511" s="3">
        <f t="shared" ca="1" si="14"/>
        <v>-38877239.146839045</v>
      </c>
      <c r="R511" s="6">
        <f t="shared" ca="1" si="15"/>
        <v>-24235488.801211648</v>
      </c>
    </row>
    <row r="512" spans="1:18">
      <c r="A512" s="20">
        <v>511</v>
      </c>
      <c r="B512" s="3">
        <f ca="1">_xlfn.NORM.INV(RAND(),AVERAGE(Assumptions!$D$4,Assumptions!$F$4),(Assumptions!$F$4-Assumptions!$D$4)/3.29)*44</f>
        <v>1077334.6006115857</v>
      </c>
      <c r="C512" s="6">
        <f ca="1">_xlfn.NORM.INV(RAND(),AVERAGE(Assumptions!$D$5,Assumptions!$F$5),(Assumptions!$F$5-Assumptions!$D$5)/3.29)*44</f>
        <v>1782544.0665339893</v>
      </c>
      <c r="D512" s="9">
        <f ca="1">_xlfn.NORM.INV(RAND(),AVERAGE(Assumptions!$D$6,Assumptions!$F$6),(Assumptions!$F$6-Assumptions!$D$6)/3.29)*RANDBETWEEN(2,5)</f>
        <v>8573639.7789873537</v>
      </c>
      <c r="E512" s="12">
        <f ca="1">_xlfn.NORM.INV(RAND(),AVERAGE(Assumptions!$D$17,Assumptions!$F$17),(Assumptions!$F$17-Assumptions!$D$17)/3.29)*8</f>
        <v>1067812.6138174485</v>
      </c>
      <c r="F512" s="15">
        <f ca="1">_xlfn.NORM.INV(RAND(),AVERAGE(Assumptions!$D$7,Assumptions!$F$7),(Assumptions!$F$7-Assumptions!$D$7)/3.29)*RANDBETWEEN(1,3)</f>
        <v>6764227.2242991552</v>
      </c>
      <c r="G512" s="3">
        <f ca="1">_xlfn.NORM.INV(RAND(),AVERAGE(Assumptions!$D$8,Assumptions!$F$8),(Assumptions!$F$8-Assumptions!$D$8)/3.29)*44</f>
        <v>1195504.8140518356</v>
      </c>
      <c r="H512" s="6">
        <f ca="1">_xlfn.NORM.INV(RAND(),AVERAGE(Assumptions!$D$9,Assumptions!$F$9),(Assumptions!$F$9-Assumptions!$D$9)/3.29)*21</f>
        <v>3505676.4384475257</v>
      </c>
      <c r="I512" s="9">
        <f ca="1">_xlfn.NORM.INV(RAND(),AVERAGE(Assumptions!$D$10,Assumptions!$F$10),(Assumptions!$F$10-Assumptions!$D$10)/3.29)*21</f>
        <v>1066375.7868917561</v>
      </c>
      <c r="J512" s="12">
        <f ca="1">NORMINV(RAND(),AVERAGE(Assumptions!$D$11,Assumptions!$F$11),(Assumptions!$F$11-Assumptions!$D$11)/3.29)*44</f>
        <v>4202640.9198798984</v>
      </c>
      <c r="K512" s="15">
        <f ca="1">_xlfn.NORM.INV(RAND(),AVERAGE(Assumptions!$D$12,Assumptions!$F$12),(Assumptions!$F$12-Assumptions!$D$12)/3.29)*44</f>
        <v>8207803.801002739</v>
      </c>
      <c r="L512" s="3">
        <f ca="1">_xlfn.NORM.INV(RAND(),AVERAGE(Assumptions!$D$13,Assumptions!$F$13),(Assumptions!$F$13-Assumptions!$D$13)/3.29)*44</f>
        <v>10512591.001994707</v>
      </c>
      <c r="M512" s="6">
        <f ca="1">_xlfn.NORM.INV(RAND(),AVERAGE(Assumptions!$D$14,Assumptions!$F$14),(Assumptions!$F$14-Assumptions!$D$14)/3.29)*44</f>
        <v>7094332.0893230122</v>
      </c>
      <c r="N512" s="9">
        <f ca="1">_xlfn.NORM.INV(RAND(),AVERAGE(Assumptions!$D$16,Assumptions!$F$16),(Assumptions!$F$16-Assumptions!$D$16)/3.29)*44</f>
        <v>10976854.604481688</v>
      </c>
      <c r="O512" s="12">
        <f ca="1">_xlfn.NORM.INV(RAND(),AVERAGE(Assumptions!$D$15,Assumptions!$F$15),(Assumptions!$F$15-Assumptions!$D$15)/3.29)*44</f>
        <v>122037987.01785508</v>
      </c>
      <c r="P512" s="15">
        <f>Assumptions!$D$18</f>
        <v>14641750.345627395</v>
      </c>
      <c r="Q512" s="3">
        <f t="shared" ca="1" si="14"/>
        <v>56010649.277532384</v>
      </c>
      <c r="R512" s="6">
        <f t="shared" ca="1" si="15"/>
        <v>70652399.623159781</v>
      </c>
    </row>
    <row r="513" spans="1:18">
      <c r="A513" s="20">
        <v>512</v>
      </c>
      <c r="B513" s="3">
        <f ca="1">_xlfn.NORM.INV(RAND(),AVERAGE(Assumptions!$D$4,Assumptions!$F$4),(Assumptions!$F$4-Assumptions!$D$4)/3.29)*44</f>
        <v>1253417.2935669757</v>
      </c>
      <c r="C513" s="6">
        <f ca="1">_xlfn.NORM.INV(RAND(),AVERAGE(Assumptions!$D$5,Assumptions!$F$5),(Assumptions!$F$5-Assumptions!$D$5)/3.29)*44</f>
        <v>2005017.4397376319</v>
      </c>
      <c r="D513" s="9">
        <f ca="1">_xlfn.NORM.INV(RAND(),AVERAGE(Assumptions!$D$6,Assumptions!$F$6),(Assumptions!$F$6-Assumptions!$D$6)/3.29)*RANDBETWEEN(2,5)</f>
        <v>4358893.1521564573</v>
      </c>
      <c r="E513" s="12">
        <f ca="1">_xlfn.NORM.INV(RAND(),AVERAGE(Assumptions!$D$17,Assumptions!$F$17),(Assumptions!$F$17-Assumptions!$D$17)/3.29)*8</f>
        <v>827304.83361217217</v>
      </c>
      <c r="F513" s="15">
        <f ca="1">_xlfn.NORM.INV(RAND(),AVERAGE(Assumptions!$D$7,Assumptions!$F$7),(Assumptions!$F$7-Assumptions!$D$7)/3.29)*RANDBETWEEN(1,3)</f>
        <v>7079721.5662965961</v>
      </c>
      <c r="G513" s="3">
        <f ca="1">_xlfn.NORM.INV(RAND(),AVERAGE(Assumptions!$D$8,Assumptions!$F$8),(Assumptions!$F$8-Assumptions!$D$8)/3.29)*44</f>
        <v>957599.22022471647</v>
      </c>
      <c r="H513" s="6">
        <f ca="1">_xlfn.NORM.INV(RAND(),AVERAGE(Assumptions!$D$9,Assumptions!$F$9),(Assumptions!$F$9-Assumptions!$D$9)/3.29)*21</f>
        <v>4746481.9324629894</v>
      </c>
      <c r="I513" s="9">
        <f ca="1">_xlfn.NORM.INV(RAND(),AVERAGE(Assumptions!$D$10,Assumptions!$F$10),(Assumptions!$F$10-Assumptions!$D$10)/3.29)*21</f>
        <v>957456.68545974256</v>
      </c>
      <c r="J513" s="12">
        <f ca="1">NORMINV(RAND(),AVERAGE(Assumptions!$D$11,Assumptions!$F$11),(Assumptions!$F$11-Assumptions!$D$11)/3.29)*44</f>
        <v>2872157.0252532531</v>
      </c>
      <c r="K513" s="15">
        <f ca="1">_xlfn.NORM.INV(RAND(),AVERAGE(Assumptions!$D$12,Assumptions!$F$12),(Assumptions!$F$12-Assumptions!$D$12)/3.29)*44</f>
        <v>6946916.431734561</v>
      </c>
      <c r="L513" s="3">
        <f ca="1">_xlfn.NORM.INV(RAND(),AVERAGE(Assumptions!$D$13,Assumptions!$F$13),(Assumptions!$F$13-Assumptions!$D$13)/3.29)*44</f>
        <v>4886147.5663240803</v>
      </c>
      <c r="M513" s="6">
        <f ca="1">_xlfn.NORM.INV(RAND(),AVERAGE(Assumptions!$D$14,Assumptions!$F$14),(Assumptions!$F$14-Assumptions!$D$14)/3.29)*44</f>
        <v>6893502.7631165422</v>
      </c>
      <c r="N513" s="9">
        <f ca="1">_xlfn.NORM.INV(RAND(),AVERAGE(Assumptions!$D$16,Assumptions!$F$16),(Assumptions!$F$16-Assumptions!$D$16)/3.29)*44</f>
        <v>18383767.311972726</v>
      </c>
      <c r="O513" s="12">
        <f ca="1">_xlfn.NORM.INV(RAND(),AVERAGE(Assumptions!$D$15,Assumptions!$F$15),(Assumptions!$F$15-Assumptions!$D$15)/3.29)*44</f>
        <v>121558517.88357463</v>
      </c>
      <c r="P513" s="15">
        <f>Assumptions!$D$18</f>
        <v>14641750.345627395</v>
      </c>
      <c r="Q513" s="3">
        <f t="shared" ca="1" si="14"/>
        <v>59390134.661656186</v>
      </c>
      <c r="R513" s="6">
        <f t="shared" ca="1" si="15"/>
        <v>74031885.007283583</v>
      </c>
    </row>
    <row r="514" spans="1:18">
      <c r="A514" s="20">
        <v>513</v>
      </c>
      <c r="B514" s="3">
        <f ca="1">_xlfn.NORM.INV(RAND(),AVERAGE(Assumptions!$D$4,Assumptions!$F$4),(Assumptions!$F$4-Assumptions!$D$4)/3.29)*44</f>
        <v>1230269.3078935309</v>
      </c>
      <c r="C514" s="6">
        <f ca="1">_xlfn.NORM.INV(RAND(),AVERAGE(Assumptions!$D$5,Assumptions!$F$5),(Assumptions!$F$5-Assumptions!$D$5)/3.29)*44</f>
        <v>1765742.8321869434</v>
      </c>
      <c r="D514" s="9">
        <f ca="1">_xlfn.NORM.INV(RAND(),AVERAGE(Assumptions!$D$6,Assumptions!$F$6),(Assumptions!$F$6-Assumptions!$D$6)/3.29)*RANDBETWEEN(2,5)</f>
        <v>7112084.2510617198</v>
      </c>
      <c r="E514" s="12">
        <f ca="1">_xlfn.NORM.INV(RAND(),AVERAGE(Assumptions!$D$17,Assumptions!$F$17),(Assumptions!$F$17-Assumptions!$D$17)/3.29)*8</f>
        <v>868302.56913414784</v>
      </c>
      <c r="F514" s="15">
        <f ca="1">_xlfn.NORM.INV(RAND(),AVERAGE(Assumptions!$D$7,Assumptions!$F$7),(Assumptions!$F$7-Assumptions!$D$7)/3.29)*RANDBETWEEN(1,3)</f>
        <v>1855122.8910857216</v>
      </c>
      <c r="G514" s="3">
        <f ca="1">_xlfn.NORM.INV(RAND(),AVERAGE(Assumptions!$D$8,Assumptions!$F$8),(Assumptions!$F$8-Assumptions!$D$8)/3.29)*44</f>
        <v>1091001.2937126763</v>
      </c>
      <c r="H514" s="6">
        <f ca="1">_xlfn.NORM.INV(RAND(),AVERAGE(Assumptions!$D$9,Assumptions!$F$9),(Assumptions!$F$9-Assumptions!$D$9)/3.29)*21</f>
        <v>5079473.2167682936</v>
      </c>
      <c r="I514" s="9">
        <f ca="1">_xlfn.NORM.INV(RAND(),AVERAGE(Assumptions!$D$10,Assumptions!$F$10),(Assumptions!$F$10-Assumptions!$D$10)/3.29)*21</f>
        <v>954923.43711323279</v>
      </c>
      <c r="J514" s="12">
        <f ca="1">NORMINV(RAND(),AVERAGE(Assumptions!$D$11,Assumptions!$F$11),(Assumptions!$F$11-Assumptions!$D$11)/3.29)*44</f>
        <v>5408480.8371506501</v>
      </c>
      <c r="K514" s="15">
        <f ca="1">_xlfn.NORM.INV(RAND(),AVERAGE(Assumptions!$D$12,Assumptions!$F$12),(Assumptions!$F$12-Assumptions!$D$12)/3.29)*44</f>
        <v>5098771.1620323928</v>
      </c>
      <c r="L514" s="3">
        <f ca="1">_xlfn.NORM.INV(RAND(),AVERAGE(Assumptions!$D$13,Assumptions!$F$13),(Assumptions!$F$13-Assumptions!$D$13)/3.29)*44</f>
        <v>12380419.651516089</v>
      </c>
      <c r="M514" s="6">
        <f ca="1">_xlfn.NORM.INV(RAND(),AVERAGE(Assumptions!$D$14,Assumptions!$F$14),(Assumptions!$F$14-Assumptions!$D$14)/3.29)*44</f>
        <v>3829226.281229197</v>
      </c>
      <c r="N514" s="9">
        <f ca="1">_xlfn.NORM.INV(RAND(),AVERAGE(Assumptions!$D$16,Assumptions!$F$16),(Assumptions!$F$16-Assumptions!$D$16)/3.29)*44</f>
        <v>10727968.528661286</v>
      </c>
      <c r="O514" s="12">
        <f ca="1">_xlfn.NORM.INV(RAND(),AVERAGE(Assumptions!$D$15,Assumptions!$F$15),(Assumptions!$F$15-Assumptions!$D$15)/3.29)*44</f>
        <v>128728586.6208047</v>
      </c>
      <c r="P514" s="15">
        <f>Assumptions!$D$18</f>
        <v>14641750.345627395</v>
      </c>
      <c r="Q514" s="3">
        <f t="shared" ca="1" si="14"/>
        <v>71326800.361258805</v>
      </c>
      <c r="R514" s="6">
        <f t="shared" ca="1" si="15"/>
        <v>85968550.706886202</v>
      </c>
    </row>
    <row r="515" spans="1:18">
      <c r="A515" s="20">
        <v>514</v>
      </c>
      <c r="B515" s="3">
        <f ca="1">_xlfn.NORM.INV(RAND(),AVERAGE(Assumptions!$D$4,Assumptions!$F$4),(Assumptions!$F$4-Assumptions!$D$4)/3.29)*44</f>
        <v>1241945.9847067823</v>
      </c>
      <c r="C515" s="6">
        <f ca="1">_xlfn.NORM.INV(RAND(),AVERAGE(Assumptions!$D$5,Assumptions!$F$5),(Assumptions!$F$5-Assumptions!$D$5)/3.29)*44</f>
        <v>2138771.1646502474</v>
      </c>
      <c r="D515" s="9">
        <f ca="1">_xlfn.NORM.INV(RAND(),AVERAGE(Assumptions!$D$6,Assumptions!$F$6),(Assumptions!$F$6-Assumptions!$D$6)/3.29)*RANDBETWEEN(2,5)</f>
        <v>3795747.772763852</v>
      </c>
      <c r="E515" s="12">
        <f ca="1">_xlfn.NORM.INV(RAND(),AVERAGE(Assumptions!$D$17,Assumptions!$F$17),(Assumptions!$F$17-Assumptions!$D$17)/3.29)*8</f>
        <v>1022455.3642911777</v>
      </c>
      <c r="F515" s="15">
        <f ca="1">_xlfn.NORM.INV(RAND(),AVERAGE(Assumptions!$D$7,Assumptions!$F$7),(Assumptions!$F$7-Assumptions!$D$7)/3.29)*RANDBETWEEN(1,3)</f>
        <v>3438783.8571222923</v>
      </c>
      <c r="G515" s="3">
        <f ca="1">_xlfn.NORM.INV(RAND(),AVERAGE(Assumptions!$D$8,Assumptions!$F$8),(Assumptions!$F$8-Assumptions!$D$8)/3.29)*44</f>
        <v>1346772.5921799804</v>
      </c>
      <c r="H515" s="6">
        <f ca="1">_xlfn.NORM.INV(RAND(),AVERAGE(Assumptions!$D$9,Assumptions!$F$9),(Assumptions!$F$9-Assumptions!$D$9)/3.29)*21</f>
        <v>5792063.0079644872</v>
      </c>
      <c r="I515" s="9">
        <f ca="1">_xlfn.NORM.INV(RAND(),AVERAGE(Assumptions!$D$10,Assumptions!$F$10),(Assumptions!$F$10-Assumptions!$D$10)/3.29)*21</f>
        <v>569683.87243482959</v>
      </c>
      <c r="J515" s="12">
        <f ca="1">NORMINV(RAND(),AVERAGE(Assumptions!$D$11,Assumptions!$F$11),(Assumptions!$F$11-Assumptions!$D$11)/3.29)*44</f>
        <v>3217899.7431391538</v>
      </c>
      <c r="K515" s="15">
        <f ca="1">_xlfn.NORM.INV(RAND(),AVERAGE(Assumptions!$D$12,Assumptions!$F$12),(Assumptions!$F$12-Assumptions!$D$12)/3.29)*44</f>
        <v>6635789.0760437185</v>
      </c>
      <c r="L515" s="3">
        <f ca="1">_xlfn.NORM.INV(RAND(),AVERAGE(Assumptions!$D$13,Assumptions!$F$13),(Assumptions!$F$13-Assumptions!$D$13)/3.29)*44</f>
        <v>11112220.142816978</v>
      </c>
      <c r="M515" s="6">
        <f ca="1">_xlfn.NORM.INV(RAND(),AVERAGE(Assumptions!$D$14,Assumptions!$F$14),(Assumptions!$F$14-Assumptions!$D$14)/3.29)*44</f>
        <v>7822218.8595607784</v>
      </c>
      <c r="N515" s="9">
        <f ca="1">_xlfn.NORM.INV(RAND(),AVERAGE(Assumptions!$D$16,Assumptions!$F$16),(Assumptions!$F$16-Assumptions!$D$16)/3.29)*44</f>
        <v>10188745.942140277</v>
      </c>
      <c r="O515" s="12">
        <f ca="1">_xlfn.NORM.INV(RAND(),AVERAGE(Assumptions!$D$15,Assumptions!$F$15),(Assumptions!$F$15-Assumptions!$D$15)/3.29)*44</f>
        <v>160618507.32682374</v>
      </c>
      <c r="P515" s="15">
        <f>Assumptions!$D$18</f>
        <v>14641750.345627395</v>
      </c>
      <c r="Q515" s="3">
        <f t="shared" ref="Q515:Q578" ca="1" si="16">O515-(B515+C515+D515+F515+G515+H515+I515+J515+K515+L515+M515+N515+E515)</f>
        <v>102295409.94700919</v>
      </c>
      <c r="R515" s="6">
        <f t="shared" ref="R515:R578" ca="1" si="17">Q515+P515</f>
        <v>116937160.29263659</v>
      </c>
    </row>
    <row r="516" spans="1:18">
      <c r="A516" s="20">
        <v>515</v>
      </c>
      <c r="B516" s="3">
        <f ca="1">_xlfn.NORM.INV(RAND(),AVERAGE(Assumptions!$D$4,Assumptions!$F$4),(Assumptions!$F$4-Assumptions!$D$4)/3.29)*44</f>
        <v>1148592.118639695</v>
      </c>
      <c r="C516" s="6">
        <f ca="1">_xlfn.NORM.INV(RAND(),AVERAGE(Assumptions!$D$5,Assumptions!$F$5),(Assumptions!$F$5-Assumptions!$D$5)/3.29)*44</f>
        <v>1879503.0165191898</v>
      </c>
      <c r="D516" s="9">
        <f ca="1">_xlfn.NORM.INV(RAND(),AVERAGE(Assumptions!$D$6,Assumptions!$F$6),(Assumptions!$F$6-Assumptions!$D$6)/3.29)*RANDBETWEEN(2,5)</f>
        <v>3102644.2678991277</v>
      </c>
      <c r="E516" s="12">
        <f ca="1">_xlfn.NORM.INV(RAND(),AVERAGE(Assumptions!$D$17,Assumptions!$F$17),(Assumptions!$F$17-Assumptions!$D$17)/3.29)*8</f>
        <v>1066928.5065108123</v>
      </c>
      <c r="F516" s="15">
        <f ca="1">_xlfn.NORM.INV(RAND(),AVERAGE(Assumptions!$D$7,Assumptions!$F$7),(Assumptions!$F$7-Assumptions!$D$7)/3.29)*RANDBETWEEN(1,3)</f>
        <v>2596342.9145348766</v>
      </c>
      <c r="G516" s="3">
        <f ca="1">_xlfn.NORM.INV(RAND(),AVERAGE(Assumptions!$D$8,Assumptions!$F$8),(Assumptions!$F$8-Assumptions!$D$8)/3.29)*44</f>
        <v>1158772.6616692634</v>
      </c>
      <c r="H516" s="6">
        <f ca="1">_xlfn.NORM.INV(RAND(),AVERAGE(Assumptions!$D$9,Assumptions!$F$9),(Assumptions!$F$9-Assumptions!$D$9)/3.29)*21</f>
        <v>3119509.3171188086</v>
      </c>
      <c r="I516" s="9">
        <f ca="1">_xlfn.NORM.INV(RAND(),AVERAGE(Assumptions!$D$10,Assumptions!$F$10),(Assumptions!$F$10-Assumptions!$D$10)/3.29)*21</f>
        <v>665347.92444954044</v>
      </c>
      <c r="J516" s="12">
        <f ca="1">NORMINV(RAND(),AVERAGE(Assumptions!$D$11,Assumptions!$F$11),(Assumptions!$F$11-Assumptions!$D$11)/3.29)*44</f>
        <v>3132893.9639342623</v>
      </c>
      <c r="K516" s="15">
        <f ca="1">_xlfn.NORM.INV(RAND(),AVERAGE(Assumptions!$D$12,Assumptions!$F$12),(Assumptions!$F$12-Assumptions!$D$12)/3.29)*44</f>
        <v>9815799.8255012799</v>
      </c>
      <c r="L516" s="3">
        <f ca="1">_xlfn.NORM.INV(RAND(),AVERAGE(Assumptions!$D$13,Assumptions!$F$13),(Assumptions!$F$13-Assumptions!$D$13)/3.29)*44</f>
        <v>7916025.426913525</v>
      </c>
      <c r="M516" s="6">
        <f ca="1">_xlfn.NORM.INV(RAND(),AVERAGE(Assumptions!$D$14,Assumptions!$F$14),(Assumptions!$F$14-Assumptions!$D$14)/3.29)*44</f>
        <v>6751580.4508316526</v>
      </c>
      <c r="N516" s="9">
        <f ca="1">_xlfn.NORM.INV(RAND(),AVERAGE(Assumptions!$D$16,Assumptions!$F$16),(Assumptions!$F$16-Assumptions!$D$16)/3.29)*44</f>
        <v>4577909.876982538</v>
      </c>
      <c r="O516" s="12">
        <f ca="1">_xlfn.NORM.INV(RAND(),AVERAGE(Assumptions!$D$15,Assumptions!$F$15),(Assumptions!$F$15-Assumptions!$D$15)/3.29)*44</f>
        <v>108947236.83275808</v>
      </c>
      <c r="P516" s="15">
        <f>Assumptions!$D$18</f>
        <v>14641750.345627395</v>
      </c>
      <c r="Q516" s="3">
        <f t="shared" ca="1" si="16"/>
        <v>62015386.561253518</v>
      </c>
      <c r="R516" s="6">
        <f t="shared" ca="1" si="17"/>
        <v>76657136.906880915</v>
      </c>
    </row>
    <row r="517" spans="1:18">
      <c r="A517" s="20">
        <v>516</v>
      </c>
      <c r="B517" s="3">
        <f ca="1">_xlfn.NORM.INV(RAND(),AVERAGE(Assumptions!$D$4,Assumptions!$F$4),(Assumptions!$F$4-Assumptions!$D$4)/3.29)*44</f>
        <v>1160616.1478338446</v>
      </c>
      <c r="C517" s="6">
        <f ca="1">_xlfn.NORM.INV(RAND(),AVERAGE(Assumptions!$D$5,Assumptions!$F$5),(Assumptions!$F$5-Assumptions!$D$5)/3.29)*44</f>
        <v>1753123.6449850588</v>
      </c>
      <c r="D517" s="9">
        <f ca="1">_xlfn.NORM.INV(RAND(),AVERAGE(Assumptions!$D$6,Assumptions!$F$6),(Assumptions!$F$6-Assumptions!$D$6)/3.29)*RANDBETWEEN(2,5)</f>
        <v>2449692.1490369341</v>
      </c>
      <c r="E517" s="12">
        <f ca="1">_xlfn.NORM.INV(RAND(),AVERAGE(Assumptions!$D$17,Assumptions!$F$17),(Assumptions!$F$17-Assumptions!$D$17)/3.29)*8</f>
        <v>982387.29066818394</v>
      </c>
      <c r="F517" s="15">
        <f ca="1">_xlfn.NORM.INV(RAND(),AVERAGE(Assumptions!$D$7,Assumptions!$F$7),(Assumptions!$F$7-Assumptions!$D$7)/3.29)*RANDBETWEEN(1,3)</f>
        <v>7681953.886390849</v>
      </c>
      <c r="G517" s="3">
        <f ca="1">_xlfn.NORM.INV(RAND(),AVERAGE(Assumptions!$D$8,Assumptions!$F$8),(Assumptions!$F$8-Assumptions!$D$8)/3.29)*44</f>
        <v>1337662.9413728595</v>
      </c>
      <c r="H517" s="6">
        <f ca="1">_xlfn.NORM.INV(RAND(),AVERAGE(Assumptions!$D$9,Assumptions!$F$9),(Assumptions!$F$9-Assumptions!$D$9)/3.29)*21</f>
        <v>2817291.3900783742</v>
      </c>
      <c r="I517" s="9">
        <f ca="1">_xlfn.NORM.INV(RAND(),AVERAGE(Assumptions!$D$10,Assumptions!$F$10),(Assumptions!$F$10-Assumptions!$D$10)/3.29)*21</f>
        <v>1008964.612880546</v>
      </c>
      <c r="J517" s="12">
        <f ca="1">NORMINV(RAND(),AVERAGE(Assumptions!$D$11,Assumptions!$F$11),(Assumptions!$F$11-Assumptions!$D$11)/3.29)*44</f>
        <v>3752531.9978293153</v>
      </c>
      <c r="K517" s="15">
        <f ca="1">_xlfn.NORM.INV(RAND(),AVERAGE(Assumptions!$D$12,Assumptions!$F$12),(Assumptions!$F$12-Assumptions!$D$12)/3.29)*44</f>
        <v>7557949.7071408043</v>
      </c>
      <c r="L517" s="3">
        <f ca="1">_xlfn.NORM.INV(RAND(),AVERAGE(Assumptions!$D$13,Assumptions!$F$13),(Assumptions!$F$13-Assumptions!$D$13)/3.29)*44</f>
        <v>12250751.85035328</v>
      </c>
      <c r="M517" s="6">
        <f ca="1">_xlfn.NORM.INV(RAND(),AVERAGE(Assumptions!$D$14,Assumptions!$F$14),(Assumptions!$F$14-Assumptions!$D$14)/3.29)*44</f>
        <v>6407484.7695980556</v>
      </c>
      <c r="N517" s="9">
        <f ca="1">_xlfn.NORM.INV(RAND(),AVERAGE(Assumptions!$D$16,Assumptions!$F$16),(Assumptions!$F$16-Assumptions!$D$16)/3.29)*44</f>
        <v>6754488.1489972873</v>
      </c>
      <c r="O517" s="12">
        <f ca="1">_xlfn.NORM.INV(RAND(),AVERAGE(Assumptions!$D$15,Assumptions!$F$15),(Assumptions!$F$15-Assumptions!$D$15)/3.29)*44</f>
        <v>99585898.381834567</v>
      </c>
      <c r="P517" s="15">
        <f>Assumptions!$D$18</f>
        <v>14641750.345627395</v>
      </c>
      <c r="Q517" s="3">
        <f t="shared" ca="1" si="16"/>
        <v>43670999.844669178</v>
      </c>
      <c r="R517" s="6">
        <f t="shared" ca="1" si="17"/>
        <v>58312750.190296575</v>
      </c>
    </row>
    <row r="518" spans="1:18">
      <c r="A518" s="20">
        <v>517</v>
      </c>
      <c r="B518" s="3">
        <f ca="1">_xlfn.NORM.INV(RAND(),AVERAGE(Assumptions!$D$4,Assumptions!$F$4),(Assumptions!$F$4-Assumptions!$D$4)/3.29)*44</f>
        <v>1170644.4661304217</v>
      </c>
      <c r="C518" s="6">
        <f ca="1">_xlfn.NORM.INV(RAND(),AVERAGE(Assumptions!$D$5,Assumptions!$F$5),(Assumptions!$F$5-Assumptions!$D$5)/3.29)*44</f>
        <v>1739572.6201033238</v>
      </c>
      <c r="D518" s="9">
        <f ca="1">_xlfn.NORM.INV(RAND(),AVERAGE(Assumptions!$D$6,Assumptions!$F$6),(Assumptions!$F$6-Assumptions!$D$6)/3.29)*RANDBETWEEN(2,5)</f>
        <v>2610303.8143866197</v>
      </c>
      <c r="E518" s="12">
        <f ca="1">_xlfn.NORM.INV(RAND(),AVERAGE(Assumptions!$D$17,Assumptions!$F$17),(Assumptions!$F$17-Assumptions!$D$17)/3.29)*8</f>
        <v>1054454.7526387582</v>
      </c>
      <c r="F518" s="15">
        <f ca="1">_xlfn.NORM.INV(RAND(),AVERAGE(Assumptions!$D$7,Assumptions!$F$7),(Assumptions!$F$7-Assumptions!$D$7)/3.29)*RANDBETWEEN(1,3)</f>
        <v>5677471.3082744665</v>
      </c>
      <c r="G518" s="3">
        <f ca="1">_xlfn.NORM.INV(RAND(),AVERAGE(Assumptions!$D$8,Assumptions!$F$8),(Assumptions!$F$8-Assumptions!$D$8)/3.29)*44</f>
        <v>1236200.1704884088</v>
      </c>
      <c r="H518" s="6">
        <f ca="1">_xlfn.NORM.INV(RAND(),AVERAGE(Assumptions!$D$9,Assumptions!$F$9),(Assumptions!$F$9-Assumptions!$D$9)/3.29)*21</f>
        <v>2311156.7460009414</v>
      </c>
      <c r="I518" s="9">
        <f ca="1">_xlfn.NORM.INV(RAND(),AVERAGE(Assumptions!$D$10,Assumptions!$F$10),(Assumptions!$F$10-Assumptions!$D$10)/3.29)*21</f>
        <v>1096733.3848778859</v>
      </c>
      <c r="J518" s="12">
        <f ca="1">NORMINV(RAND(),AVERAGE(Assumptions!$D$11,Assumptions!$F$11),(Assumptions!$F$11-Assumptions!$D$11)/3.29)*44</f>
        <v>2753898.5054394524</v>
      </c>
      <c r="K518" s="15">
        <f ca="1">_xlfn.NORM.INV(RAND(),AVERAGE(Assumptions!$D$12,Assumptions!$F$12),(Assumptions!$F$12-Assumptions!$D$12)/3.29)*44</f>
        <v>6433432.8615494138</v>
      </c>
      <c r="L518" s="3">
        <f ca="1">_xlfn.NORM.INV(RAND(),AVERAGE(Assumptions!$D$13,Assumptions!$F$13),(Assumptions!$F$13-Assumptions!$D$13)/3.29)*44</f>
        <v>13237127.149186116</v>
      </c>
      <c r="M518" s="6">
        <f ca="1">_xlfn.NORM.INV(RAND(),AVERAGE(Assumptions!$D$14,Assumptions!$F$14),(Assumptions!$F$14-Assumptions!$D$14)/3.29)*44</f>
        <v>7000796.7160669779</v>
      </c>
      <c r="N518" s="9">
        <f ca="1">_xlfn.NORM.INV(RAND(),AVERAGE(Assumptions!$D$16,Assumptions!$F$16),(Assumptions!$F$16-Assumptions!$D$16)/3.29)*44</f>
        <v>12384969.593623538</v>
      </c>
      <c r="O518" s="12">
        <f ca="1">_xlfn.NORM.INV(RAND(),AVERAGE(Assumptions!$D$15,Assumptions!$F$15),(Assumptions!$F$15-Assumptions!$D$15)/3.29)*44</f>
        <v>58248937.918867253</v>
      </c>
      <c r="P518" s="15">
        <f>Assumptions!$D$18</f>
        <v>14641750.345627395</v>
      </c>
      <c r="Q518" s="3">
        <f t="shared" ca="1" si="16"/>
        <v>-457824.16989906877</v>
      </c>
      <c r="R518" s="6">
        <f t="shared" ca="1" si="17"/>
        <v>14183926.175728327</v>
      </c>
    </row>
    <row r="519" spans="1:18">
      <c r="A519" s="20">
        <v>518</v>
      </c>
      <c r="B519" s="3">
        <f ca="1">_xlfn.NORM.INV(RAND(),AVERAGE(Assumptions!$D$4,Assumptions!$F$4),(Assumptions!$F$4-Assumptions!$D$4)/3.29)*44</f>
        <v>1413224.590717756</v>
      </c>
      <c r="C519" s="6">
        <f ca="1">_xlfn.NORM.INV(RAND(),AVERAGE(Assumptions!$D$5,Assumptions!$F$5),(Assumptions!$F$5-Assumptions!$D$5)/3.29)*44</f>
        <v>1853261.7501634178</v>
      </c>
      <c r="D519" s="9">
        <f ca="1">_xlfn.NORM.INV(RAND(),AVERAGE(Assumptions!$D$6,Assumptions!$F$6),(Assumptions!$F$6-Assumptions!$D$6)/3.29)*RANDBETWEEN(2,5)</f>
        <v>7175891.9338790784</v>
      </c>
      <c r="E519" s="12">
        <f ca="1">_xlfn.NORM.INV(RAND(),AVERAGE(Assumptions!$D$17,Assumptions!$F$17),(Assumptions!$F$17-Assumptions!$D$17)/3.29)*8</f>
        <v>1089080.8577704527</v>
      </c>
      <c r="F519" s="15">
        <f ca="1">_xlfn.NORM.INV(RAND(),AVERAGE(Assumptions!$D$7,Assumptions!$F$7),(Assumptions!$F$7-Assumptions!$D$7)/3.29)*RANDBETWEEN(1,3)</f>
        <v>5900551.0990633052</v>
      </c>
      <c r="G519" s="3">
        <f ca="1">_xlfn.NORM.INV(RAND(),AVERAGE(Assumptions!$D$8,Assumptions!$F$8),(Assumptions!$F$8-Assumptions!$D$8)/3.29)*44</f>
        <v>965238.36408650829</v>
      </c>
      <c r="H519" s="6">
        <f ca="1">_xlfn.NORM.INV(RAND(),AVERAGE(Assumptions!$D$9,Assumptions!$F$9),(Assumptions!$F$9-Assumptions!$D$9)/3.29)*21</f>
        <v>2443961.7627456817</v>
      </c>
      <c r="I519" s="9">
        <f ca="1">_xlfn.NORM.INV(RAND(),AVERAGE(Assumptions!$D$10,Assumptions!$F$10),(Assumptions!$F$10-Assumptions!$D$10)/3.29)*21</f>
        <v>512411.16882824874</v>
      </c>
      <c r="J519" s="12">
        <f ca="1">NORMINV(RAND(),AVERAGE(Assumptions!$D$11,Assumptions!$F$11),(Assumptions!$F$11-Assumptions!$D$11)/3.29)*44</f>
        <v>3886476.6368115572</v>
      </c>
      <c r="K519" s="15">
        <f ca="1">_xlfn.NORM.INV(RAND(),AVERAGE(Assumptions!$D$12,Assumptions!$F$12),(Assumptions!$F$12-Assumptions!$D$12)/3.29)*44</f>
        <v>10341303.751988851</v>
      </c>
      <c r="L519" s="3">
        <f ca="1">_xlfn.NORM.INV(RAND(),AVERAGE(Assumptions!$D$13,Assumptions!$F$13),(Assumptions!$F$13-Assumptions!$D$13)/3.29)*44</f>
        <v>13630812.139369922</v>
      </c>
      <c r="M519" s="6">
        <f ca="1">_xlfn.NORM.INV(RAND(),AVERAGE(Assumptions!$D$14,Assumptions!$F$14),(Assumptions!$F$14-Assumptions!$D$14)/3.29)*44</f>
        <v>4639996.8359655626</v>
      </c>
      <c r="N519" s="9">
        <f ca="1">_xlfn.NORM.INV(RAND(),AVERAGE(Assumptions!$D$16,Assumptions!$F$16),(Assumptions!$F$16-Assumptions!$D$16)/3.29)*44</f>
        <v>13168051.332085749</v>
      </c>
      <c r="O519" s="12">
        <f ca="1">_xlfn.NORM.INV(RAND(),AVERAGE(Assumptions!$D$15,Assumptions!$F$15),(Assumptions!$F$15-Assumptions!$D$15)/3.29)*44</f>
        <v>70810271.41045028</v>
      </c>
      <c r="P519" s="15">
        <f>Assumptions!$D$18</f>
        <v>14641750.345627395</v>
      </c>
      <c r="Q519" s="3">
        <f t="shared" ca="1" si="16"/>
        <v>3790009.1869741976</v>
      </c>
      <c r="R519" s="6">
        <f t="shared" ca="1" si="17"/>
        <v>18431759.532601595</v>
      </c>
    </row>
    <row r="520" spans="1:18">
      <c r="A520" s="20">
        <v>519</v>
      </c>
      <c r="B520" s="3">
        <f ca="1">_xlfn.NORM.INV(RAND(),AVERAGE(Assumptions!$D$4,Assumptions!$F$4),(Assumptions!$F$4-Assumptions!$D$4)/3.29)*44</f>
        <v>1315934.4660898142</v>
      </c>
      <c r="C520" s="6">
        <f ca="1">_xlfn.NORM.INV(RAND(),AVERAGE(Assumptions!$D$5,Assumptions!$F$5),(Assumptions!$F$5-Assumptions!$D$5)/3.29)*44</f>
        <v>1708390.1372693256</v>
      </c>
      <c r="D520" s="9">
        <f ca="1">_xlfn.NORM.INV(RAND(),AVERAGE(Assumptions!$D$6,Assumptions!$F$6),(Assumptions!$F$6-Assumptions!$D$6)/3.29)*RANDBETWEEN(2,5)</f>
        <v>2726663.8523802068</v>
      </c>
      <c r="E520" s="12">
        <f ca="1">_xlfn.NORM.INV(RAND(),AVERAGE(Assumptions!$D$17,Assumptions!$F$17),(Assumptions!$F$17-Assumptions!$D$17)/3.29)*8</f>
        <v>788838.39290029253</v>
      </c>
      <c r="F520" s="15">
        <f ca="1">_xlfn.NORM.INV(RAND(),AVERAGE(Assumptions!$D$7,Assumptions!$F$7),(Assumptions!$F$7-Assumptions!$D$7)/3.29)*RANDBETWEEN(1,3)</f>
        <v>2494488.9309794391</v>
      </c>
      <c r="G520" s="3">
        <f ca="1">_xlfn.NORM.INV(RAND(),AVERAGE(Assumptions!$D$8,Assumptions!$F$8),(Assumptions!$F$8-Assumptions!$D$8)/3.29)*44</f>
        <v>1008806.8818451255</v>
      </c>
      <c r="H520" s="6">
        <f ca="1">_xlfn.NORM.INV(RAND(),AVERAGE(Assumptions!$D$9,Assumptions!$F$9),(Assumptions!$F$9-Assumptions!$D$9)/3.29)*21</f>
        <v>4623396.5963171832</v>
      </c>
      <c r="I520" s="9">
        <f ca="1">_xlfn.NORM.INV(RAND(),AVERAGE(Assumptions!$D$10,Assumptions!$F$10),(Assumptions!$F$10-Assumptions!$D$10)/3.29)*21</f>
        <v>701785.97180916287</v>
      </c>
      <c r="J520" s="12">
        <f ca="1">NORMINV(RAND(),AVERAGE(Assumptions!$D$11,Assumptions!$F$11),(Assumptions!$F$11-Assumptions!$D$11)/3.29)*44</f>
        <v>2895367.3873133156</v>
      </c>
      <c r="K520" s="15">
        <f ca="1">_xlfn.NORM.INV(RAND(),AVERAGE(Assumptions!$D$12,Assumptions!$F$12),(Assumptions!$F$12-Assumptions!$D$12)/3.29)*44</f>
        <v>10512107.885172237</v>
      </c>
      <c r="L520" s="3">
        <f ca="1">_xlfn.NORM.INV(RAND(),AVERAGE(Assumptions!$D$13,Assumptions!$F$13),(Assumptions!$F$13-Assumptions!$D$13)/3.29)*44</f>
        <v>8744294.7883521616</v>
      </c>
      <c r="M520" s="6">
        <f ca="1">_xlfn.NORM.INV(RAND(),AVERAGE(Assumptions!$D$14,Assumptions!$F$14),(Assumptions!$F$14-Assumptions!$D$14)/3.29)*44</f>
        <v>6893877.9038501848</v>
      </c>
      <c r="N520" s="9">
        <f ca="1">_xlfn.NORM.INV(RAND(),AVERAGE(Assumptions!$D$16,Assumptions!$F$16),(Assumptions!$F$16-Assumptions!$D$16)/3.29)*44</f>
        <v>6570489.6843008585</v>
      </c>
      <c r="O520" s="12">
        <f ca="1">_xlfn.NORM.INV(RAND(),AVERAGE(Assumptions!$D$15,Assumptions!$F$15),(Assumptions!$F$15-Assumptions!$D$15)/3.29)*44</f>
        <v>54251603.565260336</v>
      </c>
      <c r="P520" s="15">
        <f>Assumptions!$D$18</f>
        <v>14641750.345627395</v>
      </c>
      <c r="Q520" s="3">
        <f t="shared" ca="1" si="16"/>
        <v>3267160.6866810247</v>
      </c>
      <c r="R520" s="6">
        <f t="shared" ca="1" si="17"/>
        <v>17908911.032308422</v>
      </c>
    </row>
    <row r="521" spans="1:18">
      <c r="A521" s="20">
        <v>520</v>
      </c>
      <c r="B521" s="3">
        <f ca="1">_xlfn.NORM.INV(RAND(),AVERAGE(Assumptions!$D$4,Assumptions!$F$4),(Assumptions!$F$4-Assumptions!$D$4)/3.29)*44</f>
        <v>1104781.5865938806</v>
      </c>
      <c r="C521" s="6">
        <f ca="1">_xlfn.NORM.INV(RAND(),AVERAGE(Assumptions!$D$5,Assumptions!$F$5),(Assumptions!$F$5-Assumptions!$D$5)/3.29)*44</f>
        <v>2270145.4471444916</v>
      </c>
      <c r="D521" s="9">
        <f ca="1">_xlfn.NORM.INV(RAND(),AVERAGE(Assumptions!$D$6,Assumptions!$F$6),(Assumptions!$F$6-Assumptions!$D$6)/3.29)*RANDBETWEEN(2,5)</f>
        <v>1872836.9908329593</v>
      </c>
      <c r="E521" s="12">
        <f ca="1">_xlfn.NORM.INV(RAND(),AVERAGE(Assumptions!$D$17,Assumptions!$F$17),(Assumptions!$F$17-Assumptions!$D$17)/3.29)*8</f>
        <v>1072378.059681054</v>
      </c>
      <c r="F521" s="15">
        <f ca="1">_xlfn.NORM.INV(RAND(),AVERAGE(Assumptions!$D$7,Assumptions!$F$7),(Assumptions!$F$7-Assumptions!$D$7)/3.29)*RANDBETWEEN(1,3)</f>
        <v>3671685.4159637243</v>
      </c>
      <c r="G521" s="3">
        <f ca="1">_xlfn.NORM.INV(RAND(),AVERAGE(Assumptions!$D$8,Assumptions!$F$8),(Assumptions!$F$8-Assumptions!$D$8)/3.29)*44</f>
        <v>896580.13092193054</v>
      </c>
      <c r="H521" s="6">
        <f ca="1">_xlfn.NORM.INV(RAND(),AVERAGE(Assumptions!$D$9,Assumptions!$F$9),(Assumptions!$F$9-Assumptions!$D$9)/3.29)*21</f>
        <v>2355635.299284345</v>
      </c>
      <c r="I521" s="9">
        <f ca="1">_xlfn.NORM.INV(RAND(),AVERAGE(Assumptions!$D$10,Assumptions!$F$10),(Assumptions!$F$10-Assumptions!$D$10)/3.29)*21</f>
        <v>946727.78277014126</v>
      </c>
      <c r="J521" s="12">
        <f ca="1">NORMINV(RAND(),AVERAGE(Assumptions!$D$11,Assumptions!$F$11),(Assumptions!$F$11-Assumptions!$D$11)/3.29)*44</f>
        <v>3688375.6036380846</v>
      </c>
      <c r="K521" s="15">
        <f ca="1">_xlfn.NORM.INV(RAND(),AVERAGE(Assumptions!$D$12,Assumptions!$F$12),(Assumptions!$F$12-Assumptions!$D$12)/3.29)*44</f>
        <v>9223839.8582863975</v>
      </c>
      <c r="L521" s="3">
        <f ca="1">_xlfn.NORM.INV(RAND(),AVERAGE(Assumptions!$D$13,Assumptions!$F$13),(Assumptions!$F$13-Assumptions!$D$13)/3.29)*44</f>
        <v>16508460.294984968</v>
      </c>
      <c r="M521" s="6">
        <f ca="1">_xlfn.NORM.INV(RAND(),AVERAGE(Assumptions!$D$14,Assumptions!$F$14),(Assumptions!$F$14-Assumptions!$D$14)/3.29)*44</f>
        <v>8016195.6520682769</v>
      </c>
      <c r="N521" s="9">
        <f ca="1">_xlfn.NORM.INV(RAND(),AVERAGE(Assumptions!$D$16,Assumptions!$F$16),(Assumptions!$F$16-Assumptions!$D$16)/3.29)*44</f>
        <v>17402695.260971665</v>
      </c>
      <c r="O521" s="12">
        <f ca="1">_xlfn.NORM.INV(RAND(),AVERAGE(Assumptions!$D$15,Assumptions!$F$15),(Assumptions!$F$15-Assumptions!$D$15)/3.29)*44</f>
        <v>204927193.41156554</v>
      </c>
      <c r="P521" s="15">
        <f>Assumptions!$D$18</f>
        <v>14641750.345627395</v>
      </c>
      <c r="Q521" s="3">
        <f t="shared" ca="1" si="16"/>
        <v>135896856.02842361</v>
      </c>
      <c r="R521" s="6">
        <f t="shared" ca="1" si="17"/>
        <v>150538606.374051</v>
      </c>
    </row>
    <row r="522" spans="1:18">
      <c r="A522" s="20">
        <v>521</v>
      </c>
      <c r="B522" s="3">
        <f ca="1">_xlfn.NORM.INV(RAND(),AVERAGE(Assumptions!$D$4,Assumptions!$F$4),(Assumptions!$F$4-Assumptions!$D$4)/3.29)*44</f>
        <v>1009622.1597856595</v>
      </c>
      <c r="C522" s="6">
        <f ca="1">_xlfn.NORM.INV(RAND(),AVERAGE(Assumptions!$D$5,Assumptions!$F$5),(Assumptions!$F$5-Assumptions!$D$5)/3.29)*44</f>
        <v>1843760.791750825</v>
      </c>
      <c r="D522" s="9">
        <f ca="1">_xlfn.NORM.INV(RAND(),AVERAGE(Assumptions!$D$6,Assumptions!$F$6),(Assumptions!$F$6-Assumptions!$D$6)/3.29)*RANDBETWEEN(2,5)</f>
        <v>4462155.0827647792</v>
      </c>
      <c r="E522" s="12">
        <f ca="1">_xlfn.NORM.INV(RAND(),AVERAGE(Assumptions!$D$17,Assumptions!$F$17),(Assumptions!$F$17-Assumptions!$D$17)/3.29)*8</f>
        <v>892504.31112436345</v>
      </c>
      <c r="F522" s="15">
        <f ca="1">_xlfn.NORM.INV(RAND(),AVERAGE(Assumptions!$D$7,Assumptions!$F$7),(Assumptions!$F$7-Assumptions!$D$7)/3.29)*RANDBETWEEN(1,3)</f>
        <v>2261224.0343722007</v>
      </c>
      <c r="G522" s="3">
        <f ca="1">_xlfn.NORM.INV(RAND(),AVERAGE(Assumptions!$D$8,Assumptions!$F$8),(Assumptions!$F$8-Assumptions!$D$8)/3.29)*44</f>
        <v>1181129.8527745027</v>
      </c>
      <c r="H522" s="6">
        <f ca="1">_xlfn.NORM.INV(RAND(),AVERAGE(Assumptions!$D$9,Assumptions!$F$9),(Assumptions!$F$9-Assumptions!$D$9)/3.29)*21</f>
        <v>5704109.7171922112</v>
      </c>
      <c r="I522" s="9">
        <f ca="1">_xlfn.NORM.INV(RAND(),AVERAGE(Assumptions!$D$10,Assumptions!$F$10),(Assumptions!$F$10-Assumptions!$D$10)/3.29)*21</f>
        <v>717854.80049771979</v>
      </c>
      <c r="J522" s="12">
        <f ca="1">NORMINV(RAND(),AVERAGE(Assumptions!$D$11,Assumptions!$F$11),(Assumptions!$F$11-Assumptions!$D$11)/3.29)*44</f>
        <v>1048354.3274118144</v>
      </c>
      <c r="K522" s="15">
        <f ca="1">_xlfn.NORM.INV(RAND(),AVERAGE(Assumptions!$D$12,Assumptions!$F$12),(Assumptions!$F$12-Assumptions!$D$12)/3.29)*44</f>
        <v>7733891.9898861432</v>
      </c>
      <c r="L522" s="3">
        <f ca="1">_xlfn.NORM.INV(RAND(),AVERAGE(Assumptions!$D$13,Assumptions!$F$13),(Assumptions!$F$13-Assumptions!$D$13)/3.29)*44</f>
        <v>4811857.9943911945</v>
      </c>
      <c r="M522" s="6">
        <f ca="1">_xlfn.NORM.INV(RAND(),AVERAGE(Assumptions!$D$14,Assumptions!$F$14),(Assumptions!$F$14-Assumptions!$D$14)/3.29)*44</f>
        <v>4652594.6375769703</v>
      </c>
      <c r="N522" s="9">
        <f ca="1">_xlfn.NORM.INV(RAND(),AVERAGE(Assumptions!$D$16,Assumptions!$F$16),(Assumptions!$F$16-Assumptions!$D$16)/3.29)*44</f>
        <v>19694668.913624905</v>
      </c>
      <c r="O522" s="12">
        <f ca="1">_xlfn.NORM.INV(RAND(),AVERAGE(Assumptions!$D$15,Assumptions!$F$15),(Assumptions!$F$15-Assumptions!$D$15)/3.29)*44</f>
        <v>123016166.98548238</v>
      </c>
      <c r="P522" s="15">
        <f>Assumptions!$D$18</f>
        <v>14641750.345627395</v>
      </c>
      <c r="Q522" s="3">
        <f t="shared" ca="1" si="16"/>
        <v>67002438.372329094</v>
      </c>
      <c r="R522" s="6">
        <f t="shared" ca="1" si="17"/>
        <v>81644188.717956483</v>
      </c>
    </row>
    <row r="523" spans="1:18">
      <c r="A523" s="20">
        <v>522</v>
      </c>
      <c r="B523" s="3">
        <f ca="1">_xlfn.NORM.INV(RAND(),AVERAGE(Assumptions!$D$4,Assumptions!$F$4),(Assumptions!$F$4-Assumptions!$D$4)/3.29)*44</f>
        <v>1051250.6124292621</v>
      </c>
      <c r="C523" s="6">
        <f ca="1">_xlfn.NORM.INV(RAND(),AVERAGE(Assumptions!$D$5,Assumptions!$F$5),(Assumptions!$F$5-Assumptions!$D$5)/3.29)*44</f>
        <v>1972301.4346801476</v>
      </c>
      <c r="D523" s="9">
        <f ca="1">_xlfn.NORM.INV(RAND(),AVERAGE(Assumptions!$D$6,Assumptions!$F$6),(Assumptions!$F$6-Assumptions!$D$6)/3.29)*RANDBETWEEN(2,5)</f>
        <v>3830132.4576336164</v>
      </c>
      <c r="E523" s="12">
        <f ca="1">_xlfn.NORM.INV(RAND(),AVERAGE(Assumptions!$D$17,Assumptions!$F$17),(Assumptions!$F$17-Assumptions!$D$17)/3.29)*8</f>
        <v>1006561.3735874717</v>
      </c>
      <c r="F523" s="15">
        <f ca="1">_xlfn.NORM.INV(RAND(),AVERAGE(Assumptions!$D$7,Assumptions!$F$7),(Assumptions!$F$7-Assumptions!$D$7)/3.29)*RANDBETWEEN(1,3)</f>
        <v>2348835.4153708811</v>
      </c>
      <c r="G523" s="3">
        <f ca="1">_xlfn.NORM.INV(RAND(),AVERAGE(Assumptions!$D$8,Assumptions!$F$8),(Assumptions!$F$8-Assumptions!$D$8)/3.29)*44</f>
        <v>1116700.6767682538</v>
      </c>
      <c r="H523" s="6">
        <f ca="1">_xlfn.NORM.INV(RAND(),AVERAGE(Assumptions!$D$9,Assumptions!$F$9),(Assumptions!$F$9-Assumptions!$D$9)/3.29)*21</f>
        <v>5770887.6529030921</v>
      </c>
      <c r="I523" s="9">
        <f ca="1">_xlfn.NORM.INV(RAND(),AVERAGE(Assumptions!$D$10,Assumptions!$F$10),(Assumptions!$F$10-Assumptions!$D$10)/3.29)*21</f>
        <v>939882.21863190038</v>
      </c>
      <c r="J523" s="12">
        <f ca="1">NORMINV(RAND(),AVERAGE(Assumptions!$D$11,Assumptions!$F$11),(Assumptions!$F$11-Assumptions!$D$11)/3.29)*44</f>
        <v>965018.90893996903</v>
      </c>
      <c r="K523" s="15">
        <f ca="1">_xlfn.NORM.INV(RAND(),AVERAGE(Assumptions!$D$12,Assumptions!$F$12),(Assumptions!$F$12-Assumptions!$D$12)/3.29)*44</f>
        <v>8751687.9424820952</v>
      </c>
      <c r="L523" s="3">
        <f ca="1">_xlfn.NORM.INV(RAND(),AVERAGE(Assumptions!$D$13,Assumptions!$F$13),(Assumptions!$F$13-Assumptions!$D$13)/3.29)*44</f>
        <v>12440886.177840412</v>
      </c>
      <c r="M523" s="6">
        <f ca="1">_xlfn.NORM.INV(RAND(),AVERAGE(Assumptions!$D$14,Assumptions!$F$14),(Assumptions!$F$14-Assumptions!$D$14)/3.29)*44</f>
        <v>4642790.5948952576</v>
      </c>
      <c r="N523" s="9">
        <f ca="1">_xlfn.NORM.INV(RAND(),AVERAGE(Assumptions!$D$16,Assumptions!$F$16),(Assumptions!$F$16-Assumptions!$D$16)/3.29)*44</f>
        <v>12666646.071340663</v>
      </c>
      <c r="O523" s="12">
        <f ca="1">_xlfn.NORM.INV(RAND(),AVERAGE(Assumptions!$D$15,Assumptions!$F$15),(Assumptions!$F$15-Assumptions!$D$15)/3.29)*44</f>
        <v>154856708.30812424</v>
      </c>
      <c r="P523" s="15">
        <f>Assumptions!$D$18</f>
        <v>14641750.345627395</v>
      </c>
      <c r="Q523" s="3">
        <f t="shared" ca="1" si="16"/>
        <v>97353126.77062121</v>
      </c>
      <c r="R523" s="6">
        <f t="shared" ca="1" si="17"/>
        <v>111994877.11624861</v>
      </c>
    </row>
    <row r="524" spans="1:18">
      <c r="A524" s="20">
        <v>523</v>
      </c>
      <c r="B524" s="3">
        <f ca="1">_xlfn.NORM.INV(RAND(),AVERAGE(Assumptions!$D$4,Assumptions!$F$4),(Assumptions!$F$4-Assumptions!$D$4)/3.29)*44</f>
        <v>1215460.6877336581</v>
      </c>
      <c r="C524" s="6">
        <f ca="1">_xlfn.NORM.INV(RAND(),AVERAGE(Assumptions!$D$5,Assumptions!$F$5),(Assumptions!$F$5-Assumptions!$D$5)/3.29)*44</f>
        <v>1941469.2995460848</v>
      </c>
      <c r="D524" s="9">
        <f ca="1">_xlfn.NORM.INV(RAND(),AVERAGE(Assumptions!$D$6,Assumptions!$F$6),(Assumptions!$F$6-Assumptions!$D$6)/3.29)*RANDBETWEEN(2,5)</f>
        <v>2936557.7646223283</v>
      </c>
      <c r="E524" s="12">
        <f ca="1">_xlfn.NORM.INV(RAND(),AVERAGE(Assumptions!$D$17,Assumptions!$F$17),(Assumptions!$F$17-Assumptions!$D$17)/3.29)*8</f>
        <v>721031.49028556538</v>
      </c>
      <c r="F524" s="15">
        <f ca="1">_xlfn.NORM.INV(RAND(),AVERAGE(Assumptions!$D$7,Assumptions!$F$7),(Assumptions!$F$7-Assumptions!$D$7)/3.29)*RANDBETWEEN(1,3)</f>
        <v>3754991.9038862302</v>
      </c>
      <c r="G524" s="3">
        <f ca="1">_xlfn.NORM.INV(RAND(),AVERAGE(Assumptions!$D$8,Assumptions!$F$8),(Assumptions!$F$8-Assumptions!$D$8)/3.29)*44</f>
        <v>912879.06921598071</v>
      </c>
      <c r="H524" s="6">
        <f ca="1">_xlfn.NORM.INV(RAND(),AVERAGE(Assumptions!$D$9,Assumptions!$F$9),(Assumptions!$F$9-Assumptions!$D$9)/3.29)*21</f>
        <v>3211548.7830924271</v>
      </c>
      <c r="I524" s="9">
        <f ca="1">_xlfn.NORM.INV(RAND(),AVERAGE(Assumptions!$D$10,Assumptions!$F$10),(Assumptions!$F$10-Assumptions!$D$10)/3.29)*21</f>
        <v>282830.93041218392</v>
      </c>
      <c r="J524" s="12">
        <f ca="1">NORMINV(RAND(),AVERAGE(Assumptions!$D$11,Assumptions!$F$11),(Assumptions!$F$11-Assumptions!$D$11)/3.29)*44</f>
        <v>4256034.2165423036</v>
      </c>
      <c r="K524" s="15">
        <f ca="1">_xlfn.NORM.INV(RAND(),AVERAGE(Assumptions!$D$12,Assumptions!$F$12),(Assumptions!$F$12-Assumptions!$D$12)/3.29)*44</f>
        <v>11506301.916698068</v>
      </c>
      <c r="L524" s="3">
        <f ca="1">_xlfn.NORM.INV(RAND(),AVERAGE(Assumptions!$D$13,Assumptions!$F$13),(Assumptions!$F$13-Assumptions!$D$13)/3.29)*44</f>
        <v>10904248.799502619</v>
      </c>
      <c r="M524" s="6">
        <f ca="1">_xlfn.NORM.INV(RAND(),AVERAGE(Assumptions!$D$14,Assumptions!$F$14),(Assumptions!$F$14-Assumptions!$D$14)/3.29)*44</f>
        <v>5346212.9751155125</v>
      </c>
      <c r="N524" s="9">
        <f ca="1">_xlfn.NORM.INV(RAND(),AVERAGE(Assumptions!$D$16,Assumptions!$F$16),(Assumptions!$F$16-Assumptions!$D$16)/3.29)*44</f>
        <v>14637888.030568704</v>
      </c>
      <c r="O524" s="12">
        <f ca="1">_xlfn.NORM.INV(RAND(),AVERAGE(Assumptions!$D$15,Assumptions!$F$15),(Assumptions!$F$15-Assumptions!$D$15)/3.29)*44</f>
        <v>26282412.394952506</v>
      </c>
      <c r="P524" s="15">
        <f>Assumptions!$D$18</f>
        <v>14641750.345627395</v>
      </c>
      <c r="Q524" s="3">
        <f t="shared" ca="1" si="16"/>
        <v>-35345043.472269163</v>
      </c>
      <c r="R524" s="6">
        <f t="shared" ca="1" si="17"/>
        <v>-20703293.126641765</v>
      </c>
    </row>
    <row r="525" spans="1:18">
      <c r="A525" s="20">
        <v>524</v>
      </c>
      <c r="B525" s="3">
        <f ca="1">_xlfn.NORM.INV(RAND(),AVERAGE(Assumptions!$D$4,Assumptions!$F$4),(Assumptions!$F$4-Assumptions!$D$4)/3.29)*44</f>
        <v>1209877.2524506431</v>
      </c>
      <c r="C525" s="6">
        <f ca="1">_xlfn.NORM.INV(RAND(),AVERAGE(Assumptions!$D$5,Assumptions!$F$5),(Assumptions!$F$5-Assumptions!$D$5)/3.29)*44</f>
        <v>1652033.7763322713</v>
      </c>
      <c r="D525" s="9">
        <f ca="1">_xlfn.NORM.INV(RAND(),AVERAGE(Assumptions!$D$6,Assumptions!$F$6),(Assumptions!$F$6-Assumptions!$D$6)/3.29)*RANDBETWEEN(2,5)</f>
        <v>6644654.4157185797</v>
      </c>
      <c r="E525" s="12">
        <f ca="1">_xlfn.NORM.INV(RAND(),AVERAGE(Assumptions!$D$17,Assumptions!$F$17),(Assumptions!$F$17-Assumptions!$D$17)/3.29)*8</f>
        <v>1022154.5898568475</v>
      </c>
      <c r="F525" s="15">
        <f ca="1">_xlfn.NORM.INV(RAND(),AVERAGE(Assumptions!$D$7,Assumptions!$F$7),(Assumptions!$F$7-Assumptions!$D$7)/3.29)*RANDBETWEEN(1,3)</f>
        <v>2418905.1871723593</v>
      </c>
      <c r="G525" s="3">
        <f ca="1">_xlfn.NORM.INV(RAND(),AVERAGE(Assumptions!$D$8,Assumptions!$F$8),(Assumptions!$F$8-Assumptions!$D$8)/3.29)*44</f>
        <v>702916.60146204522</v>
      </c>
      <c r="H525" s="6">
        <f ca="1">_xlfn.NORM.INV(RAND(),AVERAGE(Assumptions!$D$9,Assumptions!$F$9),(Assumptions!$F$9-Assumptions!$D$9)/3.29)*21</f>
        <v>1196694.5892642525</v>
      </c>
      <c r="I525" s="9">
        <f ca="1">_xlfn.NORM.INV(RAND(),AVERAGE(Assumptions!$D$10,Assumptions!$F$10),(Assumptions!$F$10-Assumptions!$D$10)/3.29)*21</f>
        <v>1052196.7908019358</v>
      </c>
      <c r="J525" s="12">
        <f ca="1">NORMINV(RAND(),AVERAGE(Assumptions!$D$11,Assumptions!$F$11),(Assumptions!$F$11-Assumptions!$D$11)/3.29)*44</f>
        <v>4837908.3151616855</v>
      </c>
      <c r="K525" s="15">
        <f ca="1">_xlfn.NORM.INV(RAND(),AVERAGE(Assumptions!$D$12,Assumptions!$F$12),(Assumptions!$F$12-Assumptions!$D$12)/3.29)*44</f>
        <v>6052265.640338568</v>
      </c>
      <c r="L525" s="3">
        <f ca="1">_xlfn.NORM.INV(RAND(),AVERAGE(Assumptions!$D$13,Assumptions!$F$13),(Assumptions!$F$13-Assumptions!$D$13)/3.29)*44</f>
        <v>-400954.90232959087</v>
      </c>
      <c r="M525" s="6">
        <f ca="1">_xlfn.NORM.INV(RAND(),AVERAGE(Assumptions!$D$14,Assumptions!$F$14),(Assumptions!$F$14-Assumptions!$D$14)/3.29)*44</f>
        <v>7446923.3552330602</v>
      </c>
      <c r="N525" s="9">
        <f ca="1">_xlfn.NORM.INV(RAND(),AVERAGE(Assumptions!$D$16,Assumptions!$F$16),(Assumptions!$F$16-Assumptions!$D$16)/3.29)*44</f>
        <v>9023636.8620038554</v>
      </c>
      <c r="O525" s="12">
        <f ca="1">_xlfn.NORM.INV(RAND(),AVERAGE(Assumptions!$D$15,Assumptions!$F$15),(Assumptions!$F$15-Assumptions!$D$15)/3.29)*44</f>
        <v>100068513.02444486</v>
      </c>
      <c r="P525" s="15">
        <f>Assumptions!$D$18</f>
        <v>14641750.345627395</v>
      </c>
      <c r="Q525" s="3">
        <f t="shared" ca="1" si="16"/>
        <v>57209300.550978348</v>
      </c>
      <c r="R525" s="6">
        <f t="shared" ca="1" si="17"/>
        <v>71851050.896605745</v>
      </c>
    </row>
    <row r="526" spans="1:18">
      <c r="A526" s="20">
        <v>525</v>
      </c>
      <c r="B526" s="3">
        <f ca="1">_xlfn.NORM.INV(RAND(),AVERAGE(Assumptions!$D$4,Assumptions!$F$4),(Assumptions!$F$4-Assumptions!$D$4)/3.29)*44</f>
        <v>1129656.605512636</v>
      </c>
      <c r="C526" s="6">
        <f ca="1">_xlfn.NORM.INV(RAND(),AVERAGE(Assumptions!$D$5,Assumptions!$F$5),(Assumptions!$F$5-Assumptions!$D$5)/3.29)*44</f>
        <v>2136401.7250411278</v>
      </c>
      <c r="D526" s="9">
        <f ca="1">_xlfn.NORM.INV(RAND(),AVERAGE(Assumptions!$D$6,Assumptions!$F$6),(Assumptions!$F$6-Assumptions!$D$6)/3.29)*RANDBETWEEN(2,5)</f>
        <v>2738859.4113454544</v>
      </c>
      <c r="E526" s="12">
        <f ca="1">_xlfn.NORM.INV(RAND(),AVERAGE(Assumptions!$D$17,Assumptions!$F$17),(Assumptions!$F$17-Assumptions!$D$17)/3.29)*8</f>
        <v>820621.48000673647</v>
      </c>
      <c r="F526" s="15">
        <f ca="1">_xlfn.NORM.INV(RAND(),AVERAGE(Assumptions!$D$7,Assumptions!$F$7),(Assumptions!$F$7-Assumptions!$D$7)/3.29)*RANDBETWEEN(1,3)</f>
        <v>5778935.5659994623</v>
      </c>
      <c r="G526" s="3">
        <f ca="1">_xlfn.NORM.INV(RAND(),AVERAGE(Assumptions!$D$8,Assumptions!$F$8),(Assumptions!$F$8-Assumptions!$D$8)/3.29)*44</f>
        <v>944338.34989560861</v>
      </c>
      <c r="H526" s="6">
        <f ca="1">_xlfn.NORM.INV(RAND(),AVERAGE(Assumptions!$D$9,Assumptions!$F$9),(Assumptions!$F$9-Assumptions!$D$9)/3.29)*21</f>
        <v>6455601.9445516579</v>
      </c>
      <c r="I526" s="9">
        <f ca="1">_xlfn.NORM.INV(RAND(),AVERAGE(Assumptions!$D$10,Assumptions!$F$10),(Assumptions!$F$10-Assumptions!$D$10)/3.29)*21</f>
        <v>1172957.5513601601</v>
      </c>
      <c r="J526" s="12">
        <f ca="1">NORMINV(RAND(),AVERAGE(Assumptions!$D$11,Assumptions!$F$11),(Assumptions!$F$11-Assumptions!$D$11)/3.29)*44</f>
        <v>3608629.0612603612</v>
      </c>
      <c r="K526" s="15">
        <f ca="1">_xlfn.NORM.INV(RAND(),AVERAGE(Assumptions!$D$12,Assumptions!$F$12),(Assumptions!$F$12-Assumptions!$D$12)/3.29)*44</f>
        <v>8648086.9039597549</v>
      </c>
      <c r="L526" s="3">
        <f ca="1">_xlfn.NORM.INV(RAND(),AVERAGE(Assumptions!$D$13,Assumptions!$F$13),(Assumptions!$F$13-Assumptions!$D$13)/3.29)*44</f>
        <v>11883491.155398807</v>
      </c>
      <c r="M526" s="6">
        <f ca="1">_xlfn.NORM.INV(RAND(),AVERAGE(Assumptions!$D$14,Assumptions!$F$14),(Assumptions!$F$14-Assumptions!$D$14)/3.29)*44</f>
        <v>7420762.8824737994</v>
      </c>
      <c r="N526" s="9">
        <f ca="1">_xlfn.NORM.INV(RAND(),AVERAGE(Assumptions!$D$16,Assumptions!$F$16),(Assumptions!$F$16-Assumptions!$D$16)/3.29)*44</f>
        <v>5733529.4950119061</v>
      </c>
      <c r="O526" s="12">
        <f ca="1">_xlfn.NORM.INV(RAND(),AVERAGE(Assumptions!$D$15,Assumptions!$F$15),(Assumptions!$F$15-Assumptions!$D$15)/3.29)*44</f>
        <v>39351066.199623585</v>
      </c>
      <c r="P526" s="15">
        <f>Assumptions!$D$18</f>
        <v>14641750.345627395</v>
      </c>
      <c r="Q526" s="3">
        <f t="shared" ca="1" si="16"/>
        <v>-19120805.932193883</v>
      </c>
      <c r="R526" s="6">
        <f t="shared" ca="1" si="17"/>
        <v>-4479055.5865664873</v>
      </c>
    </row>
    <row r="527" spans="1:18">
      <c r="A527" s="20">
        <v>526</v>
      </c>
      <c r="B527" s="3">
        <f ca="1">_xlfn.NORM.INV(RAND(),AVERAGE(Assumptions!$D$4,Assumptions!$F$4),(Assumptions!$F$4-Assumptions!$D$4)/3.29)*44</f>
        <v>1085938.7451561543</v>
      </c>
      <c r="C527" s="6">
        <f ca="1">_xlfn.NORM.INV(RAND(),AVERAGE(Assumptions!$D$5,Assumptions!$F$5),(Assumptions!$F$5-Assumptions!$D$5)/3.29)*44</f>
        <v>1818776.8986402177</v>
      </c>
      <c r="D527" s="9">
        <f ca="1">_xlfn.NORM.INV(RAND(),AVERAGE(Assumptions!$D$6,Assumptions!$F$6),(Assumptions!$F$6-Assumptions!$D$6)/3.29)*RANDBETWEEN(2,5)</f>
        <v>6074771.9570137365</v>
      </c>
      <c r="E527" s="12">
        <f ca="1">_xlfn.NORM.INV(RAND(),AVERAGE(Assumptions!$D$17,Assumptions!$F$17),(Assumptions!$F$17-Assumptions!$D$17)/3.29)*8</f>
        <v>1064475.6871625613</v>
      </c>
      <c r="F527" s="15">
        <f ca="1">_xlfn.NORM.INV(RAND(),AVERAGE(Assumptions!$D$7,Assumptions!$F$7),(Assumptions!$F$7-Assumptions!$D$7)/3.29)*RANDBETWEEN(1,3)</f>
        <v>4845276.5646943692</v>
      </c>
      <c r="G527" s="3">
        <f ca="1">_xlfn.NORM.INV(RAND(),AVERAGE(Assumptions!$D$8,Assumptions!$F$8),(Assumptions!$F$8-Assumptions!$D$8)/3.29)*44</f>
        <v>1214176.6470115359</v>
      </c>
      <c r="H527" s="6">
        <f ca="1">_xlfn.NORM.INV(RAND(),AVERAGE(Assumptions!$D$9,Assumptions!$F$9),(Assumptions!$F$9-Assumptions!$D$9)/3.29)*21</f>
        <v>2973234.6012618286</v>
      </c>
      <c r="I527" s="9">
        <f ca="1">_xlfn.NORM.INV(RAND(),AVERAGE(Assumptions!$D$10,Assumptions!$F$10),(Assumptions!$F$10-Assumptions!$D$10)/3.29)*21</f>
        <v>722742.21820449212</v>
      </c>
      <c r="J527" s="12">
        <f ca="1">NORMINV(RAND(),AVERAGE(Assumptions!$D$11,Assumptions!$F$11),(Assumptions!$F$11-Assumptions!$D$11)/3.29)*44</f>
        <v>2099124.2691800757</v>
      </c>
      <c r="K527" s="15">
        <f ca="1">_xlfn.NORM.INV(RAND(),AVERAGE(Assumptions!$D$12,Assumptions!$F$12),(Assumptions!$F$12-Assumptions!$D$12)/3.29)*44</f>
        <v>7853485.2335190773</v>
      </c>
      <c r="L527" s="3">
        <f ca="1">_xlfn.NORM.INV(RAND(),AVERAGE(Assumptions!$D$13,Assumptions!$F$13),(Assumptions!$F$13-Assumptions!$D$13)/3.29)*44</f>
        <v>9412768.2650128976</v>
      </c>
      <c r="M527" s="6">
        <f ca="1">_xlfn.NORM.INV(RAND(),AVERAGE(Assumptions!$D$14,Assumptions!$F$14),(Assumptions!$F$14-Assumptions!$D$14)/3.29)*44</f>
        <v>7106567.8023013016</v>
      </c>
      <c r="N527" s="9">
        <f ca="1">_xlfn.NORM.INV(RAND(),AVERAGE(Assumptions!$D$16,Assumptions!$F$16),(Assumptions!$F$16-Assumptions!$D$16)/3.29)*44</f>
        <v>15170703.678848131</v>
      </c>
      <c r="O527" s="12">
        <f ca="1">_xlfn.NORM.INV(RAND(),AVERAGE(Assumptions!$D$15,Assumptions!$F$15),(Assumptions!$F$15-Assumptions!$D$15)/3.29)*44</f>
        <v>51765714.840519711</v>
      </c>
      <c r="P527" s="15">
        <f>Assumptions!$D$18</f>
        <v>14641750.345627395</v>
      </c>
      <c r="Q527" s="3">
        <f t="shared" ca="1" si="16"/>
        <v>-9676327.72748667</v>
      </c>
      <c r="R527" s="6">
        <f t="shared" ca="1" si="17"/>
        <v>4965422.6181407254</v>
      </c>
    </row>
    <row r="528" spans="1:18">
      <c r="A528" s="20">
        <v>527</v>
      </c>
      <c r="B528" s="3">
        <f ca="1">_xlfn.NORM.INV(RAND(),AVERAGE(Assumptions!$D$4,Assumptions!$F$4),(Assumptions!$F$4-Assumptions!$D$4)/3.29)*44</f>
        <v>1200740.4706351713</v>
      </c>
      <c r="C528" s="6">
        <f ca="1">_xlfn.NORM.INV(RAND(),AVERAGE(Assumptions!$D$5,Assumptions!$F$5),(Assumptions!$F$5-Assumptions!$D$5)/3.29)*44</f>
        <v>1787485.4204259422</v>
      </c>
      <c r="D528" s="9">
        <f ca="1">_xlfn.NORM.INV(RAND(),AVERAGE(Assumptions!$D$6,Assumptions!$F$6),(Assumptions!$F$6-Assumptions!$D$6)/3.29)*RANDBETWEEN(2,5)</f>
        <v>2753875.3260078328</v>
      </c>
      <c r="E528" s="12">
        <f ca="1">_xlfn.NORM.INV(RAND(),AVERAGE(Assumptions!$D$17,Assumptions!$F$17),(Assumptions!$F$17-Assumptions!$D$17)/3.29)*8</f>
        <v>1113875.476663003</v>
      </c>
      <c r="F528" s="15">
        <f ca="1">_xlfn.NORM.INV(RAND(),AVERAGE(Assumptions!$D$7,Assumptions!$F$7),(Assumptions!$F$7-Assumptions!$D$7)/3.29)*RANDBETWEEN(1,3)</f>
        <v>10154205.990031313</v>
      </c>
      <c r="G528" s="3">
        <f ca="1">_xlfn.NORM.INV(RAND(),AVERAGE(Assumptions!$D$8,Assumptions!$F$8),(Assumptions!$F$8-Assumptions!$D$8)/3.29)*44</f>
        <v>1533374.7949324527</v>
      </c>
      <c r="H528" s="6">
        <f ca="1">_xlfn.NORM.INV(RAND(),AVERAGE(Assumptions!$D$9,Assumptions!$F$9),(Assumptions!$F$9-Assumptions!$D$9)/3.29)*21</f>
        <v>5668497.1714298269</v>
      </c>
      <c r="I528" s="9">
        <f ca="1">_xlfn.NORM.INV(RAND(),AVERAGE(Assumptions!$D$10,Assumptions!$F$10),(Assumptions!$F$10-Assumptions!$D$10)/3.29)*21</f>
        <v>1621616.1359167506</v>
      </c>
      <c r="J528" s="12">
        <f ca="1">NORMINV(RAND(),AVERAGE(Assumptions!$D$11,Assumptions!$F$11),(Assumptions!$F$11-Assumptions!$D$11)/3.29)*44</f>
        <v>4798121.4054290168</v>
      </c>
      <c r="K528" s="15">
        <f ca="1">_xlfn.NORM.INV(RAND(),AVERAGE(Assumptions!$D$12,Assumptions!$F$12),(Assumptions!$F$12-Assumptions!$D$12)/3.29)*44</f>
        <v>11528181.596915606</v>
      </c>
      <c r="L528" s="3">
        <f ca="1">_xlfn.NORM.INV(RAND(),AVERAGE(Assumptions!$D$13,Assumptions!$F$13),(Assumptions!$F$13-Assumptions!$D$13)/3.29)*44</f>
        <v>19972520.744107954</v>
      </c>
      <c r="M528" s="6">
        <f ca="1">_xlfn.NORM.INV(RAND(),AVERAGE(Assumptions!$D$14,Assumptions!$F$14),(Assumptions!$F$14-Assumptions!$D$14)/3.29)*44</f>
        <v>6092022.0060281185</v>
      </c>
      <c r="N528" s="9">
        <f ca="1">_xlfn.NORM.INV(RAND(),AVERAGE(Assumptions!$D$16,Assumptions!$F$16),(Assumptions!$F$16-Assumptions!$D$16)/3.29)*44</f>
        <v>7080133.3707124144</v>
      </c>
      <c r="O528" s="12">
        <f ca="1">_xlfn.NORM.INV(RAND(),AVERAGE(Assumptions!$D$15,Assumptions!$F$15),(Assumptions!$F$15-Assumptions!$D$15)/3.29)*44</f>
        <v>106180361.73710003</v>
      </c>
      <c r="P528" s="15">
        <f>Assumptions!$D$18</f>
        <v>14641750.345627395</v>
      </c>
      <c r="Q528" s="3">
        <f t="shared" ca="1" si="16"/>
        <v>30875711.827864617</v>
      </c>
      <c r="R528" s="6">
        <f t="shared" ca="1" si="17"/>
        <v>45517462.173492014</v>
      </c>
    </row>
    <row r="529" spans="1:18">
      <c r="A529" s="20">
        <v>528</v>
      </c>
      <c r="B529" s="3">
        <f ca="1">_xlfn.NORM.INV(RAND(),AVERAGE(Assumptions!$D$4,Assumptions!$F$4),(Assumptions!$F$4-Assumptions!$D$4)/3.29)*44</f>
        <v>1212138.9794536075</v>
      </c>
      <c r="C529" s="6">
        <f ca="1">_xlfn.NORM.INV(RAND(),AVERAGE(Assumptions!$D$5,Assumptions!$F$5),(Assumptions!$F$5-Assumptions!$D$5)/3.29)*44</f>
        <v>1773922.2967570592</v>
      </c>
      <c r="D529" s="9">
        <f ca="1">_xlfn.NORM.INV(RAND(),AVERAGE(Assumptions!$D$6,Assumptions!$F$6),(Assumptions!$F$6-Assumptions!$D$6)/3.29)*RANDBETWEEN(2,5)</f>
        <v>3137463.951890429</v>
      </c>
      <c r="E529" s="12">
        <f ca="1">_xlfn.NORM.INV(RAND(),AVERAGE(Assumptions!$D$17,Assumptions!$F$17),(Assumptions!$F$17-Assumptions!$D$17)/3.29)*8</f>
        <v>1023484.3289478009</v>
      </c>
      <c r="F529" s="15">
        <f ca="1">_xlfn.NORM.INV(RAND(),AVERAGE(Assumptions!$D$7,Assumptions!$F$7),(Assumptions!$F$7-Assumptions!$D$7)/3.29)*RANDBETWEEN(1,3)</f>
        <v>5097494.1008318672</v>
      </c>
      <c r="G529" s="3">
        <f ca="1">_xlfn.NORM.INV(RAND(),AVERAGE(Assumptions!$D$8,Assumptions!$F$8),(Assumptions!$F$8-Assumptions!$D$8)/3.29)*44</f>
        <v>1258191.1698940014</v>
      </c>
      <c r="H529" s="6">
        <f ca="1">_xlfn.NORM.INV(RAND(),AVERAGE(Assumptions!$D$9,Assumptions!$F$9),(Assumptions!$F$9-Assumptions!$D$9)/3.29)*21</f>
        <v>5280787.4605478523</v>
      </c>
      <c r="I529" s="9">
        <f ca="1">_xlfn.NORM.INV(RAND(),AVERAGE(Assumptions!$D$10,Assumptions!$F$10),(Assumptions!$F$10-Assumptions!$D$10)/3.29)*21</f>
        <v>421170.58644389163</v>
      </c>
      <c r="J529" s="12">
        <f ca="1">NORMINV(RAND(),AVERAGE(Assumptions!$D$11,Assumptions!$F$11),(Assumptions!$F$11-Assumptions!$D$11)/3.29)*44</f>
        <v>5229380.513421841</v>
      </c>
      <c r="K529" s="15">
        <f ca="1">_xlfn.NORM.INV(RAND(),AVERAGE(Assumptions!$D$12,Assumptions!$F$12),(Assumptions!$F$12-Assumptions!$D$12)/3.29)*44</f>
        <v>8661372.7700308487</v>
      </c>
      <c r="L529" s="3">
        <f ca="1">_xlfn.NORM.INV(RAND(),AVERAGE(Assumptions!$D$13,Assumptions!$F$13),(Assumptions!$F$13-Assumptions!$D$13)/3.29)*44</f>
        <v>7440381.0848383848</v>
      </c>
      <c r="M529" s="6">
        <f ca="1">_xlfn.NORM.INV(RAND(),AVERAGE(Assumptions!$D$14,Assumptions!$F$14),(Assumptions!$F$14-Assumptions!$D$14)/3.29)*44</f>
        <v>7721376.3994045611</v>
      </c>
      <c r="N529" s="9">
        <f ca="1">_xlfn.NORM.INV(RAND(),AVERAGE(Assumptions!$D$16,Assumptions!$F$16),(Assumptions!$F$16-Assumptions!$D$16)/3.29)*44</f>
        <v>12345986.224171264</v>
      </c>
      <c r="O529" s="12">
        <f ca="1">_xlfn.NORM.INV(RAND(),AVERAGE(Assumptions!$D$15,Assumptions!$F$15),(Assumptions!$F$15-Assumptions!$D$15)/3.29)*44</f>
        <v>152059700.30372351</v>
      </c>
      <c r="P529" s="15">
        <f>Assumptions!$D$18</f>
        <v>14641750.345627395</v>
      </c>
      <c r="Q529" s="3">
        <f t="shared" ca="1" si="16"/>
        <v>91456550.437090099</v>
      </c>
      <c r="R529" s="6">
        <f t="shared" ca="1" si="17"/>
        <v>106098300.7827175</v>
      </c>
    </row>
    <row r="530" spans="1:18">
      <c r="A530" s="20">
        <v>529</v>
      </c>
      <c r="B530" s="3">
        <f ca="1">_xlfn.NORM.INV(RAND(),AVERAGE(Assumptions!$D$4,Assumptions!$F$4),(Assumptions!$F$4-Assumptions!$D$4)/3.29)*44</f>
        <v>1304396.5204083244</v>
      </c>
      <c r="C530" s="6">
        <f ca="1">_xlfn.NORM.INV(RAND(),AVERAGE(Assumptions!$D$5,Assumptions!$F$5),(Assumptions!$F$5-Assumptions!$D$5)/3.29)*44</f>
        <v>1860684.0072260725</v>
      </c>
      <c r="D530" s="9">
        <f ca="1">_xlfn.NORM.INV(RAND(),AVERAGE(Assumptions!$D$6,Assumptions!$F$6),(Assumptions!$F$6-Assumptions!$D$6)/3.29)*RANDBETWEEN(2,5)</f>
        <v>1963499.0689809024</v>
      </c>
      <c r="E530" s="12">
        <f ca="1">_xlfn.NORM.INV(RAND(),AVERAGE(Assumptions!$D$17,Assumptions!$F$17),(Assumptions!$F$17-Assumptions!$D$17)/3.29)*8</f>
        <v>1070796.0831017261</v>
      </c>
      <c r="F530" s="15">
        <f ca="1">_xlfn.NORM.INV(RAND(),AVERAGE(Assumptions!$D$7,Assumptions!$F$7),(Assumptions!$F$7-Assumptions!$D$7)/3.29)*RANDBETWEEN(1,3)</f>
        <v>6077974.7008795207</v>
      </c>
      <c r="G530" s="3">
        <f ca="1">_xlfn.NORM.INV(RAND(),AVERAGE(Assumptions!$D$8,Assumptions!$F$8),(Assumptions!$F$8-Assumptions!$D$8)/3.29)*44</f>
        <v>1047859.0239192606</v>
      </c>
      <c r="H530" s="6">
        <f ca="1">_xlfn.NORM.INV(RAND(),AVERAGE(Assumptions!$D$9,Assumptions!$F$9),(Assumptions!$F$9-Assumptions!$D$9)/3.29)*21</f>
        <v>3586988.6553055248</v>
      </c>
      <c r="I530" s="9">
        <f ca="1">_xlfn.NORM.INV(RAND(),AVERAGE(Assumptions!$D$10,Assumptions!$F$10),(Assumptions!$F$10-Assumptions!$D$10)/3.29)*21</f>
        <v>1247549.8240045186</v>
      </c>
      <c r="J530" s="12">
        <f ca="1">NORMINV(RAND(),AVERAGE(Assumptions!$D$11,Assumptions!$F$11),(Assumptions!$F$11-Assumptions!$D$11)/3.29)*44</f>
        <v>2248832.7245062804</v>
      </c>
      <c r="K530" s="15">
        <f ca="1">_xlfn.NORM.INV(RAND(),AVERAGE(Assumptions!$D$12,Assumptions!$F$12),(Assumptions!$F$12-Assumptions!$D$12)/3.29)*44</f>
        <v>10451224.372300427</v>
      </c>
      <c r="L530" s="3">
        <f ca="1">_xlfn.NORM.INV(RAND(),AVERAGE(Assumptions!$D$13,Assumptions!$F$13),(Assumptions!$F$13-Assumptions!$D$13)/3.29)*44</f>
        <v>24034920.491539199</v>
      </c>
      <c r="M530" s="6">
        <f ca="1">_xlfn.NORM.INV(RAND(),AVERAGE(Assumptions!$D$14,Assumptions!$F$14),(Assumptions!$F$14-Assumptions!$D$14)/3.29)*44</f>
        <v>6724172.4269916015</v>
      </c>
      <c r="N530" s="9">
        <f ca="1">_xlfn.NORM.INV(RAND(),AVERAGE(Assumptions!$D$16,Assumptions!$F$16),(Assumptions!$F$16-Assumptions!$D$16)/3.29)*44</f>
        <v>9199094.3203867525</v>
      </c>
      <c r="O530" s="12">
        <f ca="1">_xlfn.NORM.INV(RAND(),AVERAGE(Assumptions!$D$15,Assumptions!$F$15),(Assumptions!$F$15-Assumptions!$D$15)/3.29)*44</f>
        <v>77572667.535118923</v>
      </c>
      <c r="P530" s="15">
        <f>Assumptions!$D$18</f>
        <v>14641750.345627395</v>
      </c>
      <c r="Q530" s="3">
        <f t="shared" ca="1" si="16"/>
        <v>6754675.3155688196</v>
      </c>
      <c r="R530" s="6">
        <f t="shared" ca="1" si="17"/>
        <v>21396425.661196217</v>
      </c>
    </row>
    <row r="531" spans="1:18">
      <c r="A531" s="20">
        <v>530</v>
      </c>
      <c r="B531" s="3">
        <f ca="1">_xlfn.NORM.INV(RAND(),AVERAGE(Assumptions!$D$4,Assumptions!$F$4),(Assumptions!$F$4-Assumptions!$D$4)/3.29)*44</f>
        <v>1239112.6776662429</v>
      </c>
      <c r="C531" s="6">
        <f ca="1">_xlfn.NORM.INV(RAND(),AVERAGE(Assumptions!$D$5,Assumptions!$F$5),(Assumptions!$F$5-Assumptions!$D$5)/3.29)*44</f>
        <v>1814844.9861663359</v>
      </c>
      <c r="D531" s="9">
        <f ca="1">_xlfn.NORM.INV(RAND(),AVERAGE(Assumptions!$D$6,Assumptions!$F$6),(Assumptions!$F$6-Assumptions!$D$6)/3.29)*RANDBETWEEN(2,5)</f>
        <v>3326235.6331893886</v>
      </c>
      <c r="E531" s="12">
        <f ca="1">_xlfn.NORM.INV(RAND(),AVERAGE(Assumptions!$D$17,Assumptions!$F$17),(Assumptions!$F$17-Assumptions!$D$17)/3.29)*8</f>
        <v>1094880.2776654202</v>
      </c>
      <c r="F531" s="15">
        <f ca="1">_xlfn.NORM.INV(RAND(),AVERAGE(Assumptions!$D$7,Assumptions!$F$7),(Assumptions!$F$7-Assumptions!$D$7)/3.29)*RANDBETWEEN(1,3)</f>
        <v>1958928.1621239171</v>
      </c>
      <c r="G531" s="3">
        <f ca="1">_xlfn.NORM.INV(RAND(),AVERAGE(Assumptions!$D$8,Assumptions!$F$8),(Assumptions!$F$8-Assumptions!$D$8)/3.29)*44</f>
        <v>799223.05763177411</v>
      </c>
      <c r="H531" s="6">
        <f ca="1">_xlfn.NORM.INV(RAND(),AVERAGE(Assumptions!$D$9,Assumptions!$F$9),(Assumptions!$F$9-Assumptions!$D$9)/3.29)*21</f>
        <v>4684533.2006158037</v>
      </c>
      <c r="I531" s="9">
        <f ca="1">_xlfn.NORM.INV(RAND(),AVERAGE(Assumptions!$D$10,Assumptions!$F$10),(Assumptions!$F$10-Assumptions!$D$10)/3.29)*21</f>
        <v>902979.57738347549</v>
      </c>
      <c r="J531" s="12">
        <f ca="1">NORMINV(RAND(),AVERAGE(Assumptions!$D$11,Assumptions!$F$11),(Assumptions!$F$11-Assumptions!$D$11)/3.29)*44</f>
        <v>3196478.1462779469</v>
      </c>
      <c r="K531" s="15">
        <f ca="1">_xlfn.NORM.INV(RAND(),AVERAGE(Assumptions!$D$12,Assumptions!$F$12),(Assumptions!$F$12-Assumptions!$D$12)/3.29)*44</f>
        <v>7123199.0166731365</v>
      </c>
      <c r="L531" s="3">
        <f ca="1">_xlfn.NORM.INV(RAND(),AVERAGE(Assumptions!$D$13,Assumptions!$F$13),(Assumptions!$F$13-Assumptions!$D$13)/3.29)*44</f>
        <v>12779135.836940607</v>
      </c>
      <c r="M531" s="6">
        <f ca="1">_xlfn.NORM.INV(RAND(),AVERAGE(Assumptions!$D$14,Assumptions!$F$14),(Assumptions!$F$14-Assumptions!$D$14)/3.29)*44</f>
        <v>6384584.5291517433</v>
      </c>
      <c r="N531" s="9">
        <f ca="1">_xlfn.NORM.INV(RAND(),AVERAGE(Assumptions!$D$16,Assumptions!$F$16),(Assumptions!$F$16-Assumptions!$D$16)/3.29)*44</f>
        <v>13954609.874644022</v>
      </c>
      <c r="O531" s="12">
        <f ca="1">_xlfn.NORM.INV(RAND(),AVERAGE(Assumptions!$D$15,Assumptions!$F$15),(Assumptions!$F$15-Assumptions!$D$15)/3.29)*44</f>
        <v>45225095.635677241</v>
      </c>
      <c r="P531" s="15">
        <f>Assumptions!$D$18</f>
        <v>14641750.345627395</v>
      </c>
      <c r="Q531" s="3">
        <f t="shared" ca="1" si="16"/>
        <v>-14033649.340452574</v>
      </c>
      <c r="R531" s="6">
        <f t="shared" ca="1" si="17"/>
        <v>608101.00517482124</v>
      </c>
    </row>
    <row r="532" spans="1:18">
      <c r="A532" s="20">
        <v>531</v>
      </c>
      <c r="B532" s="3">
        <f ca="1">_xlfn.NORM.INV(RAND(),AVERAGE(Assumptions!$D$4,Assumptions!$F$4),(Assumptions!$F$4-Assumptions!$D$4)/3.29)*44</f>
        <v>1141123.4828013247</v>
      </c>
      <c r="C532" s="6">
        <f ca="1">_xlfn.NORM.INV(RAND(),AVERAGE(Assumptions!$D$5,Assumptions!$F$5),(Assumptions!$F$5-Assumptions!$D$5)/3.29)*44</f>
        <v>1839080.5379520231</v>
      </c>
      <c r="D532" s="9">
        <f ca="1">_xlfn.NORM.INV(RAND(),AVERAGE(Assumptions!$D$6,Assumptions!$F$6),(Assumptions!$F$6-Assumptions!$D$6)/3.29)*RANDBETWEEN(2,5)</f>
        <v>5896812.9864500016</v>
      </c>
      <c r="E532" s="12">
        <f ca="1">_xlfn.NORM.INV(RAND(),AVERAGE(Assumptions!$D$17,Assumptions!$F$17),(Assumptions!$F$17-Assumptions!$D$17)/3.29)*8</f>
        <v>1027263.1023894883</v>
      </c>
      <c r="F532" s="15">
        <f ca="1">_xlfn.NORM.INV(RAND(),AVERAGE(Assumptions!$D$7,Assumptions!$F$7),(Assumptions!$F$7-Assumptions!$D$7)/3.29)*RANDBETWEEN(1,3)</f>
        <v>3702219.2141756024</v>
      </c>
      <c r="G532" s="3">
        <f ca="1">_xlfn.NORM.INV(RAND(),AVERAGE(Assumptions!$D$8,Assumptions!$F$8),(Assumptions!$F$8-Assumptions!$D$8)/3.29)*44</f>
        <v>1256277.6765720369</v>
      </c>
      <c r="H532" s="6">
        <f ca="1">_xlfn.NORM.INV(RAND(),AVERAGE(Assumptions!$D$9,Assumptions!$F$9),(Assumptions!$F$9-Assumptions!$D$9)/3.29)*21</f>
        <v>3807896.9209002256</v>
      </c>
      <c r="I532" s="9">
        <f ca="1">_xlfn.NORM.INV(RAND(),AVERAGE(Assumptions!$D$10,Assumptions!$F$10),(Assumptions!$F$10-Assumptions!$D$10)/3.29)*21</f>
        <v>834202.30495266966</v>
      </c>
      <c r="J532" s="12">
        <f ca="1">NORMINV(RAND(),AVERAGE(Assumptions!$D$11,Assumptions!$F$11),(Assumptions!$F$11-Assumptions!$D$11)/3.29)*44</f>
        <v>4466256.4083485957</v>
      </c>
      <c r="K532" s="15">
        <f ca="1">_xlfn.NORM.INV(RAND(),AVERAGE(Assumptions!$D$12,Assumptions!$F$12),(Assumptions!$F$12-Assumptions!$D$12)/3.29)*44</f>
        <v>7432484.4140035715</v>
      </c>
      <c r="L532" s="3">
        <f ca="1">_xlfn.NORM.INV(RAND(),AVERAGE(Assumptions!$D$13,Assumptions!$F$13),(Assumptions!$F$13-Assumptions!$D$13)/3.29)*44</f>
        <v>12365568.764924077</v>
      </c>
      <c r="M532" s="6">
        <f ca="1">_xlfn.NORM.INV(RAND(),AVERAGE(Assumptions!$D$14,Assumptions!$F$14),(Assumptions!$F$14-Assumptions!$D$14)/3.29)*44</f>
        <v>5286281.9152646996</v>
      </c>
      <c r="N532" s="9">
        <f ca="1">_xlfn.NORM.INV(RAND(),AVERAGE(Assumptions!$D$16,Assumptions!$F$16),(Assumptions!$F$16-Assumptions!$D$16)/3.29)*44</f>
        <v>10307633.451792436</v>
      </c>
      <c r="O532" s="12">
        <f ca="1">_xlfn.NORM.INV(RAND(),AVERAGE(Assumptions!$D$15,Assumptions!$F$15),(Assumptions!$F$15-Assumptions!$D$15)/3.29)*44</f>
        <v>132757045.11314481</v>
      </c>
      <c r="P532" s="15">
        <f>Assumptions!$D$18</f>
        <v>14641750.345627395</v>
      </c>
      <c r="Q532" s="3">
        <f t="shared" ca="1" si="16"/>
        <v>73393943.932618067</v>
      </c>
      <c r="R532" s="6">
        <f t="shared" ca="1" si="17"/>
        <v>88035694.278245464</v>
      </c>
    </row>
    <row r="533" spans="1:18">
      <c r="A533" s="20">
        <v>532</v>
      </c>
      <c r="B533" s="3">
        <f ca="1">_xlfn.NORM.INV(RAND(),AVERAGE(Assumptions!$D$4,Assumptions!$F$4),(Assumptions!$F$4-Assumptions!$D$4)/3.29)*44</f>
        <v>1251373.2041655746</v>
      </c>
      <c r="C533" s="6">
        <f ca="1">_xlfn.NORM.INV(RAND(),AVERAGE(Assumptions!$D$5,Assumptions!$F$5),(Assumptions!$F$5-Assumptions!$D$5)/3.29)*44</f>
        <v>1814335.4669321473</v>
      </c>
      <c r="D533" s="9">
        <f ca="1">_xlfn.NORM.INV(RAND(),AVERAGE(Assumptions!$D$6,Assumptions!$F$6),(Assumptions!$F$6-Assumptions!$D$6)/3.29)*RANDBETWEEN(2,5)</f>
        <v>5004603.0869889129</v>
      </c>
      <c r="E533" s="12">
        <f ca="1">_xlfn.NORM.INV(RAND(),AVERAGE(Assumptions!$D$17,Assumptions!$F$17),(Assumptions!$F$17-Assumptions!$D$17)/3.29)*8</f>
        <v>984097.7062361805</v>
      </c>
      <c r="F533" s="15">
        <f ca="1">_xlfn.NORM.INV(RAND(),AVERAGE(Assumptions!$D$7,Assumptions!$F$7),(Assumptions!$F$7-Assumptions!$D$7)/3.29)*RANDBETWEEN(1,3)</f>
        <v>2975386.6200953722</v>
      </c>
      <c r="G533" s="3">
        <f ca="1">_xlfn.NORM.INV(RAND(),AVERAGE(Assumptions!$D$8,Assumptions!$F$8),(Assumptions!$F$8-Assumptions!$D$8)/3.29)*44</f>
        <v>1370289.0357673003</v>
      </c>
      <c r="H533" s="6">
        <f ca="1">_xlfn.NORM.INV(RAND(),AVERAGE(Assumptions!$D$9,Assumptions!$F$9),(Assumptions!$F$9-Assumptions!$D$9)/3.29)*21</f>
        <v>2742899.8269721381</v>
      </c>
      <c r="I533" s="9">
        <f ca="1">_xlfn.NORM.INV(RAND(),AVERAGE(Assumptions!$D$10,Assumptions!$F$10),(Assumptions!$F$10-Assumptions!$D$10)/3.29)*21</f>
        <v>540185.76355923433</v>
      </c>
      <c r="J533" s="12">
        <f ca="1">NORMINV(RAND(),AVERAGE(Assumptions!$D$11,Assumptions!$F$11),(Assumptions!$F$11-Assumptions!$D$11)/3.29)*44</f>
        <v>3030123.6796785672</v>
      </c>
      <c r="K533" s="15">
        <f ca="1">_xlfn.NORM.INV(RAND(),AVERAGE(Assumptions!$D$12,Assumptions!$F$12),(Assumptions!$F$12-Assumptions!$D$12)/3.29)*44</f>
        <v>10187032.46304952</v>
      </c>
      <c r="L533" s="3">
        <f ca="1">_xlfn.NORM.INV(RAND(),AVERAGE(Assumptions!$D$13,Assumptions!$F$13),(Assumptions!$F$13-Assumptions!$D$13)/3.29)*44</f>
        <v>21445434.494720329</v>
      </c>
      <c r="M533" s="6">
        <f ca="1">_xlfn.NORM.INV(RAND(),AVERAGE(Assumptions!$D$14,Assumptions!$F$14),(Assumptions!$F$14-Assumptions!$D$14)/3.29)*44</f>
        <v>5681064.6986077987</v>
      </c>
      <c r="N533" s="9">
        <f ca="1">_xlfn.NORM.INV(RAND(),AVERAGE(Assumptions!$D$16,Assumptions!$F$16),(Assumptions!$F$16-Assumptions!$D$16)/3.29)*44</f>
        <v>14525581.664108122</v>
      </c>
      <c r="O533" s="12">
        <f ca="1">_xlfn.NORM.INV(RAND(),AVERAGE(Assumptions!$D$15,Assumptions!$F$15),(Assumptions!$F$15-Assumptions!$D$15)/3.29)*44</f>
        <v>92415608.716374889</v>
      </c>
      <c r="P533" s="15">
        <f>Assumptions!$D$18</f>
        <v>14641750.345627395</v>
      </c>
      <c r="Q533" s="3">
        <f t="shared" ca="1" si="16"/>
        <v>20863201.005493686</v>
      </c>
      <c r="R533" s="6">
        <f t="shared" ca="1" si="17"/>
        <v>35504951.351121083</v>
      </c>
    </row>
    <row r="534" spans="1:18">
      <c r="A534" s="20">
        <v>533</v>
      </c>
      <c r="B534" s="3">
        <f ca="1">_xlfn.NORM.INV(RAND(),AVERAGE(Assumptions!$D$4,Assumptions!$F$4),(Assumptions!$F$4-Assumptions!$D$4)/3.29)*44</f>
        <v>1171678.726414955</v>
      </c>
      <c r="C534" s="6">
        <f ca="1">_xlfn.NORM.INV(RAND(),AVERAGE(Assumptions!$D$5,Assumptions!$F$5),(Assumptions!$F$5-Assumptions!$D$5)/3.29)*44</f>
        <v>1954200.1835132546</v>
      </c>
      <c r="D534" s="9">
        <f ca="1">_xlfn.NORM.INV(RAND(),AVERAGE(Assumptions!$D$6,Assumptions!$F$6),(Assumptions!$F$6-Assumptions!$D$6)/3.29)*RANDBETWEEN(2,5)</f>
        <v>3843449.3208272289</v>
      </c>
      <c r="E534" s="12">
        <f ca="1">_xlfn.NORM.INV(RAND(),AVERAGE(Assumptions!$D$17,Assumptions!$F$17),(Assumptions!$F$17-Assumptions!$D$17)/3.29)*8</f>
        <v>799589.539293963</v>
      </c>
      <c r="F534" s="15">
        <f ca="1">_xlfn.NORM.INV(RAND(),AVERAGE(Assumptions!$D$7,Assumptions!$F$7),(Assumptions!$F$7-Assumptions!$D$7)/3.29)*RANDBETWEEN(1,3)</f>
        <v>9094617.9654337298</v>
      </c>
      <c r="G534" s="3">
        <f ca="1">_xlfn.NORM.INV(RAND(),AVERAGE(Assumptions!$D$8,Assumptions!$F$8),(Assumptions!$F$8-Assumptions!$D$8)/3.29)*44</f>
        <v>1273925.2417424889</v>
      </c>
      <c r="H534" s="6">
        <f ca="1">_xlfn.NORM.INV(RAND(),AVERAGE(Assumptions!$D$9,Assumptions!$F$9),(Assumptions!$F$9-Assumptions!$D$9)/3.29)*21</f>
        <v>3786961.0653110254</v>
      </c>
      <c r="I534" s="9">
        <f ca="1">_xlfn.NORM.INV(RAND(),AVERAGE(Assumptions!$D$10,Assumptions!$F$10),(Assumptions!$F$10-Assumptions!$D$10)/3.29)*21</f>
        <v>865620.41419295245</v>
      </c>
      <c r="J534" s="12">
        <f ca="1">NORMINV(RAND(),AVERAGE(Assumptions!$D$11,Assumptions!$F$11),(Assumptions!$F$11-Assumptions!$D$11)/3.29)*44</f>
        <v>4129041.6856679092</v>
      </c>
      <c r="K534" s="15">
        <f ca="1">_xlfn.NORM.INV(RAND(),AVERAGE(Assumptions!$D$12,Assumptions!$F$12),(Assumptions!$F$12-Assumptions!$D$12)/3.29)*44</f>
        <v>9081177.7045772076</v>
      </c>
      <c r="L534" s="3">
        <f ca="1">_xlfn.NORM.INV(RAND(),AVERAGE(Assumptions!$D$13,Assumptions!$F$13),(Assumptions!$F$13-Assumptions!$D$13)/3.29)*44</f>
        <v>7223225.8593455078</v>
      </c>
      <c r="M534" s="6">
        <f ca="1">_xlfn.NORM.INV(RAND(),AVERAGE(Assumptions!$D$14,Assumptions!$F$14),(Assumptions!$F$14-Assumptions!$D$14)/3.29)*44</f>
        <v>6434422.2428178545</v>
      </c>
      <c r="N534" s="9">
        <f ca="1">_xlfn.NORM.INV(RAND(),AVERAGE(Assumptions!$D$16,Assumptions!$F$16),(Assumptions!$F$16-Assumptions!$D$16)/3.29)*44</f>
        <v>-304669.59009484807</v>
      </c>
      <c r="O534" s="12">
        <f ca="1">_xlfn.NORM.INV(RAND(),AVERAGE(Assumptions!$D$15,Assumptions!$F$15),(Assumptions!$F$15-Assumptions!$D$15)/3.29)*44</f>
        <v>74482855.942280829</v>
      </c>
      <c r="P534" s="15">
        <f>Assumptions!$D$18</f>
        <v>14641750.345627395</v>
      </c>
      <c r="Q534" s="3">
        <f t="shared" ca="1" si="16"/>
        <v>25129615.583237596</v>
      </c>
      <c r="R534" s="6">
        <f t="shared" ca="1" si="17"/>
        <v>39771365.928864993</v>
      </c>
    </row>
    <row r="535" spans="1:18">
      <c r="A535" s="20">
        <v>534</v>
      </c>
      <c r="B535" s="3">
        <f ca="1">_xlfn.NORM.INV(RAND(),AVERAGE(Assumptions!$D$4,Assumptions!$F$4),(Assumptions!$F$4-Assumptions!$D$4)/3.29)*44</f>
        <v>1134551.8082293193</v>
      </c>
      <c r="C535" s="6">
        <f ca="1">_xlfn.NORM.INV(RAND(),AVERAGE(Assumptions!$D$5,Assumptions!$F$5),(Assumptions!$F$5-Assumptions!$D$5)/3.29)*44</f>
        <v>1926973.1257807156</v>
      </c>
      <c r="D535" s="9">
        <f ca="1">_xlfn.NORM.INV(RAND(),AVERAGE(Assumptions!$D$6,Assumptions!$F$6),(Assumptions!$F$6-Assumptions!$D$6)/3.29)*RANDBETWEEN(2,5)</f>
        <v>2145035.8616265492</v>
      </c>
      <c r="E535" s="12">
        <f ca="1">_xlfn.NORM.INV(RAND(),AVERAGE(Assumptions!$D$17,Assumptions!$F$17),(Assumptions!$F$17-Assumptions!$D$17)/3.29)*8</f>
        <v>868733.27541895013</v>
      </c>
      <c r="F535" s="15">
        <f ca="1">_xlfn.NORM.INV(RAND(),AVERAGE(Assumptions!$D$7,Assumptions!$F$7),(Assumptions!$F$7-Assumptions!$D$7)/3.29)*RANDBETWEEN(1,3)</f>
        <v>6007418.934034856</v>
      </c>
      <c r="G535" s="3">
        <f ca="1">_xlfn.NORM.INV(RAND(),AVERAGE(Assumptions!$D$8,Assumptions!$F$8),(Assumptions!$F$8-Assumptions!$D$8)/3.29)*44</f>
        <v>598276.53846342163</v>
      </c>
      <c r="H535" s="6">
        <f ca="1">_xlfn.NORM.INV(RAND(),AVERAGE(Assumptions!$D$9,Assumptions!$F$9),(Assumptions!$F$9-Assumptions!$D$9)/3.29)*21</f>
        <v>5864152.5431877039</v>
      </c>
      <c r="I535" s="9">
        <f ca="1">_xlfn.NORM.INV(RAND(),AVERAGE(Assumptions!$D$10,Assumptions!$F$10),(Assumptions!$F$10-Assumptions!$D$10)/3.29)*21</f>
        <v>562525.07901332993</v>
      </c>
      <c r="J535" s="12">
        <f ca="1">NORMINV(RAND(),AVERAGE(Assumptions!$D$11,Assumptions!$F$11),(Assumptions!$F$11-Assumptions!$D$11)/3.29)*44</f>
        <v>1646148.1873990509</v>
      </c>
      <c r="K535" s="15">
        <f ca="1">_xlfn.NORM.INV(RAND(),AVERAGE(Assumptions!$D$12,Assumptions!$F$12),(Assumptions!$F$12-Assumptions!$D$12)/3.29)*44</f>
        <v>9054324.3516097385</v>
      </c>
      <c r="L535" s="3">
        <f ca="1">_xlfn.NORM.INV(RAND(),AVERAGE(Assumptions!$D$13,Assumptions!$F$13),(Assumptions!$F$13-Assumptions!$D$13)/3.29)*44</f>
        <v>15111733.852513719</v>
      </c>
      <c r="M535" s="6">
        <f ca="1">_xlfn.NORM.INV(RAND(),AVERAGE(Assumptions!$D$14,Assumptions!$F$14),(Assumptions!$F$14-Assumptions!$D$14)/3.29)*44</f>
        <v>5335854.4283249592</v>
      </c>
      <c r="N535" s="9">
        <f ca="1">_xlfn.NORM.INV(RAND(),AVERAGE(Assumptions!$D$16,Assumptions!$F$16),(Assumptions!$F$16-Assumptions!$D$16)/3.29)*44</f>
        <v>10336557.788364165</v>
      </c>
      <c r="O535" s="12">
        <f ca="1">_xlfn.NORM.INV(RAND(),AVERAGE(Assumptions!$D$15,Assumptions!$F$15),(Assumptions!$F$15-Assumptions!$D$15)/3.29)*44</f>
        <v>79111591.00865379</v>
      </c>
      <c r="P535" s="15">
        <f>Assumptions!$D$18</f>
        <v>14641750.345627395</v>
      </c>
      <c r="Q535" s="3">
        <f t="shared" ca="1" si="16"/>
        <v>18519305.234687313</v>
      </c>
      <c r="R535" s="6">
        <f t="shared" ca="1" si="17"/>
        <v>33161055.580314711</v>
      </c>
    </row>
    <row r="536" spans="1:18">
      <c r="A536" s="20">
        <v>535</v>
      </c>
      <c r="B536" s="3">
        <f ca="1">_xlfn.NORM.INV(RAND(),AVERAGE(Assumptions!$D$4,Assumptions!$F$4),(Assumptions!$F$4-Assumptions!$D$4)/3.29)*44</f>
        <v>1272508.3313509421</v>
      </c>
      <c r="C536" s="6">
        <f ca="1">_xlfn.NORM.INV(RAND(),AVERAGE(Assumptions!$D$5,Assumptions!$F$5),(Assumptions!$F$5-Assumptions!$D$5)/3.29)*44</f>
        <v>1797877.1648075832</v>
      </c>
      <c r="D536" s="9">
        <f ca="1">_xlfn.NORM.INV(RAND(),AVERAGE(Assumptions!$D$6,Assumptions!$F$6),(Assumptions!$F$6-Assumptions!$D$6)/3.29)*RANDBETWEEN(2,5)</f>
        <v>5095766.6869592424</v>
      </c>
      <c r="E536" s="12">
        <f ca="1">_xlfn.NORM.INV(RAND(),AVERAGE(Assumptions!$D$17,Assumptions!$F$17),(Assumptions!$F$17-Assumptions!$D$17)/3.29)*8</f>
        <v>917358.42809458461</v>
      </c>
      <c r="F536" s="15">
        <f ca="1">_xlfn.NORM.INV(RAND(),AVERAGE(Assumptions!$D$7,Assumptions!$F$7),(Assumptions!$F$7-Assumptions!$D$7)/3.29)*RANDBETWEEN(1,3)</f>
        <v>6597741.363092904</v>
      </c>
      <c r="G536" s="3">
        <f ca="1">_xlfn.NORM.INV(RAND(),AVERAGE(Assumptions!$D$8,Assumptions!$F$8),(Assumptions!$F$8-Assumptions!$D$8)/3.29)*44</f>
        <v>1421969.5896777529</v>
      </c>
      <c r="H536" s="6">
        <f ca="1">_xlfn.NORM.INV(RAND(),AVERAGE(Assumptions!$D$9,Assumptions!$F$9),(Assumptions!$F$9-Assumptions!$D$9)/3.29)*21</f>
        <v>4290628.3506342843</v>
      </c>
      <c r="I536" s="9">
        <f ca="1">_xlfn.NORM.INV(RAND(),AVERAGE(Assumptions!$D$10,Assumptions!$F$10),(Assumptions!$F$10-Assumptions!$D$10)/3.29)*21</f>
        <v>809403.87168523553</v>
      </c>
      <c r="J536" s="12">
        <f ca="1">NORMINV(RAND(),AVERAGE(Assumptions!$D$11,Assumptions!$F$11),(Assumptions!$F$11-Assumptions!$D$11)/3.29)*44</f>
        <v>4238603.0340489466</v>
      </c>
      <c r="K536" s="15">
        <f ca="1">_xlfn.NORM.INV(RAND(),AVERAGE(Assumptions!$D$12,Assumptions!$F$12),(Assumptions!$F$12-Assumptions!$D$12)/3.29)*44</f>
        <v>8165773.6052166857</v>
      </c>
      <c r="L536" s="3">
        <f ca="1">_xlfn.NORM.INV(RAND(),AVERAGE(Assumptions!$D$13,Assumptions!$F$13),(Assumptions!$F$13-Assumptions!$D$13)/3.29)*44</f>
        <v>7213165.7803823957</v>
      </c>
      <c r="M536" s="6">
        <f ca="1">_xlfn.NORM.INV(RAND(),AVERAGE(Assumptions!$D$14,Assumptions!$F$14),(Assumptions!$F$14-Assumptions!$D$14)/3.29)*44</f>
        <v>6273764.8685315372</v>
      </c>
      <c r="N536" s="9">
        <f ca="1">_xlfn.NORM.INV(RAND(),AVERAGE(Assumptions!$D$16,Assumptions!$F$16),(Assumptions!$F$16-Assumptions!$D$16)/3.29)*44</f>
        <v>11165796.800948869</v>
      </c>
      <c r="O536" s="12">
        <f ca="1">_xlfn.NORM.INV(RAND(),AVERAGE(Assumptions!$D$15,Assumptions!$F$15),(Assumptions!$F$15-Assumptions!$D$15)/3.29)*44</f>
        <v>88731057.157492399</v>
      </c>
      <c r="P536" s="15">
        <f>Assumptions!$D$18</f>
        <v>14641750.345627395</v>
      </c>
      <c r="Q536" s="3">
        <f t="shared" ca="1" si="16"/>
        <v>29470699.28206142</v>
      </c>
      <c r="R536" s="6">
        <f t="shared" ca="1" si="17"/>
        <v>44112449.627688818</v>
      </c>
    </row>
    <row r="537" spans="1:18">
      <c r="A537" s="20">
        <v>536</v>
      </c>
      <c r="B537" s="3">
        <f ca="1">_xlfn.NORM.INV(RAND(),AVERAGE(Assumptions!$D$4,Assumptions!$F$4),(Assumptions!$F$4-Assumptions!$D$4)/3.29)*44</f>
        <v>1060140.1377207101</v>
      </c>
      <c r="C537" s="6">
        <f ca="1">_xlfn.NORM.INV(RAND(),AVERAGE(Assumptions!$D$5,Assumptions!$F$5),(Assumptions!$F$5-Assumptions!$D$5)/3.29)*44</f>
        <v>1689220.2798350845</v>
      </c>
      <c r="D537" s="9">
        <f ca="1">_xlfn.NORM.INV(RAND(),AVERAGE(Assumptions!$D$6,Assumptions!$F$6),(Assumptions!$F$6-Assumptions!$D$6)/3.29)*RANDBETWEEN(2,5)</f>
        <v>3948103.4226307478</v>
      </c>
      <c r="E537" s="12">
        <f ca="1">_xlfn.NORM.INV(RAND(),AVERAGE(Assumptions!$D$17,Assumptions!$F$17),(Assumptions!$F$17-Assumptions!$D$17)/3.29)*8</f>
        <v>841449.38452286238</v>
      </c>
      <c r="F537" s="15">
        <f ca="1">_xlfn.NORM.INV(RAND(),AVERAGE(Assumptions!$D$7,Assumptions!$F$7),(Assumptions!$F$7-Assumptions!$D$7)/3.29)*RANDBETWEEN(1,3)</f>
        <v>3088065.7409841237</v>
      </c>
      <c r="G537" s="3">
        <f ca="1">_xlfn.NORM.INV(RAND(),AVERAGE(Assumptions!$D$8,Assumptions!$F$8),(Assumptions!$F$8-Assumptions!$D$8)/3.29)*44</f>
        <v>843698.71274421236</v>
      </c>
      <c r="H537" s="6">
        <f ca="1">_xlfn.NORM.INV(RAND(),AVERAGE(Assumptions!$D$9,Assumptions!$F$9),(Assumptions!$F$9-Assumptions!$D$9)/3.29)*21</f>
        <v>5011081.004527878</v>
      </c>
      <c r="I537" s="9">
        <f ca="1">_xlfn.NORM.INV(RAND(),AVERAGE(Assumptions!$D$10,Assumptions!$F$10),(Assumptions!$F$10-Assumptions!$D$10)/3.29)*21</f>
        <v>1171974.9187655584</v>
      </c>
      <c r="J537" s="12">
        <f ca="1">NORMINV(RAND(),AVERAGE(Assumptions!$D$11,Assumptions!$F$11),(Assumptions!$F$11-Assumptions!$D$11)/3.29)*44</f>
        <v>5274491.7721424103</v>
      </c>
      <c r="K537" s="15">
        <f ca="1">_xlfn.NORM.INV(RAND(),AVERAGE(Assumptions!$D$12,Assumptions!$F$12),(Assumptions!$F$12-Assumptions!$D$12)/3.29)*44</f>
        <v>9548950.6980858203</v>
      </c>
      <c r="L537" s="3">
        <f ca="1">_xlfn.NORM.INV(RAND(),AVERAGE(Assumptions!$D$13,Assumptions!$F$13),(Assumptions!$F$13-Assumptions!$D$13)/3.29)*44</f>
        <v>13354391.501504298</v>
      </c>
      <c r="M537" s="6">
        <f ca="1">_xlfn.NORM.INV(RAND(),AVERAGE(Assumptions!$D$14,Assumptions!$F$14),(Assumptions!$F$14-Assumptions!$D$14)/3.29)*44</f>
        <v>7926155.1089809164</v>
      </c>
      <c r="N537" s="9">
        <f ca="1">_xlfn.NORM.INV(RAND(),AVERAGE(Assumptions!$D$16,Assumptions!$F$16),(Assumptions!$F$16-Assumptions!$D$16)/3.29)*44</f>
        <v>4869282.1322397161</v>
      </c>
      <c r="O537" s="12">
        <f ca="1">_xlfn.NORM.INV(RAND(),AVERAGE(Assumptions!$D$15,Assumptions!$F$15),(Assumptions!$F$15-Assumptions!$D$15)/3.29)*44</f>
        <v>135167505.81847352</v>
      </c>
      <c r="P537" s="15">
        <f>Assumptions!$D$18</f>
        <v>14641750.345627395</v>
      </c>
      <c r="Q537" s="3">
        <f t="shared" ca="1" si="16"/>
        <v>76540501.003789186</v>
      </c>
      <c r="R537" s="6">
        <f t="shared" ca="1" si="17"/>
        <v>91182251.349416584</v>
      </c>
    </row>
    <row r="538" spans="1:18">
      <c r="A538" s="20">
        <v>537</v>
      </c>
      <c r="B538" s="3">
        <f ca="1">_xlfn.NORM.INV(RAND(),AVERAGE(Assumptions!$D$4,Assumptions!$F$4),(Assumptions!$F$4-Assumptions!$D$4)/3.29)*44</f>
        <v>1193904.3624184367</v>
      </c>
      <c r="C538" s="6">
        <f ca="1">_xlfn.NORM.INV(RAND(),AVERAGE(Assumptions!$D$5,Assumptions!$F$5),(Assumptions!$F$5-Assumptions!$D$5)/3.29)*44</f>
        <v>1698263.9894919673</v>
      </c>
      <c r="D538" s="9">
        <f ca="1">_xlfn.NORM.INV(RAND(),AVERAGE(Assumptions!$D$6,Assumptions!$F$6),(Assumptions!$F$6-Assumptions!$D$6)/3.29)*RANDBETWEEN(2,5)</f>
        <v>2775291.5693059824</v>
      </c>
      <c r="E538" s="12">
        <f ca="1">_xlfn.NORM.INV(RAND(),AVERAGE(Assumptions!$D$17,Assumptions!$F$17),(Assumptions!$F$17-Assumptions!$D$17)/3.29)*8</f>
        <v>838024.87084806163</v>
      </c>
      <c r="F538" s="15">
        <f ca="1">_xlfn.NORM.INV(RAND(),AVERAGE(Assumptions!$D$7,Assumptions!$F$7),(Assumptions!$F$7-Assumptions!$D$7)/3.29)*RANDBETWEEN(1,3)</f>
        <v>7034132.0562531855</v>
      </c>
      <c r="G538" s="3">
        <f ca="1">_xlfn.NORM.INV(RAND(),AVERAGE(Assumptions!$D$8,Assumptions!$F$8),(Assumptions!$F$8-Assumptions!$D$8)/3.29)*44</f>
        <v>1420829.0470224202</v>
      </c>
      <c r="H538" s="6">
        <f ca="1">_xlfn.NORM.INV(RAND(),AVERAGE(Assumptions!$D$9,Assumptions!$F$9),(Assumptions!$F$9-Assumptions!$D$9)/3.29)*21</f>
        <v>3139366.6315234536</v>
      </c>
      <c r="I538" s="9">
        <f ca="1">_xlfn.NORM.INV(RAND(),AVERAGE(Assumptions!$D$10,Assumptions!$F$10),(Assumptions!$F$10-Assumptions!$D$10)/3.29)*21</f>
        <v>780407.72207763779</v>
      </c>
      <c r="J538" s="12">
        <f ca="1">NORMINV(RAND(),AVERAGE(Assumptions!$D$11,Assumptions!$F$11),(Assumptions!$F$11-Assumptions!$D$11)/3.29)*44</f>
        <v>2756549.8282211041</v>
      </c>
      <c r="K538" s="15">
        <f ca="1">_xlfn.NORM.INV(RAND(),AVERAGE(Assumptions!$D$12,Assumptions!$F$12),(Assumptions!$F$12-Assumptions!$D$12)/3.29)*44</f>
        <v>8076402.1594740143</v>
      </c>
      <c r="L538" s="3">
        <f ca="1">_xlfn.NORM.INV(RAND(),AVERAGE(Assumptions!$D$13,Assumptions!$F$13),(Assumptions!$F$13-Assumptions!$D$13)/3.29)*44</f>
        <v>11315241.2615929</v>
      </c>
      <c r="M538" s="6">
        <f ca="1">_xlfn.NORM.INV(RAND(),AVERAGE(Assumptions!$D$14,Assumptions!$F$14),(Assumptions!$F$14-Assumptions!$D$14)/3.29)*44</f>
        <v>6238246.4662896711</v>
      </c>
      <c r="N538" s="9">
        <f ca="1">_xlfn.NORM.INV(RAND(),AVERAGE(Assumptions!$D$16,Assumptions!$F$16),(Assumptions!$F$16-Assumptions!$D$16)/3.29)*44</f>
        <v>11459603.895453172</v>
      </c>
      <c r="O538" s="12">
        <f ca="1">_xlfn.NORM.INV(RAND(),AVERAGE(Assumptions!$D$15,Assumptions!$F$15),(Assumptions!$F$15-Assumptions!$D$15)/3.29)*44</f>
        <v>98288503.002410054</v>
      </c>
      <c r="P538" s="15">
        <f>Assumptions!$D$18</f>
        <v>14641750.345627395</v>
      </c>
      <c r="Q538" s="3">
        <f t="shared" ca="1" si="16"/>
        <v>39562239.142438054</v>
      </c>
      <c r="R538" s="6">
        <f t="shared" ca="1" si="17"/>
        <v>54203989.488065451</v>
      </c>
    </row>
    <row r="539" spans="1:18">
      <c r="A539" s="20">
        <v>538</v>
      </c>
      <c r="B539" s="3">
        <f ca="1">_xlfn.NORM.INV(RAND(),AVERAGE(Assumptions!$D$4,Assumptions!$F$4),(Assumptions!$F$4-Assumptions!$D$4)/3.29)*44</f>
        <v>1121222.2704581097</v>
      </c>
      <c r="C539" s="6">
        <f ca="1">_xlfn.NORM.INV(RAND(),AVERAGE(Assumptions!$D$5,Assumptions!$F$5),(Assumptions!$F$5-Assumptions!$D$5)/3.29)*44</f>
        <v>1727529.091102774</v>
      </c>
      <c r="D539" s="9">
        <f ca="1">_xlfn.NORM.INV(RAND(),AVERAGE(Assumptions!$D$6,Assumptions!$F$6),(Assumptions!$F$6-Assumptions!$D$6)/3.29)*RANDBETWEEN(2,5)</f>
        <v>2969951.5441116551</v>
      </c>
      <c r="E539" s="12">
        <f ca="1">_xlfn.NORM.INV(RAND(),AVERAGE(Assumptions!$D$17,Assumptions!$F$17),(Assumptions!$F$17-Assumptions!$D$17)/3.29)*8</f>
        <v>1160126.6584135219</v>
      </c>
      <c r="F539" s="15">
        <f ca="1">_xlfn.NORM.INV(RAND(),AVERAGE(Assumptions!$D$7,Assumptions!$F$7),(Assumptions!$F$7-Assumptions!$D$7)/3.29)*RANDBETWEEN(1,3)</f>
        <v>1714262.0904523013</v>
      </c>
      <c r="G539" s="3">
        <f ca="1">_xlfn.NORM.INV(RAND(),AVERAGE(Assumptions!$D$8,Assumptions!$F$8),(Assumptions!$F$8-Assumptions!$D$8)/3.29)*44</f>
        <v>748542.19265546405</v>
      </c>
      <c r="H539" s="6">
        <f ca="1">_xlfn.NORM.INV(RAND(),AVERAGE(Assumptions!$D$9,Assumptions!$F$9),(Assumptions!$F$9-Assumptions!$D$9)/3.29)*21</f>
        <v>3126454.684777997</v>
      </c>
      <c r="I539" s="9">
        <f ca="1">_xlfn.NORM.INV(RAND(),AVERAGE(Assumptions!$D$10,Assumptions!$F$10),(Assumptions!$F$10-Assumptions!$D$10)/3.29)*21</f>
        <v>981475.61601650773</v>
      </c>
      <c r="J539" s="12">
        <f ca="1">NORMINV(RAND(),AVERAGE(Assumptions!$D$11,Assumptions!$F$11),(Assumptions!$F$11-Assumptions!$D$11)/3.29)*44</f>
        <v>2747852.9852740103</v>
      </c>
      <c r="K539" s="15">
        <f ca="1">_xlfn.NORM.INV(RAND(),AVERAGE(Assumptions!$D$12,Assumptions!$F$12),(Assumptions!$F$12-Assumptions!$D$12)/3.29)*44</f>
        <v>8679947.3522575628</v>
      </c>
      <c r="L539" s="3">
        <f ca="1">_xlfn.NORM.INV(RAND(),AVERAGE(Assumptions!$D$13,Assumptions!$F$13),(Assumptions!$F$13-Assumptions!$D$13)/3.29)*44</f>
        <v>14241350.210530087</v>
      </c>
      <c r="M539" s="6">
        <f ca="1">_xlfn.NORM.INV(RAND(),AVERAGE(Assumptions!$D$14,Assumptions!$F$14),(Assumptions!$F$14-Assumptions!$D$14)/3.29)*44</f>
        <v>6171865.150394368</v>
      </c>
      <c r="N539" s="9">
        <f ca="1">_xlfn.NORM.INV(RAND(),AVERAGE(Assumptions!$D$16,Assumptions!$F$16),(Assumptions!$F$16-Assumptions!$D$16)/3.29)*44</f>
        <v>11821268.929753358</v>
      </c>
      <c r="O539" s="12">
        <f ca="1">_xlfn.NORM.INV(RAND(),AVERAGE(Assumptions!$D$15,Assumptions!$F$15),(Assumptions!$F$15-Assumptions!$D$15)/3.29)*44</f>
        <v>109840562.67030364</v>
      </c>
      <c r="P539" s="15">
        <f>Assumptions!$D$18</f>
        <v>14641750.345627395</v>
      </c>
      <c r="Q539" s="3">
        <f t="shared" ca="1" si="16"/>
        <v>52628713.894105934</v>
      </c>
      <c r="R539" s="6">
        <f t="shared" ca="1" si="17"/>
        <v>67270464.239733323</v>
      </c>
    </row>
    <row r="540" spans="1:18">
      <c r="A540" s="20">
        <v>539</v>
      </c>
      <c r="B540" s="3">
        <f ca="1">_xlfn.NORM.INV(RAND(),AVERAGE(Assumptions!$D$4,Assumptions!$F$4),(Assumptions!$F$4-Assumptions!$D$4)/3.29)*44</f>
        <v>1309204.7275334364</v>
      </c>
      <c r="C540" s="6">
        <f ca="1">_xlfn.NORM.INV(RAND(),AVERAGE(Assumptions!$D$5,Assumptions!$F$5),(Assumptions!$F$5-Assumptions!$D$5)/3.29)*44</f>
        <v>1969642.3299936943</v>
      </c>
      <c r="D540" s="9">
        <f ca="1">_xlfn.NORM.INV(RAND(),AVERAGE(Assumptions!$D$6,Assumptions!$F$6),(Assumptions!$F$6-Assumptions!$D$6)/3.29)*RANDBETWEEN(2,5)</f>
        <v>4050929.8169303043</v>
      </c>
      <c r="E540" s="12">
        <f ca="1">_xlfn.NORM.INV(RAND(),AVERAGE(Assumptions!$D$17,Assumptions!$F$17),(Assumptions!$F$17-Assumptions!$D$17)/3.29)*8</f>
        <v>1027433.8005704276</v>
      </c>
      <c r="F540" s="15">
        <f ca="1">_xlfn.NORM.INV(RAND(),AVERAGE(Assumptions!$D$7,Assumptions!$F$7),(Assumptions!$F$7-Assumptions!$D$7)/3.29)*RANDBETWEEN(1,3)</f>
        <v>3535967.5537718628</v>
      </c>
      <c r="G540" s="3">
        <f ca="1">_xlfn.NORM.INV(RAND(),AVERAGE(Assumptions!$D$8,Assumptions!$F$8),(Assumptions!$F$8-Assumptions!$D$8)/3.29)*44</f>
        <v>1544400.0955965929</v>
      </c>
      <c r="H540" s="6">
        <f ca="1">_xlfn.NORM.INV(RAND(),AVERAGE(Assumptions!$D$9,Assumptions!$F$9),(Assumptions!$F$9-Assumptions!$D$9)/3.29)*21</f>
        <v>4008137.0321556567</v>
      </c>
      <c r="I540" s="9">
        <f ca="1">_xlfn.NORM.INV(RAND(),AVERAGE(Assumptions!$D$10,Assumptions!$F$10),(Assumptions!$F$10-Assumptions!$D$10)/3.29)*21</f>
        <v>356104.56134060276</v>
      </c>
      <c r="J540" s="12">
        <f ca="1">NORMINV(RAND(),AVERAGE(Assumptions!$D$11,Assumptions!$F$11),(Assumptions!$F$11-Assumptions!$D$11)/3.29)*44</f>
        <v>4804710.1367345629</v>
      </c>
      <c r="K540" s="15">
        <f ca="1">_xlfn.NORM.INV(RAND(),AVERAGE(Assumptions!$D$12,Assumptions!$F$12),(Assumptions!$F$12-Assumptions!$D$12)/3.29)*44</f>
        <v>7847054.2630826039</v>
      </c>
      <c r="L540" s="3">
        <f ca="1">_xlfn.NORM.INV(RAND(),AVERAGE(Assumptions!$D$13,Assumptions!$F$13),(Assumptions!$F$13-Assumptions!$D$13)/3.29)*44</f>
        <v>17803979.275865383</v>
      </c>
      <c r="M540" s="6">
        <f ca="1">_xlfn.NORM.INV(RAND(),AVERAGE(Assumptions!$D$14,Assumptions!$F$14),(Assumptions!$F$14-Assumptions!$D$14)/3.29)*44</f>
        <v>5271527.3862208482</v>
      </c>
      <c r="N540" s="9">
        <f ca="1">_xlfn.NORM.INV(RAND(),AVERAGE(Assumptions!$D$16,Assumptions!$F$16),(Assumptions!$F$16-Assumptions!$D$16)/3.29)*44</f>
        <v>4928541.5597635936</v>
      </c>
      <c r="O540" s="12">
        <f ca="1">_xlfn.NORM.INV(RAND(),AVERAGE(Assumptions!$D$15,Assumptions!$F$15),(Assumptions!$F$15-Assumptions!$D$15)/3.29)*44</f>
        <v>88173175.888854831</v>
      </c>
      <c r="P540" s="15">
        <f>Assumptions!$D$18</f>
        <v>14641750.345627395</v>
      </c>
      <c r="Q540" s="3">
        <f t="shared" ca="1" si="16"/>
        <v>29715543.349295251</v>
      </c>
      <c r="R540" s="6">
        <f t="shared" ca="1" si="17"/>
        <v>44357293.694922648</v>
      </c>
    </row>
    <row r="541" spans="1:18">
      <c r="A541" s="20">
        <v>540</v>
      </c>
      <c r="B541" s="3">
        <f ca="1">_xlfn.NORM.INV(RAND(),AVERAGE(Assumptions!$D$4,Assumptions!$F$4),(Assumptions!$F$4-Assumptions!$D$4)/3.29)*44</f>
        <v>1140198.8065077995</v>
      </c>
      <c r="C541" s="6">
        <f ca="1">_xlfn.NORM.INV(RAND(),AVERAGE(Assumptions!$D$5,Assumptions!$F$5),(Assumptions!$F$5-Assumptions!$D$5)/3.29)*44</f>
        <v>1860276.6415551684</v>
      </c>
      <c r="D541" s="9">
        <f ca="1">_xlfn.NORM.INV(RAND(),AVERAGE(Assumptions!$D$6,Assumptions!$F$6),(Assumptions!$F$6-Assumptions!$D$6)/3.29)*RANDBETWEEN(2,5)</f>
        <v>4513438.8360082721</v>
      </c>
      <c r="E541" s="12">
        <f ca="1">_xlfn.NORM.INV(RAND(),AVERAGE(Assumptions!$D$17,Assumptions!$F$17),(Assumptions!$F$17-Assumptions!$D$17)/3.29)*8</f>
        <v>1020620.2930779802</v>
      </c>
      <c r="F541" s="15">
        <f ca="1">_xlfn.NORM.INV(RAND(),AVERAGE(Assumptions!$D$7,Assumptions!$F$7),(Assumptions!$F$7-Assumptions!$D$7)/3.29)*RANDBETWEEN(1,3)</f>
        <v>6344838.2804213967</v>
      </c>
      <c r="G541" s="3">
        <f ca="1">_xlfn.NORM.INV(RAND(),AVERAGE(Assumptions!$D$8,Assumptions!$F$8),(Assumptions!$F$8-Assumptions!$D$8)/3.29)*44</f>
        <v>1388334.0255209687</v>
      </c>
      <c r="H541" s="6">
        <f ca="1">_xlfn.NORM.INV(RAND(),AVERAGE(Assumptions!$D$9,Assumptions!$F$9),(Assumptions!$F$9-Assumptions!$D$9)/3.29)*21</f>
        <v>4423302.5307892654</v>
      </c>
      <c r="I541" s="9">
        <f ca="1">_xlfn.NORM.INV(RAND(),AVERAGE(Assumptions!$D$10,Assumptions!$F$10),(Assumptions!$F$10-Assumptions!$D$10)/3.29)*21</f>
        <v>549742.68858655158</v>
      </c>
      <c r="J541" s="12">
        <f ca="1">NORMINV(RAND(),AVERAGE(Assumptions!$D$11,Assumptions!$F$11),(Assumptions!$F$11-Assumptions!$D$11)/3.29)*44</f>
        <v>5494483.0271504875</v>
      </c>
      <c r="K541" s="15">
        <f ca="1">_xlfn.NORM.INV(RAND(),AVERAGE(Assumptions!$D$12,Assumptions!$F$12),(Assumptions!$F$12-Assumptions!$D$12)/3.29)*44</f>
        <v>9147084.4903117158</v>
      </c>
      <c r="L541" s="3">
        <f ca="1">_xlfn.NORM.INV(RAND(),AVERAGE(Assumptions!$D$13,Assumptions!$F$13),(Assumptions!$F$13-Assumptions!$D$13)/3.29)*44</f>
        <v>19320357.996067688</v>
      </c>
      <c r="M541" s="6">
        <f ca="1">_xlfn.NORM.INV(RAND(),AVERAGE(Assumptions!$D$14,Assumptions!$F$14),(Assumptions!$F$14-Assumptions!$D$14)/3.29)*44</f>
        <v>6908859.1691054674</v>
      </c>
      <c r="N541" s="9">
        <f ca="1">_xlfn.NORM.INV(RAND(),AVERAGE(Assumptions!$D$16,Assumptions!$F$16),(Assumptions!$F$16-Assumptions!$D$16)/3.29)*44</f>
        <v>10056478.713449238</v>
      </c>
      <c r="O541" s="12">
        <f ca="1">_xlfn.NORM.INV(RAND(),AVERAGE(Assumptions!$D$15,Assumptions!$F$15),(Assumptions!$F$15-Assumptions!$D$15)/3.29)*44</f>
        <v>126237753.29318324</v>
      </c>
      <c r="P541" s="15">
        <f>Assumptions!$D$18</f>
        <v>14641750.345627395</v>
      </c>
      <c r="Q541" s="3">
        <f t="shared" ca="1" si="16"/>
        <v>54069737.794631243</v>
      </c>
      <c r="R541" s="6">
        <f t="shared" ca="1" si="17"/>
        <v>68711488.14025864</v>
      </c>
    </row>
    <row r="542" spans="1:18">
      <c r="A542" s="20">
        <v>541</v>
      </c>
      <c r="B542" s="3">
        <f ca="1">_xlfn.NORM.INV(RAND(),AVERAGE(Assumptions!$D$4,Assumptions!$F$4),(Assumptions!$F$4-Assumptions!$D$4)/3.29)*44</f>
        <v>1225400.5846981104</v>
      </c>
      <c r="C542" s="6">
        <f ca="1">_xlfn.NORM.INV(RAND(),AVERAGE(Assumptions!$D$5,Assumptions!$F$5),(Assumptions!$F$5-Assumptions!$D$5)/3.29)*44</f>
        <v>2018263.7152192483</v>
      </c>
      <c r="D542" s="9">
        <f ca="1">_xlfn.NORM.INV(RAND(),AVERAGE(Assumptions!$D$6,Assumptions!$F$6),(Assumptions!$F$6-Assumptions!$D$6)/3.29)*RANDBETWEEN(2,5)</f>
        <v>4912701.655752955</v>
      </c>
      <c r="E542" s="12">
        <f ca="1">_xlfn.NORM.INV(RAND(),AVERAGE(Assumptions!$D$17,Assumptions!$F$17),(Assumptions!$F$17-Assumptions!$D$17)/3.29)*8</f>
        <v>805753.08545182995</v>
      </c>
      <c r="F542" s="15">
        <f ca="1">_xlfn.NORM.INV(RAND(),AVERAGE(Assumptions!$D$7,Assumptions!$F$7),(Assumptions!$F$7-Assumptions!$D$7)/3.29)*RANDBETWEEN(1,3)</f>
        <v>3139005.4445640268</v>
      </c>
      <c r="G542" s="3">
        <f ca="1">_xlfn.NORM.INV(RAND(),AVERAGE(Assumptions!$D$8,Assumptions!$F$8),(Assumptions!$F$8-Assumptions!$D$8)/3.29)*44</f>
        <v>780978.7420457236</v>
      </c>
      <c r="H542" s="6">
        <f ca="1">_xlfn.NORM.INV(RAND(),AVERAGE(Assumptions!$D$9,Assumptions!$F$9),(Assumptions!$F$9-Assumptions!$D$9)/3.29)*21</f>
        <v>4202512.0775648281</v>
      </c>
      <c r="I542" s="9">
        <f ca="1">_xlfn.NORM.INV(RAND(),AVERAGE(Assumptions!$D$10,Assumptions!$F$10),(Assumptions!$F$10-Assumptions!$D$10)/3.29)*21</f>
        <v>1048511.6005357505</v>
      </c>
      <c r="J542" s="12">
        <f ca="1">NORMINV(RAND(),AVERAGE(Assumptions!$D$11,Assumptions!$F$11),(Assumptions!$F$11-Assumptions!$D$11)/3.29)*44</f>
        <v>2371844.7270564595</v>
      </c>
      <c r="K542" s="15">
        <f ca="1">_xlfn.NORM.INV(RAND(),AVERAGE(Assumptions!$D$12,Assumptions!$F$12),(Assumptions!$F$12-Assumptions!$D$12)/3.29)*44</f>
        <v>11075562.504929623</v>
      </c>
      <c r="L542" s="3">
        <f ca="1">_xlfn.NORM.INV(RAND(),AVERAGE(Assumptions!$D$13,Assumptions!$F$13),(Assumptions!$F$13-Assumptions!$D$13)/3.29)*44</f>
        <v>14783777.367812209</v>
      </c>
      <c r="M542" s="6">
        <f ca="1">_xlfn.NORM.INV(RAND(),AVERAGE(Assumptions!$D$14,Assumptions!$F$14),(Assumptions!$F$14-Assumptions!$D$14)/3.29)*44</f>
        <v>5968183.3656367688</v>
      </c>
      <c r="N542" s="9">
        <f ca="1">_xlfn.NORM.INV(RAND(),AVERAGE(Assumptions!$D$16,Assumptions!$F$16),(Assumptions!$F$16-Assumptions!$D$16)/3.29)*44</f>
        <v>7213038.2936415086</v>
      </c>
      <c r="O542" s="12">
        <f ca="1">_xlfn.NORM.INV(RAND(),AVERAGE(Assumptions!$D$15,Assumptions!$F$15),(Assumptions!$F$15-Assumptions!$D$15)/3.29)*44</f>
        <v>151316297.2624796</v>
      </c>
      <c r="P542" s="15">
        <f>Assumptions!$D$18</f>
        <v>14641750.345627395</v>
      </c>
      <c r="Q542" s="3">
        <f t="shared" ca="1" si="16"/>
        <v>91770764.097570568</v>
      </c>
      <c r="R542" s="6">
        <f t="shared" ca="1" si="17"/>
        <v>106412514.44319797</v>
      </c>
    </row>
    <row r="543" spans="1:18">
      <c r="A543" s="20">
        <v>542</v>
      </c>
      <c r="B543" s="3">
        <f ca="1">_xlfn.NORM.INV(RAND(),AVERAGE(Assumptions!$D$4,Assumptions!$F$4),(Assumptions!$F$4-Assumptions!$D$4)/3.29)*44</f>
        <v>1280347.2748597281</v>
      </c>
      <c r="C543" s="6">
        <f ca="1">_xlfn.NORM.INV(RAND(),AVERAGE(Assumptions!$D$5,Assumptions!$F$5),(Assumptions!$F$5-Assumptions!$D$5)/3.29)*44</f>
        <v>1934786.4627721796</v>
      </c>
      <c r="D543" s="9">
        <f ca="1">_xlfn.NORM.INV(RAND(),AVERAGE(Assumptions!$D$6,Assumptions!$F$6),(Assumptions!$F$6-Assumptions!$D$6)/3.29)*RANDBETWEEN(2,5)</f>
        <v>6191999.3545940323</v>
      </c>
      <c r="E543" s="12">
        <f ca="1">_xlfn.NORM.INV(RAND(),AVERAGE(Assumptions!$D$17,Assumptions!$F$17),(Assumptions!$F$17-Assumptions!$D$17)/3.29)*8</f>
        <v>947699.64515222923</v>
      </c>
      <c r="F543" s="15">
        <f ca="1">_xlfn.NORM.INV(RAND(),AVERAGE(Assumptions!$D$7,Assumptions!$F$7),(Assumptions!$F$7-Assumptions!$D$7)/3.29)*RANDBETWEEN(1,3)</f>
        <v>6627315.2393894065</v>
      </c>
      <c r="G543" s="3">
        <f ca="1">_xlfn.NORM.INV(RAND(),AVERAGE(Assumptions!$D$8,Assumptions!$F$8),(Assumptions!$F$8-Assumptions!$D$8)/3.29)*44</f>
        <v>1429376.2944768784</v>
      </c>
      <c r="H543" s="6">
        <f ca="1">_xlfn.NORM.INV(RAND(),AVERAGE(Assumptions!$D$9,Assumptions!$F$9),(Assumptions!$F$9-Assumptions!$D$9)/3.29)*21</f>
        <v>2136954.7746323971</v>
      </c>
      <c r="I543" s="9">
        <f ca="1">_xlfn.NORM.INV(RAND(),AVERAGE(Assumptions!$D$10,Assumptions!$F$10),(Assumptions!$F$10-Assumptions!$D$10)/3.29)*21</f>
        <v>1324971.4075059646</v>
      </c>
      <c r="J543" s="12">
        <f ca="1">NORMINV(RAND(),AVERAGE(Assumptions!$D$11,Assumptions!$F$11),(Assumptions!$F$11-Assumptions!$D$11)/3.29)*44</f>
        <v>3127941.9246812416</v>
      </c>
      <c r="K543" s="15">
        <f ca="1">_xlfn.NORM.INV(RAND(),AVERAGE(Assumptions!$D$12,Assumptions!$F$12),(Assumptions!$F$12-Assumptions!$D$12)/3.29)*44</f>
        <v>10888773.147305626</v>
      </c>
      <c r="L543" s="3">
        <f ca="1">_xlfn.NORM.INV(RAND(),AVERAGE(Assumptions!$D$13,Assumptions!$F$13),(Assumptions!$F$13-Assumptions!$D$13)/3.29)*44</f>
        <v>13847421.365058303</v>
      </c>
      <c r="M543" s="6">
        <f ca="1">_xlfn.NORM.INV(RAND(),AVERAGE(Assumptions!$D$14,Assumptions!$F$14),(Assumptions!$F$14-Assumptions!$D$14)/3.29)*44</f>
        <v>5230638.4799668798</v>
      </c>
      <c r="N543" s="9">
        <f ca="1">_xlfn.NORM.INV(RAND(),AVERAGE(Assumptions!$D$16,Assumptions!$F$16),(Assumptions!$F$16-Assumptions!$D$16)/3.29)*44</f>
        <v>14462369.513706628</v>
      </c>
      <c r="O543" s="12">
        <f ca="1">_xlfn.NORM.INV(RAND(),AVERAGE(Assumptions!$D$15,Assumptions!$F$15),(Assumptions!$F$15-Assumptions!$D$15)/3.29)*44</f>
        <v>148933292.35716584</v>
      </c>
      <c r="P543" s="15">
        <f>Assumptions!$D$18</f>
        <v>14641750.345627395</v>
      </c>
      <c r="Q543" s="3">
        <f t="shared" ca="1" si="16"/>
        <v>79502697.473064348</v>
      </c>
      <c r="R543" s="6">
        <f t="shared" ca="1" si="17"/>
        <v>94144447.818691745</v>
      </c>
    </row>
    <row r="544" spans="1:18">
      <c r="A544" s="20">
        <v>543</v>
      </c>
      <c r="B544" s="3">
        <f ca="1">_xlfn.NORM.INV(RAND(),AVERAGE(Assumptions!$D$4,Assumptions!$F$4),(Assumptions!$F$4-Assumptions!$D$4)/3.29)*44</f>
        <v>1196075.1618433218</v>
      </c>
      <c r="C544" s="6">
        <f ca="1">_xlfn.NORM.INV(RAND(),AVERAGE(Assumptions!$D$5,Assumptions!$F$5),(Assumptions!$F$5-Assumptions!$D$5)/3.29)*44</f>
        <v>1897157.0815235423</v>
      </c>
      <c r="D544" s="9">
        <f ca="1">_xlfn.NORM.INV(RAND(),AVERAGE(Assumptions!$D$6,Assumptions!$F$6),(Assumptions!$F$6-Assumptions!$D$6)/3.29)*RANDBETWEEN(2,5)</f>
        <v>2934998.3246203228</v>
      </c>
      <c r="E544" s="12">
        <f ca="1">_xlfn.NORM.INV(RAND(),AVERAGE(Assumptions!$D$17,Assumptions!$F$17),(Assumptions!$F$17-Assumptions!$D$17)/3.29)*8</f>
        <v>955555.81037635042</v>
      </c>
      <c r="F544" s="15">
        <f ca="1">_xlfn.NORM.INV(RAND(),AVERAGE(Assumptions!$D$7,Assumptions!$F$7),(Assumptions!$F$7-Assumptions!$D$7)/3.29)*RANDBETWEEN(1,3)</f>
        <v>5684597.9805678111</v>
      </c>
      <c r="G544" s="3">
        <f ca="1">_xlfn.NORM.INV(RAND(),AVERAGE(Assumptions!$D$8,Assumptions!$F$8),(Assumptions!$F$8-Assumptions!$D$8)/3.29)*44</f>
        <v>686282.77936000063</v>
      </c>
      <c r="H544" s="6">
        <f ca="1">_xlfn.NORM.INV(RAND(),AVERAGE(Assumptions!$D$9,Assumptions!$F$9),(Assumptions!$F$9-Assumptions!$D$9)/3.29)*21</f>
        <v>2714245.838508483</v>
      </c>
      <c r="I544" s="9">
        <f ca="1">_xlfn.NORM.INV(RAND(),AVERAGE(Assumptions!$D$10,Assumptions!$F$10),(Assumptions!$F$10-Assumptions!$D$10)/3.29)*21</f>
        <v>936102.9319069162</v>
      </c>
      <c r="J544" s="12">
        <f ca="1">NORMINV(RAND(),AVERAGE(Assumptions!$D$11,Assumptions!$F$11),(Assumptions!$F$11-Assumptions!$D$11)/3.29)*44</f>
        <v>3594836.2064149501</v>
      </c>
      <c r="K544" s="15">
        <f ca="1">_xlfn.NORM.INV(RAND(),AVERAGE(Assumptions!$D$12,Assumptions!$F$12),(Assumptions!$F$12-Assumptions!$D$12)/3.29)*44</f>
        <v>9466006.4552761577</v>
      </c>
      <c r="L544" s="3">
        <f ca="1">_xlfn.NORM.INV(RAND(),AVERAGE(Assumptions!$D$13,Assumptions!$F$13),(Assumptions!$F$13-Assumptions!$D$13)/3.29)*44</f>
        <v>11233296.212062348</v>
      </c>
      <c r="M544" s="6">
        <f ca="1">_xlfn.NORM.INV(RAND(),AVERAGE(Assumptions!$D$14,Assumptions!$F$14),(Assumptions!$F$14-Assumptions!$D$14)/3.29)*44</f>
        <v>4733630.2312885951</v>
      </c>
      <c r="N544" s="9">
        <f ca="1">_xlfn.NORM.INV(RAND(),AVERAGE(Assumptions!$D$16,Assumptions!$F$16),(Assumptions!$F$16-Assumptions!$D$16)/3.29)*44</f>
        <v>9167411.2383097727</v>
      </c>
      <c r="O544" s="12">
        <f ca="1">_xlfn.NORM.INV(RAND(),AVERAGE(Assumptions!$D$15,Assumptions!$F$15),(Assumptions!$F$15-Assumptions!$D$15)/3.29)*44</f>
        <v>98082224.696711302</v>
      </c>
      <c r="P544" s="15">
        <f>Assumptions!$D$18</f>
        <v>14641750.345627395</v>
      </c>
      <c r="Q544" s="3">
        <f t="shared" ca="1" si="16"/>
        <v>42882028.444652729</v>
      </c>
      <c r="R544" s="6">
        <f t="shared" ca="1" si="17"/>
        <v>57523778.790280126</v>
      </c>
    </row>
    <row r="545" spans="1:18">
      <c r="A545" s="20">
        <v>544</v>
      </c>
      <c r="B545" s="3">
        <f ca="1">_xlfn.NORM.INV(RAND(),AVERAGE(Assumptions!$D$4,Assumptions!$F$4),(Assumptions!$F$4-Assumptions!$D$4)/3.29)*44</f>
        <v>1212018.8548115871</v>
      </c>
      <c r="C545" s="6">
        <f ca="1">_xlfn.NORM.INV(RAND(),AVERAGE(Assumptions!$D$5,Assumptions!$F$5),(Assumptions!$F$5-Assumptions!$D$5)/3.29)*44</f>
        <v>1929877.9867144867</v>
      </c>
      <c r="D545" s="9">
        <f ca="1">_xlfn.NORM.INV(RAND(),AVERAGE(Assumptions!$D$6,Assumptions!$F$6),(Assumptions!$F$6-Assumptions!$D$6)/3.29)*RANDBETWEEN(2,5)</f>
        <v>7022562.37360158</v>
      </c>
      <c r="E545" s="12">
        <f ca="1">_xlfn.NORM.INV(RAND(),AVERAGE(Assumptions!$D$17,Assumptions!$F$17),(Assumptions!$F$17-Assumptions!$D$17)/3.29)*8</f>
        <v>1122872.0991778229</v>
      </c>
      <c r="F545" s="15">
        <f ca="1">_xlfn.NORM.INV(RAND(),AVERAGE(Assumptions!$D$7,Assumptions!$F$7),(Assumptions!$F$7-Assumptions!$D$7)/3.29)*RANDBETWEEN(1,3)</f>
        <v>2889926.6514442042</v>
      </c>
      <c r="G545" s="3">
        <f ca="1">_xlfn.NORM.INV(RAND(),AVERAGE(Assumptions!$D$8,Assumptions!$F$8),(Assumptions!$F$8-Assumptions!$D$8)/3.29)*44</f>
        <v>1222312.7285282228</v>
      </c>
      <c r="H545" s="6">
        <f ca="1">_xlfn.NORM.INV(RAND(),AVERAGE(Assumptions!$D$9,Assumptions!$F$9),(Assumptions!$F$9-Assumptions!$D$9)/3.29)*21</f>
        <v>2847668.6122039068</v>
      </c>
      <c r="I545" s="9">
        <f ca="1">_xlfn.NORM.INV(RAND(),AVERAGE(Assumptions!$D$10,Assumptions!$F$10),(Assumptions!$F$10-Assumptions!$D$10)/3.29)*21</f>
        <v>843769.64520950243</v>
      </c>
      <c r="J545" s="12">
        <f ca="1">NORMINV(RAND(),AVERAGE(Assumptions!$D$11,Assumptions!$F$11),(Assumptions!$F$11-Assumptions!$D$11)/3.29)*44</f>
        <v>5860313.2195060607</v>
      </c>
      <c r="K545" s="15">
        <f ca="1">_xlfn.NORM.INV(RAND(),AVERAGE(Assumptions!$D$12,Assumptions!$F$12),(Assumptions!$F$12-Assumptions!$D$12)/3.29)*44</f>
        <v>10382313.058470819</v>
      </c>
      <c r="L545" s="3">
        <f ca="1">_xlfn.NORM.INV(RAND(),AVERAGE(Assumptions!$D$13,Assumptions!$F$13),(Assumptions!$F$13-Assumptions!$D$13)/3.29)*44</f>
        <v>13427522.401633142</v>
      </c>
      <c r="M545" s="6">
        <f ca="1">_xlfn.NORM.INV(RAND(),AVERAGE(Assumptions!$D$14,Assumptions!$F$14),(Assumptions!$F$14-Assumptions!$D$14)/3.29)*44</f>
        <v>5317825.3718491923</v>
      </c>
      <c r="N545" s="9">
        <f ca="1">_xlfn.NORM.INV(RAND(),AVERAGE(Assumptions!$D$16,Assumptions!$F$16),(Assumptions!$F$16-Assumptions!$D$16)/3.29)*44</f>
        <v>9382735.14513232</v>
      </c>
      <c r="O545" s="12">
        <f ca="1">_xlfn.NORM.INV(RAND(),AVERAGE(Assumptions!$D$15,Assumptions!$F$15),(Assumptions!$F$15-Assumptions!$D$15)/3.29)*44</f>
        <v>88339405.552061081</v>
      </c>
      <c r="P545" s="15">
        <f>Assumptions!$D$18</f>
        <v>14641750.345627395</v>
      </c>
      <c r="Q545" s="3">
        <f t="shared" ca="1" si="16"/>
        <v>24877687.40377824</v>
      </c>
      <c r="R545" s="6">
        <f t="shared" ca="1" si="17"/>
        <v>39519437.749405637</v>
      </c>
    </row>
    <row r="546" spans="1:18">
      <c r="A546" s="20">
        <v>545</v>
      </c>
      <c r="B546" s="3">
        <f ca="1">_xlfn.NORM.INV(RAND(),AVERAGE(Assumptions!$D$4,Assumptions!$F$4),(Assumptions!$F$4-Assumptions!$D$4)/3.29)*44</f>
        <v>1280370.3025867431</v>
      </c>
      <c r="C546" s="6">
        <f ca="1">_xlfn.NORM.INV(RAND(),AVERAGE(Assumptions!$D$5,Assumptions!$F$5),(Assumptions!$F$5-Assumptions!$D$5)/3.29)*44</f>
        <v>2192437.742156785</v>
      </c>
      <c r="D546" s="9">
        <f ca="1">_xlfn.NORM.INV(RAND(),AVERAGE(Assumptions!$D$6,Assumptions!$F$6),(Assumptions!$F$6-Assumptions!$D$6)/3.29)*RANDBETWEEN(2,5)</f>
        <v>5854009.1931360159</v>
      </c>
      <c r="E546" s="12">
        <f ca="1">_xlfn.NORM.INV(RAND(),AVERAGE(Assumptions!$D$17,Assumptions!$F$17),(Assumptions!$F$17-Assumptions!$D$17)/3.29)*8</f>
        <v>855849.04057406669</v>
      </c>
      <c r="F546" s="15">
        <f ca="1">_xlfn.NORM.INV(RAND(),AVERAGE(Assumptions!$D$7,Assumptions!$F$7),(Assumptions!$F$7-Assumptions!$D$7)/3.29)*RANDBETWEEN(1,3)</f>
        <v>2555703.67468525</v>
      </c>
      <c r="G546" s="3">
        <f ca="1">_xlfn.NORM.INV(RAND(),AVERAGE(Assumptions!$D$8,Assumptions!$F$8),(Assumptions!$F$8-Assumptions!$D$8)/3.29)*44</f>
        <v>1101237.4438517862</v>
      </c>
      <c r="H546" s="6">
        <f ca="1">_xlfn.NORM.INV(RAND(),AVERAGE(Assumptions!$D$9,Assumptions!$F$9),(Assumptions!$F$9-Assumptions!$D$9)/3.29)*21</f>
        <v>3489695.6885048286</v>
      </c>
      <c r="I546" s="9">
        <f ca="1">_xlfn.NORM.INV(RAND(),AVERAGE(Assumptions!$D$10,Assumptions!$F$10),(Assumptions!$F$10-Assumptions!$D$10)/3.29)*21</f>
        <v>1204011.6311195337</v>
      </c>
      <c r="J546" s="12">
        <f ca="1">NORMINV(RAND(),AVERAGE(Assumptions!$D$11,Assumptions!$F$11),(Assumptions!$F$11-Assumptions!$D$11)/3.29)*44</f>
        <v>4152470.6194962212</v>
      </c>
      <c r="K546" s="15">
        <f ca="1">_xlfn.NORM.INV(RAND(),AVERAGE(Assumptions!$D$12,Assumptions!$F$12),(Assumptions!$F$12-Assumptions!$D$12)/3.29)*44</f>
        <v>8101224.3878741916</v>
      </c>
      <c r="L546" s="3">
        <f ca="1">_xlfn.NORM.INV(RAND(),AVERAGE(Assumptions!$D$13,Assumptions!$F$13),(Assumptions!$F$13-Assumptions!$D$13)/3.29)*44</f>
        <v>16430346.245191773</v>
      </c>
      <c r="M546" s="6">
        <f ca="1">_xlfn.NORM.INV(RAND(),AVERAGE(Assumptions!$D$14,Assumptions!$F$14),(Assumptions!$F$14-Assumptions!$D$14)/3.29)*44</f>
        <v>6140304.4660483366</v>
      </c>
      <c r="N546" s="9">
        <f ca="1">_xlfn.NORM.INV(RAND(),AVERAGE(Assumptions!$D$16,Assumptions!$F$16),(Assumptions!$F$16-Assumptions!$D$16)/3.29)*44</f>
        <v>12597350.266861027</v>
      </c>
      <c r="O546" s="12">
        <f ca="1">_xlfn.NORM.INV(RAND(),AVERAGE(Assumptions!$D$15,Assumptions!$F$15),(Assumptions!$F$15-Assumptions!$D$15)/3.29)*44</f>
        <v>114544127.17316903</v>
      </c>
      <c r="P546" s="15">
        <f>Assumptions!$D$18</f>
        <v>14641750.345627395</v>
      </c>
      <c r="Q546" s="3">
        <f t="shared" ca="1" si="16"/>
        <v>48589116.471082464</v>
      </c>
      <c r="R546" s="6">
        <f t="shared" ca="1" si="17"/>
        <v>63230866.816709861</v>
      </c>
    </row>
    <row r="547" spans="1:18">
      <c r="A547" s="20">
        <v>546</v>
      </c>
      <c r="B547" s="3">
        <f ca="1">_xlfn.NORM.INV(RAND(),AVERAGE(Assumptions!$D$4,Assumptions!$F$4),(Assumptions!$F$4-Assumptions!$D$4)/3.29)*44</f>
        <v>1162624.5711466034</v>
      </c>
      <c r="C547" s="6">
        <f ca="1">_xlfn.NORM.INV(RAND(),AVERAGE(Assumptions!$D$5,Assumptions!$F$5),(Assumptions!$F$5-Assumptions!$D$5)/3.29)*44</f>
        <v>1745334.6194430473</v>
      </c>
      <c r="D547" s="9">
        <f ca="1">_xlfn.NORM.INV(RAND(),AVERAGE(Assumptions!$D$6,Assumptions!$F$6),(Assumptions!$F$6-Assumptions!$D$6)/3.29)*RANDBETWEEN(2,5)</f>
        <v>2041069.5904436389</v>
      </c>
      <c r="E547" s="12">
        <f ca="1">_xlfn.NORM.INV(RAND(),AVERAGE(Assumptions!$D$17,Assumptions!$F$17),(Assumptions!$F$17-Assumptions!$D$17)/3.29)*8</f>
        <v>875696.05100924009</v>
      </c>
      <c r="F547" s="15">
        <f ca="1">_xlfn.NORM.INV(RAND(),AVERAGE(Assumptions!$D$7,Assumptions!$F$7),(Assumptions!$F$7-Assumptions!$D$7)/3.29)*RANDBETWEEN(1,3)</f>
        <v>6188839.7164798593</v>
      </c>
      <c r="G547" s="3">
        <f ca="1">_xlfn.NORM.INV(RAND(),AVERAGE(Assumptions!$D$8,Assumptions!$F$8),(Assumptions!$F$8-Assumptions!$D$8)/3.29)*44</f>
        <v>1127060.3837680917</v>
      </c>
      <c r="H547" s="6">
        <f ca="1">_xlfn.NORM.INV(RAND(),AVERAGE(Assumptions!$D$9,Assumptions!$F$9),(Assumptions!$F$9-Assumptions!$D$9)/3.29)*21</f>
        <v>3498630.155402299</v>
      </c>
      <c r="I547" s="9">
        <f ca="1">_xlfn.NORM.INV(RAND(),AVERAGE(Assumptions!$D$10,Assumptions!$F$10),(Assumptions!$F$10-Assumptions!$D$10)/3.29)*21</f>
        <v>795933.98162472737</v>
      </c>
      <c r="J547" s="12">
        <f ca="1">NORMINV(RAND(),AVERAGE(Assumptions!$D$11,Assumptions!$F$11),(Assumptions!$F$11-Assumptions!$D$11)/3.29)*44</f>
        <v>3073526.7651857352</v>
      </c>
      <c r="K547" s="15">
        <f ca="1">_xlfn.NORM.INV(RAND(),AVERAGE(Assumptions!$D$12,Assumptions!$F$12),(Assumptions!$F$12-Assumptions!$D$12)/3.29)*44</f>
        <v>6894751.3321274137</v>
      </c>
      <c r="L547" s="3">
        <f ca="1">_xlfn.NORM.INV(RAND(),AVERAGE(Assumptions!$D$13,Assumptions!$F$13),(Assumptions!$F$13-Assumptions!$D$13)/3.29)*44</f>
        <v>19288017.992359042</v>
      </c>
      <c r="M547" s="6">
        <f ca="1">_xlfn.NORM.INV(RAND(),AVERAGE(Assumptions!$D$14,Assumptions!$F$14),(Assumptions!$F$14-Assumptions!$D$14)/3.29)*44</f>
        <v>6393026.2846606001</v>
      </c>
      <c r="N547" s="9">
        <f ca="1">_xlfn.NORM.INV(RAND(),AVERAGE(Assumptions!$D$16,Assumptions!$F$16),(Assumptions!$F$16-Assumptions!$D$16)/3.29)*44</f>
        <v>3678587.3193794359</v>
      </c>
      <c r="O547" s="12">
        <f ca="1">_xlfn.NORM.INV(RAND(),AVERAGE(Assumptions!$D$15,Assumptions!$F$15),(Assumptions!$F$15-Assumptions!$D$15)/3.29)*44</f>
        <v>82512116.992488861</v>
      </c>
      <c r="P547" s="15">
        <f>Assumptions!$D$18</f>
        <v>14641750.345627395</v>
      </c>
      <c r="Q547" s="3">
        <f t="shared" ca="1" si="16"/>
        <v>25749018.229459129</v>
      </c>
      <c r="R547" s="6">
        <f t="shared" ca="1" si="17"/>
        <v>40390768.575086527</v>
      </c>
    </row>
    <row r="548" spans="1:18">
      <c r="A548" s="20">
        <v>547</v>
      </c>
      <c r="B548" s="3">
        <f ca="1">_xlfn.NORM.INV(RAND(),AVERAGE(Assumptions!$D$4,Assumptions!$F$4),(Assumptions!$F$4-Assumptions!$D$4)/3.29)*44</f>
        <v>1166057.3650652934</v>
      </c>
      <c r="C548" s="6">
        <f ca="1">_xlfn.NORM.INV(RAND(),AVERAGE(Assumptions!$D$5,Assumptions!$F$5),(Assumptions!$F$5-Assumptions!$D$5)/3.29)*44</f>
        <v>2064369.2459163838</v>
      </c>
      <c r="D548" s="9">
        <f ca="1">_xlfn.NORM.INV(RAND(),AVERAGE(Assumptions!$D$6,Assumptions!$F$6),(Assumptions!$F$6-Assumptions!$D$6)/3.29)*RANDBETWEEN(2,5)</f>
        <v>4439324.9456016878</v>
      </c>
      <c r="E548" s="12">
        <f ca="1">_xlfn.NORM.INV(RAND(),AVERAGE(Assumptions!$D$17,Assumptions!$F$17),(Assumptions!$F$17-Assumptions!$D$17)/3.29)*8</f>
        <v>1187067.4259927939</v>
      </c>
      <c r="F548" s="15">
        <f ca="1">_xlfn.NORM.INV(RAND(),AVERAGE(Assumptions!$D$7,Assumptions!$F$7),(Assumptions!$F$7-Assumptions!$D$7)/3.29)*RANDBETWEEN(1,3)</f>
        <v>2992075.3730761618</v>
      </c>
      <c r="G548" s="3">
        <f ca="1">_xlfn.NORM.INV(RAND(),AVERAGE(Assumptions!$D$8,Assumptions!$F$8),(Assumptions!$F$8-Assumptions!$D$8)/3.29)*44</f>
        <v>966972.89461807581</v>
      </c>
      <c r="H548" s="6">
        <f ca="1">_xlfn.NORM.INV(RAND(),AVERAGE(Assumptions!$D$9,Assumptions!$F$9),(Assumptions!$F$9-Assumptions!$D$9)/3.29)*21</f>
        <v>7241040.4918483747</v>
      </c>
      <c r="I548" s="9">
        <f ca="1">_xlfn.NORM.INV(RAND(),AVERAGE(Assumptions!$D$10,Assumptions!$F$10),(Assumptions!$F$10-Assumptions!$D$10)/3.29)*21</f>
        <v>852263.72801616159</v>
      </c>
      <c r="J548" s="12">
        <f ca="1">NORMINV(RAND(),AVERAGE(Assumptions!$D$11,Assumptions!$F$11),(Assumptions!$F$11-Assumptions!$D$11)/3.29)*44</f>
        <v>338952.02861182159</v>
      </c>
      <c r="K548" s="15">
        <f ca="1">_xlfn.NORM.INV(RAND(),AVERAGE(Assumptions!$D$12,Assumptions!$F$12),(Assumptions!$F$12-Assumptions!$D$12)/3.29)*44</f>
        <v>9407525.8973662481</v>
      </c>
      <c r="L548" s="3">
        <f ca="1">_xlfn.NORM.INV(RAND(),AVERAGE(Assumptions!$D$13,Assumptions!$F$13),(Assumptions!$F$13-Assumptions!$D$13)/3.29)*44</f>
        <v>20041700.906553954</v>
      </c>
      <c r="M548" s="6">
        <f ca="1">_xlfn.NORM.INV(RAND(),AVERAGE(Assumptions!$D$14,Assumptions!$F$14),(Assumptions!$F$14-Assumptions!$D$14)/3.29)*44</f>
        <v>6183819.8645630702</v>
      </c>
      <c r="N548" s="9">
        <f ca="1">_xlfn.NORM.INV(RAND(),AVERAGE(Assumptions!$D$16,Assumptions!$F$16),(Assumptions!$F$16-Assumptions!$D$16)/3.29)*44</f>
        <v>8911254.6146830153</v>
      </c>
      <c r="O548" s="12">
        <f ca="1">_xlfn.NORM.INV(RAND(),AVERAGE(Assumptions!$D$15,Assumptions!$F$15),(Assumptions!$F$15-Assumptions!$D$15)/3.29)*44</f>
        <v>166472360.86277115</v>
      </c>
      <c r="P548" s="15">
        <f>Assumptions!$D$18</f>
        <v>14641750.345627395</v>
      </c>
      <c r="Q548" s="3">
        <f t="shared" ca="1" si="16"/>
        <v>100679936.08085811</v>
      </c>
      <c r="R548" s="6">
        <f t="shared" ca="1" si="17"/>
        <v>115321686.42648551</v>
      </c>
    </row>
    <row r="549" spans="1:18">
      <c r="A549" s="20">
        <v>548</v>
      </c>
      <c r="B549" s="3">
        <f ca="1">_xlfn.NORM.INV(RAND(),AVERAGE(Assumptions!$D$4,Assumptions!$F$4),(Assumptions!$F$4-Assumptions!$D$4)/3.29)*44</f>
        <v>1184072.3626314278</v>
      </c>
      <c r="C549" s="6">
        <f ca="1">_xlfn.NORM.INV(RAND(),AVERAGE(Assumptions!$D$5,Assumptions!$F$5),(Assumptions!$F$5-Assumptions!$D$5)/3.29)*44</f>
        <v>1762329.225248653</v>
      </c>
      <c r="D549" s="9">
        <f ca="1">_xlfn.NORM.INV(RAND(),AVERAGE(Assumptions!$D$6,Assumptions!$F$6),(Assumptions!$F$6-Assumptions!$D$6)/3.29)*RANDBETWEEN(2,5)</f>
        <v>6165524.5147574889</v>
      </c>
      <c r="E549" s="12">
        <f ca="1">_xlfn.NORM.INV(RAND(),AVERAGE(Assumptions!$D$17,Assumptions!$F$17),(Assumptions!$F$17-Assumptions!$D$17)/3.29)*8</f>
        <v>844740.10422362364</v>
      </c>
      <c r="F549" s="15">
        <f ca="1">_xlfn.NORM.INV(RAND(),AVERAGE(Assumptions!$D$7,Assumptions!$F$7),(Assumptions!$F$7-Assumptions!$D$7)/3.29)*RANDBETWEEN(1,3)</f>
        <v>2782314.3928441424</v>
      </c>
      <c r="G549" s="3">
        <f ca="1">_xlfn.NORM.INV(RAND(),AVERAGE(Assumptions!$D$8,Assumptions!$F$8),(Assumptions!$F$8-Assumptions!$D$8)/3.29)*44</f>
        <v>923379.69358504261</v>
      </c>
      <c r="H549" s="6">
        <f ca="1">_xlfn.NORM.INV(RAND(),AVERAGE(Assumptions!$D$9,Assumptions!$F$9),(Assumptions!$F$9-Assumptions!$D$9)/3.29)*21</f>
        <v>3388456.7714772089</v>
      </c>
      <c r="I549" s="9">
        <f ca="1">_xlfn.NORM.INV(RAND(),AVERAGE(Assumptions!$D$10,Assumptions!$F$10),(Assumptions!$F$10-Assumptions!$D$10)/3.29)*21</f>
        <v>758505.39540004125</v>
      </c>
      <c r="J549" s="12">
        <f ca="1">NORMINV(RAND(),AVERAGE(Assumptions!$D$11,Assumptions!$F$11),(Assumptions!$F$11-Assumptions!$D$11)/3.29)*44</f>
        <v>3184617.4150551092</v>
      </c>
      <c r="K549" s="15">
        <f ca="1">_xlfn.NORM.INV(RAND(),AVERAGE(Assumptions!$D$12,Assumptions!$F$12),(Assumptions!$F$12-Assumptions!$D$12)/3.29)*44</f>
        <v>8961649.8218383584</v>
      </c>
      <c r="L549" s="3">
        <f ca="1">_xlfn.NORM.INV(RAND(),AVERAGE(Assumptions!$D$13,Assumptions!$F$13),(Assumptions!$F$13-Assumptions!$D$13)/3.29)*44</f>
        <v>12187244.085477803</v>
      </c>
      <c r="M549" s="6">
        <f ca="1">_xlfn.NORM.INV(RAND(),AVERAGE(Assumptions!$D$14,Assumptions!$F$14),(Assumptions!$F$14-Assumptions!$D$14)/3.29)*44</f>
        <v>5808261.9612091873</v>
      </c>
      <c r="N549" s="9">
        <f ca="1">_xlfn.NORM.INV(RAND(),AVERAGE(Assumptions!$D$16,Assumptions!$F$16),(Assumptions!$F$16-Assumptions!$D$16)/3.29)*44</f>
        <v>5723000.8592391005</v>
      </c>
      <c r="O549" s="12">
        <f ca="1">_xlfn.NORM.INV(RAND(),AVERAGE(Assumptions!$D$15,Assumptions!$F$15),(Assumptions!$F$15-Assumptions!$D$15)/3.29)*44</f>
        <v>150172007.75513232</v>
      </c>
      <c r="P549" s="15">
        <f>Assumptions!$D$18</f>
        <v>14641750.345627395</v>
      </c>
      <c r="Q549" s="3">
        <f t="shared" ca="1" si="16"/>
        <v>96497911.152145147</v>
      </c>
      <c r="R549" s="6">
        <f t="shared" ca="1" si="17"/>
        <v>111139661.49777254</v>
      </c>
    </row>
    <row r="550" spans="1:18">
      <c r="A550" s="20">
        <v>549</v>
      </c>
      <c r="B550" s="3">
        <f ca="1">_xlfn.NORM.INV(RAND(),AVERAGE(Assumptions!$D$4,Assumptions!$F$4),(Assumptions!$F$4-Assumptions!$D$4)/3.29)*44</f>
        <v>1193747.4924825772</v>
      </c>
      <c r="C550" s="6">
        <f ca="1">_xlfn.NORM.INV(RAND(),AVERAGE(Assumptions!$D$5,Assumptions!$F$5),(Assumptions!$F$5-Assumptions!$D$5)/3.29)*44</f>
        <v>2028061.1915786001</v>
      </c>
      <c r="D550" s="9">
        <f ca="1">_xlfn.NORM.INV(RAND(),AVERAGE(Assumptions!$D$6,Assumptions!$F$6),(Assumptions!$F$6-Assumptions!$D$6)/3.29)*RANDBETWEEN(2,5)</f>
        <v>7482820.0103366328</v>
      </c>
      <c r="E550" s="12">
        <f ca="1">_xlfn.NORM.INV(RAND(),AVERAGE(Assumptions!$D$17,Assumptions!$F$17),(Assumptions!$F$17-Assumptions!$D$17)/3.29)*8</f>
        <v>1208793.9462136489</v>
      </c>
      <c r="F550" s="15">
        <f ca="1">_xlfn.NORM.INV(RAND(),AVERAGE(Assumptions!$D$7,Assumptions!$F$7),(Assumptions!$F$7-Assumptions!$D$7)/3.29)*RANDBETWEEN(1,3)</f>
        <v>5948773.8290344672</v>
      </c>
      <c r="G550" s="3">
        <f ca="1">_xlfn.NORM.INV(RAND(),AVERAGE(Assumptions!$D$8,Assumptions!$F$8),(Assumptions!$F$8-Assumptions!$D$8)/3.29)*44</f>
        <v>1321322.6240011058</v>
      </c>
      <c r="H550" s="6">
        <f ca="1">_xlfn.NORM.INV(RAND(),AVERAGE(Assumptions!$D$9,Assumptions!$F$9),(Assumptions!$F$9-Assumptions!$D$9)/3.29)*21</f>
        <v>5527618.410759639</v>
      </c>
      <c r="I550" s="9">
        <f ca="1">_xlfn.NORM.INV(RAND(),AVERAGE(Assumptions!$D$10,Assumptions!$F$10),(Assumptions!$F$10-Assumptions!$D$10)/3.29)*21</f>
        <v>867182.16933529335</v>
      </c>
      <c r="J550" s="12">
        <f ca="1">NORMINV(RAND(),AVERAGE(Assumptions!$D$11,Assumptions!$F$11),(Assumptions!$F$11-Assumptions!$D$11)/3.29)*44</f>
        <v>4707510.7898040414</v>
      </c>
      <c r="K550" s="15">
        <f ca="1">_xlfn.NORM.INV(RAND(),AVERAGE(Assumptions!$D$12,Assumptions!$F$12),(Assumptions!$F$12-Assumptions!$D$12)/3.29)*44</f>
        <v>9982191.7977327127</v>
      </c>
      <c r="L550" s="3">
        <f ca="1">_xlfn.NORM.INV(RAND(),AVERAGE(Assumptions!$D$13,Assumptions!$F$13),(Assumptions!$F$13-Assumptions!$D$13)/3.29)*44</f>
        <v>11539656.917050574</v>
      </c>
      <c r="M550" s="6">
        <f ca="1">_xlfn.NORM.INV(RAND(),AVERAGE(Assumptions!$D$14,Assumptions!$F$14),(Assumptions!$F$14-Assumptions!$D$14)/3.29)*44</f>
        <v>7290096.5698074298</v>
      </c>
      <c r="N550" s="9">
        <f ca="1">_xlfn.NORM.INV(RAND(),AVERAGE(Assumptions!$D$16,Assumptions!$F$16),(Assumptions!$F$16-Assumptions!$D$16)/3.29)*44</f>
        <v>12109201.519649515</v>
      </c>
      <c r="O550" s="12">
        <f ca="1">_xlfn.NORM.INV(RAND(),AVERAGE(Assumptions!$D$15,Assumptions!$F$15),(Assumptions!$F$15-Assumptions!$D$15)/3.29)*44</f>
        <v>120216024.12724696</v>
      </c>
      <c r="P550" s="15">
        <f>Assumptions!$D$18</f>
        <v>14641750.345627395</v>
      </c>
      <c r="Q550" s="3">
        <f t="shared" ca="1" si="16"/>
        <v>49009046.859460726</v>
      </c>
      <c r="R550" s="6">
        <f t="shared" ca="1" si="17"/>
        <v>63650797.205088124</v>
      </c>
    </row>
    <row r="551" spans="1:18">
      <c r="A551" s="20">
        <v>550</v>
      </c>
      <c r="B551" s="3">
        <f ca="1">_xlfn.NORM.INV(RAND(),AVERAGE(Assumptions!$D$4,Assumptions!$F$4),(Assumptions!$F$4-Assumptions!$D$4)/3.29)*44</f>
        <v>1205713.4535865365</v>
      </c>
      <c r="C551" s="6">
        <f ca="1">_xlfn.NORM.INV(RAND(),AVERAGE(Assumptions!$D$5,Assumptions!$F$5),(Assumptions!$F$5-Assumptions!$D$5)/3.29)*44</f>
        <v>2148653.1005379548</v>
      </c>
      <c r="D551" s="9">
        <f ca="1">_xlfn.NORM.INV(RAND(),AVERAGE(Assumptions!$D$6,Assumptions!$F$6),(Assumptions!$F$6-Assumptions!$D$6)/3.29)*RANDBETWEEN(2,5)</f>
        <v>3412253.2474385612</v>
      </c>
      <c r="E551" s="12">
        <f ca="1">_xlfn.NORM.INV(RAND(),AVERAGE(Assumptions!$D$17,Assumptions!$F$17),(Assumptions!$F$17-Assumptions!$D$17)/3.29)*8</f>
        <v>915002.29574422003</v>
      </c>
      <c r="F551" s="15">
        <f ca="1">_xlfn.NORM.INV(RAND(),AVERAGE(Assumptions!$D$7,Assumptions!$F$7),(Assumptions!$F$7-Assumptions!$D$7)/3.29)*RANDBETWEEN(1,3)</f>
        <v>3019461.599617877</v>
      </c>
      <c r="G551" s="3">
        <f ca="1">_xlfn.NORM.INV(RAND(),AVERAGE(Assumptions!$D$8,Assumptions!$F$8),(Assumptions!$F$8-Assumptions!$D$8)/3.29)*44</f>
        <v>1269977.6258368969</v>
      </c>
      <c r="H551" s="6">
        <f ca="1">_xlfn.NORM.INV(RAND(),AVERAGE(Assumptions!$D$9,Assumptions!$F$9),(Assumptions!$F$9-Assumptions!$D$9)/3.29)*21</f>
        <v>3848318.5498380377</v>
      </c>
      <c r="I551" s="9">
        <f ca="1">_xlfn.NORM.INV(RAND(),AVERAGE(Assumptions!$D$10,Assumptions!$F$10),(Assumptions!$F$10-Assumptions!$D$10)/3.29)*21</f>
        <v>1183621.3299524644</v>
      </c>
      <c r="J551" s="12">
        <f ca="1">NORMINV(RAND(),AVERAGE(Assumptions!$D$11,Assumptions!$F$11),(Assumptions!$F$11-Assumptions!$D$11)/3.29)*44</f>
        <v>2823926.3662861888</v>
      </c>
      <c r="K551" s="15">
        <f ca="1">_xlfn.NORM.INV(RAND(),AVERAGE(Assumptions!$D$12,Assumptions!$F$12),(Assumptions!$F$12-Assumptions!$D$12)/3.29)*44</f>
        <v>6903587.803623585</v>
      </c>
      <c r="L551" s="3">
        <f ca="1">_xlfn.NORM.INV(RAND(),AVERAGE(Assumptions!$D$13,Assumptions!$F$13),(Assumptions!$F$13-Assumptions!$D$13)/3.29)*44</f>
        <v>13479677.885382524</v>
      </c>
      <c r="M551" s="6">
        <f ca="1">_xlfn.NORM.INV(RAND(),AVERAGE(Assumptions!$D$14,Assumptions!$F$14),(Assumptions!$F$14-Assumptions!$D$14)/3.29)*44</f>
        <v>6985117.9406785117</v>
      </c>
      <c r="N551" s="9">
        <f ca="1">_xlfn.NORM.INV(RAND(),AVERAGE(Assumptions!$D$16,Assumptions!$F$16),(Assumptions!$F$16-Assumptions!$D$16)/3.29)*44</f>
        <v>8716368.5565822553</v>
      </c>
      <c r="O551" s="12">
        <f ca="1">_xlfn.NORM.INV(RAND(),AVERAGE(Assumptions!$D$15,Assumptions!$F$15),(Assumptions!$F$15-Assumptions!$D$15)/3.29)*44</f>
        <v>57567730.460049435</v>
      </c>
      <c r="P551" s="15">
        <f>Assumptions!$D$18</f>
        <v>14641750.345627395</v>
      </c>
      <c r="Q551" s="3">
        <f t="shared" ca="1" si="16"/>
        <v>1656050.7049438134</v>
      </c>
      <c r="R551" s="6">
        <f t="shared" ca="1" si="17"/>
        <v>16297801.050571209</v>
      </c>
    </row>
    <row r="552" spans="1:18">
      <c r="A552" s="20">
        <v>551</v>
      </c>
      <c r="B552" s="3">
        <f ca="1">_xlfn.NORM.INV(RAND(),AVERAGE(Assumptions!$D$4,Assumptions!$F$4),(Assumptions!$F$4-Assumptions!$D$4)/3.29)*44</f>
        <v>1223919.1166522373</v>
      </c>
      <c r="C552" s="6">
        <f ca="1">_xlfn.NORM.INV(RAND(),AVERAGE(Assumptions!$D$5,Assumptions!$F$5),(Assumptions!$F$5-Assumptions!$D$5)/3.29)*44</f>
        <v>2081145.2624163916</v>
      </c>
      <c r="D552" s="9">
        <f ca="1">_xlfn.NORM.INV(RAND(),AVERAGE(Assumptions!$D$6,Assumptions!$F$6),(Assumptions!$F$6-Assumptions!$D$6)/3.29)*RANDBETWEEN(2,5)</f>
        <v>6223976.9193563564</v>
      </c>
      <c r="E552" s="12">
        <f ca="1">_xlfn.NORM.INV(RAND(),AVERAGE(Assumptions!$D$17,Assumptions!$F$17),(Assumptions!$F$17-Assumptions!$D$17)/3.29)*8</f>
        <v>857832.53709089314</v>
      </c>
      <c r="F552" s="15">
        <f ca="1">_xlfn.NORM.INV(RAND(),AVERAGE(Assumptions!$D$7,Assumptions!$F$7),(Assumptions!$F$7-Assumptions!$D$7)/3.29)*RANDBETWEEN(1,3)</f>
        <v>4137239.908058702</v>
      </c>
      <c r="G552" s="3">
        <f ca="1">_xlfn.NORM.INV(RAND(),AVERAGE(Assumptions!$D$8,Assumptions!$F$8),(Assumptions!$F$8-Assumptions!$D$8)/3.29)*44</f>
        <v>1074208.40372349</v>
      </c>
      <c r="H552" s="6">
        <f ca="1">_xlfn.NORM.INV(RAND(),AVERAGE(Assumptions!$D$9,Assumptions!$F$9),(Assumptions!$F$9-Assumptions!$D$9)/3.29)*21</f>
        <v>1541607.4387714793</v>
      </c>
      <c r="I552" s="9">
        <f ca="1">_xlfn.NORM.INV(RAND(),AVERAGE(Assumptions!$D$10,Assumptions!$F$10),(Assumptions!$F$10-Assumptions!$D$10)/3.29)*21</f>
        <v>776750.54822605872</v>
      </c>
      <c r="J552" s="12">
        <f ca="1">NORMINV(RAND(),AVERAGE(Assumptions!$D$11,Assumptions!$F$11),(Assumptions!$F$11-Assumptions!$D$11)/3.29)*44</f>
        <v>3906786.7496593245</v>
      </c>
      <c r="K552" s="15">
        <f ca="1">_xlfn.NORM.INV(RAND(),AVERAGE(Assumptions!$D$12,Assumptions!$F$12),(Assumptions!$F$12-Assumptions!$D$12)/3.29)*44</f>
        <v>6597161.7128386348</v>
      </c>
      <c r="L552" s="3">
        <f ca="1">_xlfn.NORM.INV(RAND(),AVERAGE(Assumptions!$D$13,Assumptions!$F$13),(Assumptions!$F$13-Assumptions!$D$13)/3.29)*44</f>
        <v>21144118.815605603</v>
      </c>
      <c r="M552" s="6">
        <f ca="1">_xlfn.NORM.INV(RAND(),AVERAGE(Assumptions!$D$14,Assumptions!$F$14),(Assumptions!$F$14-Assumptions!$D$14)/3.29)*44</f>
        <v>7280306.5089588035</v>
      </c>
      <c r="N552" s="9">
        <f ca="1">_xlfn.NORM.INV(RAND(),AVERAGE(Assumptions!$D$16,Assumptions!$F$16),(Assumptions!$F$16-Assumptions!$D$16)/3.29)*44</f>
        <v>13367878.121499775</v>
      </c>
      <c r="O552" s="12">
        <f ca="1">_xlfn.NORM.INV(RAND(),AVERAGE(Assumptions!$D$15,Assumptions!$F$15),(Assumptions!$F$15-Assumptions!$D$15)/3.29)*44</f>
        <v>181993699.56749296</v>
      </c>
      <c r="P552" s="15">
        <f>Assumptions!$D$18</f>
        <v>14641750.345627395</v>
      </c>
      <c r="Q552" s="3">
        <f t="shared" ca="1" si="16"/>
        <v>111780767.52463521</v>
      </c>
      <c r="R552" s="6">
        <f t="shared" ca="1" si="17"/>
        <v>126422517.87026261</v>
      </c>
    </row>
    <row r="553" spans="1:18">
      <c r="A553" s="20">
        <v>552</v>
      </c>
      <c r="B553" s="3">
        <f ca="1">_xlfn.NORM.INV(RAND(),AVERAGE(Assumptions!$D$4,Assumptions!$F$4),(Assumptions!$F$4-Assumptions!$D$4)/3.29)*44</f>
        <v>1339894.1619138562</v>
      </c>
      <c r="C553" s="6">
        <f ca="1">_xlfn.NORM.INV(RAND(),AVERAGE(Assumptions!$D$5,Assumptions!$F$5),(Assumptions!$F$5-Assumptions!$D$5)/3.29)*44</f>
        <v>2210142.8797845221</v>
      </c>
      <c r="D553" s="9">
        <f ca="1">_xlfn.NORM.INV(RAND(),AVERAGE(Assumptions!$D$6,Assumptions!$F$6),(Assumptions!$F$6-Assumptions!$D$6)/3.29)*RANDBETWEEN(2,5)</f>
        <v>2592466.0457619485</v>
      </c>
      <c r="E553" s="12">
        <f ca="1">_xlfn.NORM.INV(RAND(),AVERAGE(Assumptions!$D$17,Assumptions!$F$17),(Assumptions!$F$17-Assumptions!$D$17)/3.29)*8</f>
        <v>930767.55236017529</v>
      </c>
      <c r="F553" s="15">
        <f ca="1">_xlfn.NORM.INV(RAND(),AVERAGE(Assumptions!$D$7,Assumptions!$F$7),(Assumptions!$F$7-Assumptions!$D$7)/3.29)*RANDBETWEEN(1,3)</f>
        <v>6142063.805259686</v>
      </c>
      <c r="G553" s="3">
        <f ca="1">_xlfn.NORM.INV(RAND(),AVERAGE(Assumptions!$D$8,Assumptions!$F$8),(Assumptions!$F$8-Assumptions!$D$8)/3.29)*44</f>
        <v>1074332.5764869277</v>
      </c>
      <c r="H553" s="6">
        <f ca="1">_xlfn.NORM.INV(RAND(),AVERAGE(Assumptions!$D$9,Assumptions!$F$9),(Assumptions!$F$9-Assumptions!$D$9)/3.29)*21</f>
        <v>5437234.6556262178</v>
      </c>
      <c r="I553" s="9">
        <f ca="1">_xlfn.NORM.INV(RAND(),AVERAGE(Assumptions!$D$10,Assumptions!$F$10),(Assumptions!$F$10-Assumptions!$D$10)/3.29)*21</f>
        <v>620028.34471934114</v>
      </c>
      <c r="J553" s="12">
        <f ca="1">NORMINV(RAND(),AVERAGE(Assumptions!$D$11,Assumptions!$F$11),(Assumptions!$F$11-Assumptions!$D$11)/3.29)*44</f>
        <v>3908846.4124455396</v>
      </c>
      <c r="K553" s="15">
        <f ca="1">_xlfn.NORM.INV(RAND(),AVERAGE(Assumptions!$D$12,Assumptions!$F$12),(Assumptions!$F$12-Assumptions!$D$12)/3.29)*44</f>
        <v>7418570.2058718679</v>
      </c>
      <c r="L553" s="3">
        <f ca="1">_xlfn.NORM.INV(RAND(),AVERAGE(Assumptions!$D$13,Assumptions!$F$13),(Assumptions!$F$13-Assumptions!$D$13)/3.29)*44</f>
        <v>11165825.891405899</v>
      </c>
      <c r="M553" s="6">
        <f ca="1">_xlfn.NORM.INV(RAND(),AVERAGE(Assumptions!$D$14,Assumptions!$F$14),(Assumptions!$F$14-Assumptions!$D$14)/3.29)*44</f>
        <v>4497829.2111602696</v>
      </c>
      <c r="N553" s="9">
        <f ca="1">_xlfn.NORM.INV(RAND(),AVERAGE(Assumptions!$D$16,Assumptions!$F$16),(Assumptions!$F$16-Assumptions!$D$16)/3.29)*44</f>
        <v>9831702.7184667736</v>
      </c>
      <c r="O553" s="12">
        <f ca="1">_xlfn.NORM.INV(RAND(),AVERAGE(Assumptions!$D$15,Assumptions!$F$15),(Assumptions!$F$15-Assumptions!$D$15)/3.29)*44</f>
        <v>17985222.068991713</v>
      </c>
      <c r="P553" s="15">
        <f>Assumptions!$D$18</f>
        <v>14641750.345627395</v>
      </c>
      <c r="Q553" s="3">
        <f t="shared" ca="1" si="16"/>
        <v>-39184482.392271318</v>
      </c>
      <c r="R553" s="6">
        <f t="shared" ca="1" si="17"/>
        <v>-24542732.04664392</v>
      </c>
    </row>
    <row r="554" spans="1:18">
      <c r="A554" s="20">
        <v>553</v>
      </c>
      <c r="B554" s="3">
        <f ca="1">_xlfn.NORM.INV(RAND(),AVERAGE(Assumptions!$D$4,Assumptions!$F$4),(Assumptions!$F$4-Assumptions!$D$4)/3.29)*44</f>
        <v>1174711.0851675461</v>
      </c>
      <c r="C554" s="6">
        <f ca="1">_xlfn.NORM.INV(RAND(),AVERAGE(Assumptions!$D$5,Assumptions!$F$5),(Assumptions!$F$5-Assumptions!$D$5)/3.29)*44</f>
        <v>2413348.7785430565</v>
      </c>
      <c r="D554" s="9">
        <f ca="1">_xlfn.NORM.INV(RAND(),AVERAGE(Assumptions!$D$6,Assumptions!$F$6),(Assumptions!$F$6-Assumptions!$D$6)/3.29)*RANDBETWEEN(2,5)</f>
        <v>3765639.5595624307</v>
      </c>
      <c r="E554" s="12">
        <f ca="1">_xlfn.NORM.INV(RAND(),AVERAGE(Assumptions!$D$17,Assumptions!$F$17),(Assumptions!$F$17-Assumptions!$D$17)/3.29)*8</f>
        <v>1206141.0693882958</v>
      </c>
      <c r="F554" s="15">
        <f ca="1">_xlfn.NORM.INV(RAND(),AVERAGE(Assumptions!$D$7,Assumptions!$F$7),(Assumptions!$F$7-Assumptions!$D$7)/3.29)*RANDBETWEEN(1,3)</f>
        <v>6121142.2436243128</v>
      </c>
      <c r="G554" s="3">
        <f ca="1">_xlfn.NORM.INV(RAND(),AVERAGE(Assumptions!$D$8,Assumptions!$F$8),(Assumptions!$F$8-Assumptions!$D$8)/3.29)*44</f>
        <v>1235935.1500755113</v>
      </c>
      <c r="H554" s="6">
        <f ca="1">_xlfn.NORM.INV(RAND(),AVERAGE(Assumptions!$D$9,Assumptions!$F$9),(Assumptions!$F$9-Assumptions!$D$9)/3.29)*21</f>
        <v>4237493.4431757396</v>
      </c>
      <c r="I554" s="9">
        <f ca="1">_xlfn.NORM.INV(RAND(),AVERAGE(Assumptions!$D$10,Assumptions!$F$10),(Assumptions!$F$10-Assumptions!$D$10)/3.29)*21</f>
        <v>922352.03835349041</v>
      </c>
      <c r="J554" s="12">
        <f ca="1">NORMINV(RAND(),AVERAGE(Assumptions!$D$11,Assumptions!$F$11),(Assumptions!$F$11-Assumptions!$D$11)/3.29)*44</f>
        <v>4427443.9477037936</v>
      </c>
      <c r="K554" s="15">
        <f ca="1">_xlfn.NORM.INV(RAND(),AVERAGE(Assumptions!$D$12,Assumptions!$F$12),(Assumptions!$F$12-Assumptions!$D$12)/3.29)*44</f>
        <v>10120596.661550347</v>
      </c>
      <c r="L554" s="3">
        <f ca="1">_xlfn.NORM.INV(RAND(),AVERAGE(Assumptions!$D$13,Assumptions!$F$13),(Assumptions!$F$13-Assumptions!$D$13)/3.29)*44</f>
        <v>6076966.5956026549</v>
      </c>
      <c r="M554" s="6">
        <f ca="1">_xlfn.NORM.INV(RAND(),AVERAGE(Assumptions!$D$14,Assumptions!$F$14),(Assumptions!$F$14-Assumptions!$D$14)/3.29)*44</f>
        <v>7599805.5001978539</v>
      </c>
      <c r="N554" s="9">
        <f ca="1">_xlfn.NORM.INV(RAND(),AVERAGE(Assumptions!$D$16,Assumptions!$F$16),(Assumptions!$F$16-Assumptions!$D$16)/3.29)*44</f>
        <v>18941328.63192014</v>
      </c>
      <c r="O554" s="12">
        <f ca="1">_xlfn.NORM.INV(RAND(),AVERAGE(Assumptions!$D$15,Assumptions!$F$15),(Assumptions!$F$15-Assumptions!$D$15)/3.29)*44</f>
        <v>120751938.40432723</v>
      </c>
      <c r="P554" s="15">
        <f>Assumptions!$D$18</f>
        <v>14641750.345627395</v>
      </c>
      <c r="Q554" s="3">
        <f t="shared" ca="1" si="16"/>
        <v>52509033.699462056</v>
      </c>
      <c r="R554" s="6">
        <f t="shared" ca="1" si="17"/>
        <v>67150784.045089453</v>
      </c>
    </row>
    <row r="555" spans="1:18">
      <c r="A555" s="20">
        <v>554</v>
      </c>
      <c r="B555" s="3">
        <f ca="1">_xlfn.NORM.INV(RAND(),AVERAGE(Assumptions!$D$4,Assumptions!$F$4),(Assumptions!$F$4-Assumptions!$D$4)/3.29)*44</f>
        <v>1327533.3646943511</v>
      </c>
      <c r="C555" s="6">
        <f ca="1">_xlfn.NORM.INV(RAND(),AVERAGE(Assumptions!$D$5,Assumptions!$F$5),(Assumptions!$F$5-Assumptions!$D$5)/3.29)*44</f>
        <v>1831284.7184526222</v>
      </c>
      <c r="D555" s="9">
        <f ca="1">_xlfn.NORM.INV(RAND(),AVERAGE(Assumptions!$D$6,Assumptions!$F$6),(Assumptions!$F$6-Assumptions!$D$6)/3.29)*RANDBETWEEN(2,5)</f>
        <v>2707315.0038495334</v>
      </c>
      <c r="E555" s="12">
        <f ca="1">_xlfn.NORM.INV(RAND(),AVERAGE(Assumptions!$D$17,Assumptions!$F$17),(Assumptions!$F$17-Assumptions!$D$17)/3.29)*8</f>
        <v>989902.45463611849</v>
      </c>
      <c r="F555" s="15">
        <f ca="1">_xlfn.NORM.INV(RAND(),AVERAGE(Assumptions!$D$7,Assumptions!$F$7),(Assumptions!$F$7-Assumptions!$D$7)/3.29)*RANDBETWEEN(1,3)</f>
        <v>2710794.6905456386</v>
      </c>
      <c r="G555" s="3">
        <f ca="1">_xlfn.NORM.INV(RAND(),AVERAGE(Assumptions!$D$8,Assumptions!$F$8),(Assumptions!$F$8-Assumptions!$D$8)/3.29)*44</f>
        <v>1183596.8330749334</v>
      </c>
      <c r="H555" s="6">
        <f ca="1">_xlfn.NORM.INV(RAND(),AVERAGE(Assumptions!$D$9,Assumptions!$F$9),(Assumptions!$F$9-Assumptions!$D$9)/3.29)*21</f>
        <v>3705497.6151837045</v>
      </c>
      <c r="I555" s="9">
        <f ca="1">_xlfn.NORM.INV(RAND(),AVERAGE(Assumptions!$D$10,Assumptions!$F$10),(Assumptions!$F$10-Assumptions!$D$10)/3.29)*21</f>
        <v>807203.80098406645</v>
      </c>
      <c r="J555" s="12">
        <f ca="1">NORMINV(RAND(),AVERAGE(Assumptions!$D$11,Assumptions!$F$11),(Assumptions!$F$11-Assumptions!$D$11)/3.29)*44</f>
        <v>2186075.9929994852</v>
      </c>
      <c r="K555" s="15">
        <f ca="1">_xlfn.NORM.INV(RAND(),AVERAGE(Assumptions!$D$12,Assumptions!$F$12),(Assumptions!$F$12-Assumptions!$D$12)/3.29)*44</f>
        <v>8777215.1851524115</v>
      </c>
      <c r="L555" s="3">
        <f ca="1">_xlfn.NORM.INV(RAND(),AVERAGE(Assumptions!$D$13,Assumptions!$F$13),(Assumptions!$F$13-Assumptions!$D$13)/3.29)*44</f>
        <v>12516902.884222059</v>
      </c>
      <c r="M555" s="6">
        <f ca="1">_xlfn.NORM.INV(RAND(),AVERAGE(Assumptions!$D$14,Assumptions!$F$14),(Assumptions!$F$14-Assumptions!$D$14)/3.29)*44</f>
        <v>6391609.6338034049</v>
      </c>
      <c r="N555" s="9">
        <f ca="1">_xlfn.NORM.INV(RAND(),AVERAGE(Assumptions!$D$16,Assumptions!$F$16),(Assumptions!$F$16-Assumptions!$D$16)/3.29)*44</f>
        <v>13220984.938767049</v>
      </c>
      <c r="O555" s="12">
        <f ca="1">_xlfn.NORM.INV(RAND(),AVERAGE(Assumptions!$D$15,Assumptions!$F$15),(Assumptions!$F$15-Assumptions!$D$15)/3.29)*44</f>
        <v>164414846.9437508</v>
      </c>
      <c r="P555" s="15">
        <f>Assumptions!$D$18</f>
        <v>14641750.345627395</v>
      </c>
      <c r="Q555" s="3">
        <f t="shared" ca="1" si="16"/>
        <v>106058929.82738543</v>
      </c>
      <c r="R555" s="6">
        <f t="shared" ca="1" si="17"/>
        <v>120700680.17301282</v>
      </c>
    </row>
    <row r="556" spans="1:18">
      <c r="A556" s="20">
        <v>555</v>
      </c>
      <c r="B556" s="3">
        <f ca="1">_xlfn.NORM.INV(RAND(),AVERAGE(Assumptions!$D$4,Assumptions!$F$4),(Assumptions!$F$4-Assumptions!$D$4)/3.29)*44</f>
        <v>1258480.1403299691</v>
      </c>
      <c r="C556" s="6">
        <f ca="1">_xlfn.NORM.INV(RAND(),AVERAGE(Assumptions!$D$5,Assumptions!$F$5),(Assumptions!$F$5-Assumptions!$D$5)/3.29)*44</f>
        <v>2052719.6023459714</v>
      </c>
      <c r="D556" s="9">
        <f ca="1">_xlfn.NORM.INV(RAND(),AVERAGE(Assumptions!$D$6,Assumptions!$F$6),(Assumptions!$F$6-Assumptions!$D$6)/3.29)*RANDBETWEEN(2,5)</f>
        <v>1421343.3324304142</v>
      </c>
      <c r="E556" s="12">
        <f ca="1">_xlfn.NORM.INV(RAND(),AVERAGE(Assumptions!$D$17,Assumptions!$F$17),(Assumptions!$F$17-Assumptions!$D$17)/3.29)*8</f>
        <v>833963.32842192752</v>
      </c>
      <c r="F556" s="15">
        <f ca="1">_xlfn.NORM.INV(RAND(),AVERAGE(Assumptions!$D$7,Assumptions!$F$7),(Assumptions!$F$7-Assumptions!$D$7)/3.29)*RANDBETWEEN(1,3)</f>
        <v>6711409.0773323653</v>
      </c>
      <c r="G556" s="3">
        <f ca="1">_xlfn.NORM.INV(RAND(),AVERAGE(Assumptions!$D$8,Assumptions!$F$8),(Assumptions!$F$8-Assumptions!$D$8)/3.29)*44</f>
        <v>988736.68732843152</v>
      </c>
      <c r="H556" s="6">
        <f ca="1">_xlfn.NORM.INV(RAND(),AVERAGE(Assumptions!$D$9,Assumptions!$F$9),(Assumptions!$F$9-Assumptions!$D$9)/3.29)*21</f>
        <v>3757161.8657046608</v>
      </c>
      <c r="I556" s="9">
        <f ca="1">_xlfn.NORM.INV(RAND(),AVERAGE(Assumptions!$D$10,Assumptions!$F$10),(Assumptions!$F$10-Assumptions!$D$10)/3.29)*21</f>
        <v>1247319.0330803588</v>
      </c>
      <c r="J556" s="12">
        <f ca="1">NORMINV(RAND(),AVERAGE(Assumptions!$D$11,Assumptions!$F$11),(Assumptions!$F$11-Assumptions!$D$11)/3.29)*44</f>
        <v>3856113.1749142259</v>
      </c>
      <c r="K556" s="15">
        <f ca="1">_xlfn.NORM.INV(RAND(),AVERAGE(Assumptions!$D$12,Assumptions!$F$12),(Assumptions!$F$12-Assumptions!$D$12)/3.29)*44</f>
        <v>7642778.3575270502</v>
      </c>
      <c r="L556" s="3">
        <f ca="1">_xlfn.NORM.INV(RAND(),AVERAGE(Assumptions!$D$13,Assumptions!$F$13),(Assumptions!$F$13-Assumptions!$D$13)/3.29)*44</f>
        <v>11381670.076781346</v>
      </c>
      <c r="M556" s="6">
        <f ca="1">_xlfn.NORM.INV(RAND(),AVERAGE(Assumptions!$D$14,Assumptions!$F$14),(Assumptions!$F$14-Assumptions!$D$14)/3.29)*44</f>
        <v>7947289.1641709525</v>
      </c>
      <c r="N556" s="9">
        <f ca="1">_xlfn.NORM.INV(RAND(),AVERAGE(Assumptions!$D$16,Assumptions!$F$16),(Assumptions!$F$16-Assumptions!$D$16)/3.29)*44</f>
        <v>10216060.605779007</v>
      </c>
      <c r="O556" s="12">
        <f ca="1">_xlfn.NORM.INV(RAND(),AVERAGE(Assumptions!$D$15,Assumptions!$F$15),(Assumptions!$F$15-Assumptions!$D$15)/3.29)*44</f>
        <v>123135786.14002402</v>
      </c>
      <c r="P556" s="15">
        <f>Assumptions!$D$18</f>
        <v>14641750.345627395</v>
      </c>
      <c r="Q556" s="3">
        <f t="shared" ca="1" si="16"/>
        <v>63820741.693877339</v>
      </c>
      <c r="R556" s="6">
        <f t="shared" ca="1" si="17"/>
        <v>78462492.039504737</v>
      </c>
    </row>
    <row r="557" spans="1:18">
      <c r="A557" s="20">
        <v>556</v>
      </c>
      <c r="B557" s="3">
        <f ca="1">_xlfn.NORM.INV(RAND(),AVERAGE(Assumptions!$D$4,Assumptions!$F$4),(Assumptions!$F$4-Assumptions!$D$4)/3.29)*44</f>
        <v>1031331.1519339476</v>
      </c>
      <c r="C557" s="6">
        <f ca="1">_xlfn.NORM.INV(RAND(),AVERAGE(Assumptions!$D$5,Assumptions!$F$5),(Assumptions!$F$5-Assumptions!$D$5)/3.29)*44</f>
        <v>1617807.0698417113</v>
      </c>
      <c r="D557" s="9">
        <f ca="1">_xlfn.NORM.INV(RAND(),AVERAGE(Assumptions!$D$6,Assumptions!$F$6),(Assumptions!$F$6-Assumptions!$D$6)/3.29)*RANDBETWEEN(2,5)</f>
        <v>8255069.9311698275</v>
      </c>
      <c r="E557" s="12">
        <f ca="1">_xlfn.NORM.INV(RAND(),AVERAGE(Assumptions!$D$17,Assumptions!$F$17),(Assumptions!$F$17-Assumptions!$D$17)/3.29)*8</f>
        <v>1001027.3053773429</v>
      </c>
      <c r="F557" s="15">
        <f ca="1">_xlfn.NORM.INV(RAND(),AVERAGE(Assumptions!$D$7,Assumptions!$F$7),(Assumptions!$F$7-Assumptions!$D$7)/3.29)*RANDBETWEEN(1,3)</f>
        <v>3521435.0808159625</v>
      </c>
      <c r="G557" s="3">
        <f ca="1">_xlfn.NORM.INV(RAND(),AVERAGE(Assumptions!$D$8,Assumptions!$F$8),(Assumptions!$F$8-Assumptions!$D$8)/3.29)*44</f>
        <v>1641762.6298828553</v>
      </c>
      <c r="H557" s="6">
        <f ca="1">_xlfn.NORM.INV(RAND(),AVERAGE(Assumptions!$D$9,Assumptions!$F$9),(Assumptions!$F$9-Assumptions!$D$9)/3.29)*21</f>
        <v>6703664.4936092887</v>
      </c>
      <c r="I557" s="9">
        <f ca="1">_xlfn.NORM.INV(RAND(),AVERAGE(Assumptions!$D$10,Assumptions!$F$10),(Assumptions!$F$10-Assumptions!$D$10)/3.29)*21</f>
        <v>855608.98179723427</v>
      </c>
      <c r="J557" s="12">
        <f ca="1">NORMINV(RAND(),AVERAGE(Assumptions!$D$11,Assumptions!$F$11),(Assumptions!$F$11-Assumptions!$D$11)/3.29)*44</f>
        <v>3958905.8243777626</v>
      </c>
      <c r="K557" s="15">
        <f ca="1">_xlfn.NORM.INV(RAND(),AVERAGE(Assumptions!$D$12,Assumptions!$F$12),(Assumptions!$F$12-Assumptions!$D$12)/3.29)*44</f>
        <v>6242564.3449191228</v>
      </c>
      <c r="L557" s="3">
        <f ca="1">_xlfn.NORM.INV(RAND(),AVERAGE(Assumptions!$D$13,Assumptions!$F$13),(Assumptions!$F$13-Assumptions!$D$13)/3.29)*44</f>
        <v>16382605.568651371</v>
      </c>
      <c r="M557" s="6">
        <f ca="1">_xlfn.NORM.INV(RAND(),AVERAGE(Assumptions!$D$14,Assumptions!$F$14),(Assumptions!$F$14-Assumptions!$D$14)/3.29)*44</f>
        <v>5235287.3084488679</v>
      </c>
      <c r="N557" s="9">
        <f ca="1">_xlfn.NORM.INV(RAND(),AVERAGE(Assumptions!$D$16,Assumptions!$F$16),(Assumptions!$F$16-Assumptions!$D$16)/3.29)*44</f>
        <v>10182660.326243045</v>
      </c>
      <c r="O557" s="12">
        <f ca="1">_xlfn.NORM.INV(RAND(),AVERAGE(Assumptions!$D$15,Assumptions!$F$15),(Assumptions!$F$15-Assumptions!$D$15)/3.29)*44</f>
        <v>158168912.430857</v>
      </c>
      <c r="P557" s="15">
        <f>Assumptions!$D$18</f>
        <v>14641750.345627395</v>
      </c>
      <c r="Q557" s="3">
        <f t="shared" ca="1" si="16"/>
        <v>91539182.413788676</v>
      </c>
      <c r="R557" s="6">
        <f t="shared" ca="1" si="17"/>
        <v>106180932.75941607</v>
      </c>
    </row>
    <row r="558" spans="1:18">
      <c r="A558" s="20">
        <v>557</v>
      </c>
      <c r="B558" s="3">
        <f ca="1">_xlfn.NORM.INV(RAND(),AVERAGE(Assumptions!$D$4,Assumptions!$F$4),(Assumptions!$F$4-Assumptions!$D$4)/3.29)*44</f>
        <v>1256330.852101071</v>
      </c>
      <c r="C558" s="6">
        <f ca="1">_xlfn.NORM.INV(RAND(),AVERAGE(Assumptions!$D$5,Assumptions!$F$5),(Assumptions!$F$5-Assumptions!$D$5)/3.29)*44</f>
        <v>1756296.2577377921</v>
      </c>
      <c r="D558" s="9">
        <f ca="1">_xlfn.NORM.INV(RAND(),AVERAGE(Assumptions!$D$6,Assumptions!$F$6),(Assumptions!$F$6-Assumptions!$D$6)/3.29)*RANDBETWEEN(2,5)</f>
        <v>1333773.6346333995</v>
      </c>
      <c r="E558" s="12">
        <f ca="1">_xlfn.NORM.INV(RAND(),AVERAGE(Assumptions!$D$17,Assumptions!$F$17),(Assumptions!$F$17-Assumptions!$D$17)/3.29)*8</f>
        <v>1027466.944058543</v>
      </c>
      <c r="F558" s="15">
        <f ca="1">_xlfn.NORM.INV(RAND(),AVERAGE(Assumptions!$D$7,Assumptions!$F$7),(Assumptions!$F$7-Assumptions!$D$7)/3.29)*RANDBETWEEN(1,3)</f>
        <v>2548614.8714840896</v>
      </c>
      <c r="G558" s="3">
        <f ca="1">_xlfn.NORM.INV(RAND(),AVERAGE(Assumptions!$D$8,Assumptions!$F$8),(Assumptions!$F$8-Assumptions!$D$8)/3.29)*44</f>
        <v>941216.58530161111</v>
      </c>
      <c r="H558" s="6">
        <f ca="1">_xlfn.NORM.INV(RAND(),AVERAGE(Assumptions!$D$9,Assumptions!$F$9),(Assumptions!$F$9-Assumptions!$D$9)/3.29)*21</f>
        <v>3622890.3494324232</v>
      </c>
      <c r="I558" s="9">
        <f ca="1">_xlfn.NORM.INV(RAND(),AVERAGE(Assumptions!$D$10,Assumptions!$F$10),(Assumptions!$F$10-Assumptions!$D$10)/3.29)*21</f>
        <v>677919.72360078339</v>
      </c>
      <c r="J558" s="12">
        <f ca="1">NORMINV(RAND(),AVERAGE(Assumptions!$D$11,Assumptions!$F$11),(Assumptions!$F$11-Assumptions!$D$11)/3.29)*44</f>
        <v>2124713.7478625719</v>
      </c>
      <c r="K558" s="15">
        <f ca="1">_xlfn.NORM.INV(RAND(),AVERAGE(Assumptions!$D$12,Assumptions!$F$12),(Assumptions!$F$12-Assumptions!$D$12)/3.29)*44</f>
        <v>8441582.447343953</v>
      </c>
      <c r="L558" s="3">
        <f ca="1">_xlfn.NORM.INV(RAND(),AVERAGE(Assumptions!$D$13,Assumptions!$F$13),(Assumptions!$F$13-Assumptions!$D$13)/3.29)*44</f>
        <v>21901256.215351373</v>
      </c>
      <c r="M558" s="6">
        <f ca="1">_xlfn.NORM.INV(RAND(),AVERAGE(Assumptions!$D$14,Assumptions!$F$14),(Assumptions!$F$14-Assumptions!$D$14)/3.29)*44</f>
        <v>6176565.7071684031</v>
      </c>
      <c r="N558" s="9">
        <f ca="1">_xlfn.NORM.INV(RAND(),AVERAGE(Assumptions!$D$16,Assumptions!$F$16),(Assumptions!$F$16-Assumptions!$D$16)/3.29)*44</f>
        <v>4402431.759366475</v>
      </c>
      <c r="O558" s="12">
        <f ca="1">_xlfn.NORM.INV(RAND(),AVERAGE(Assumptions!$D$15,Assumptions!$F$15),(Assumptions!$F$15-Assumptions!$D$15)/3.29)*44</f>
        <v>77022503.279616639</v>
      </c>
      <c r="P558" s="15">
        <f>Assumptions!$D$18</f>
        <v>14641750.345627395</v>
      </c>
      <c r="Q558" s="3">
        <f t="shared" ca="1" si="16"/>
        <v>20811444.18417415</v>
      </c>
      <c r="R558" s="6">
        <f t="shared" ca="1" si="17"/>
        <v>35453194.529801548</v>
      </c>
    </row>
    <row r="559" spans="1:18">
      <c r="A559" s="20">
        <v>558</v>
      </c>
      <c r="B559" s="3">
        <f ca="1">_xlfn.NORM.INV(RAND(),AVERAGE(Assumptions!$D$4,Assumptions!$F$4),(Assumptions!$F$4-Assumptions!$D$4)/3.29)*44</f>
        <v>1320845.3896690535</v>
      </c>
      <c r="C559" s="6">
        <f ca="1">_xlfn.NORM.INV(RAND(),AVERAGE(Assumptions!$D$5,Assumptions!$F$5),(Assumptions!$F$5-Assumptions!$D$5)/3.29)*44</f>
        <v>1965782.1874527647</v>
      </c>
      <c r="D559" s="9">
        <f ca="1">_xlfn.NORM.INV(RAND(),AVERAGE(Assumptions!$D$6,Assumptions!$F$6),(Assumptions!$F$6-Assumptions!$D$6)/3.29)*RANDBETWEEN(2,5)</f>
        <v>5368628.8807385005</v>
      </c>
      <c r="E559" s="12">
        <f ca="1">_xlfn.NORM.INV(RAND(),AVERAGE(Assumptions!$D$17,Assumptions!$F$17),(Assumptions!$F$17-Assumptions!$D$17)/3.29)*8</f>
        <v>1010659.4849615626</v>
      </c>
      <c r="F559" s="15">
        <f ca="1">_xlfn.NORM.INV(RAND(),AVERAGE(Assumptions!$D$7,Assumptions!$F$7),(Assumptions!$F$7-Assumptions!$D$7)/3.29)*RANDBETWEEN(1,3)</f>
        <v>6601174.3841808308</v>
      </c>
      <c r="G559" s="3">
        <f ca="1">_xlfn.NORM.INV(RAND(),AVERAGE(Assumptions!$D$8,Assumptions!$F$8),(Assumptions!$F$8-Assumptions!$D$8)/3.29)*44</f>
        <v>1367074.8016255817</v>
      </c>
      <c r="H559" s="6">
        <f ca="1">_xlfn.NORM.INV(RAND(),AVERAGE(Assumptions!$D$9,Assumptions!$F$9),(Assumptions!$F$9-Assumptions!$D$9)/3.29)*21</f>
        <v>2989819.7787278239</v>
      </c>
      <c r="I559" s="9">
        <f ca="1">_xlfn.NORM.INV(RAND(),AVERAGE(Assumptions!$D$10,Assumptions!$F$10),(Assumptions!$F$10-Assumptions!$D$10)/3.29)*21</f>
        <v>1175437.9715254975</v>
      </c>
      <c r="J559" s="12">
        <f ca="1">NORMINV(RAND(),AVERAGE(Assumptions!$D$11,Assumptions!$F$11),(Assumptions!$F$11-Assumptions!$D$11)/3.29)*44</f>
        <v>5248964.1481594248</v>
      </c>
      <c r="K559" s="15">
        <f ca="1">_xlfn.NORM.INV(RAND(),AVERAGE(Assumptions!$D$12,Assumptions!$F$12),(Assumptions!$F$12-Assumptions!$D$12)/3.29)*44</f>
        <v>7876408.7470228868</v>
      </c>
      <c r="L559" s="3">
        <f ca="1">_xlfn.NORM.INV(RAND(),AVERAGE(Assumptions!$D$13,Assumptions!$F$13),(Assumptions!$F$13-Assumptions!$D$13)/3.29)*44</f>
        <v>12702460.429956194</v>
      </c>
      <c r="M559" s="6">
        <f ca="1">_xlfn.NORM.INV(RAND(),AVERAGE(Assumptions!$D$14,Assumptions!$F$14),(Assumptions!$F$14-Assumptions!$D$14)/3.29)*44</f>
        <v>4742258.4503735788</v>
      </c>
      <c r="N559" s="9">
        <f ca="1">_xlfn.NORM.INV(RAND(),AVERAGE(Assumptions!$D$16,Assumptions!$F$16),(Assumptions!$F$16-Assumptions!$D$16)/3.29)*44</f>
        <v>9539467.3441612907</v>
      </c>
      <c r="O559" s="12">
        <f ca="1">_xlfn.NORM.INV(RAND(),AVERAGE(Assumptions!$D$15,Assumptions!$F$15),(Assumptions!$F$15-Assumptions!$D$15)/3.29)*44</f>
        <v>86663636.927282453</v>
      </c>
      <c r="P559" s="15">
        <f>Assumptions!$D$18</f>
        <v>14641750.345627395</v>
      </c>
      <c r="Q559" s="3">
        <f t="shared" ca="1" si="16"/>
        <v>24754654.92872747</v>
      </c>
      <c r="R559" s="6">
        <f t="shared" ca="1" si="17"/>
        <v>39396405.274354868</v>
      </c>
    </row>
    <row r="560" spans="1:18">
      <c r="A560" s="20">
        <v>559</v>
      </c>
      <c r="B560" s="3">
        <f ca="1">_xlfn.NORM.INV(RAND(),AVERAGE(Assumptions!$D$4,Assumptions!$F$4),(Assumptions!$F$4-Assumptions!$D$4)/3.29)*44</f>
        <v>1098964.6015165641</v>
      </c>
      <c r="C560" s="6">
        <f ca="1">_xlfn.NORM.INV(RAND(),AVERAGE(Assumptions!$D$5,Assumptions!$F$5),(Assumptions!$F$5-Assumptions!$D$5)/3.29)*44</f>
        <v>2117649.2929076166</v>
      </c>
      <c r="D560" s="9">
        <f ca="1">_xlfn.NORM.INV(RAND(),AVERAGE(Assumptions!$D$6,Assumptions!$F$6),(Assumptions!$F$6-Assumptions!$D$6)/3.29)*RANDBETWEEN(2,5)</f>
        <v>2964031.8887778129</v>
      </c>
      <c r="E560" s="12">
        <f ca="1">_xlfn.NORM.INV(RAND(),AVERAGE(Assumptions!$D$17,Assumptions!$F$17),(Assumptions!$F$17-Assumptions!$D$17)/3.29)*8</f>
        <v>1003859.2819773358</v>
      </c>
      <c r="F560" s="15">
        <f ca="1">_xlfn.NORM.INV(RAND(),AVERAGE(Assumptions!$D$7,Assumptions!$F$7),(Assumptions!$F$7-Assumptions!$D$7)/3.29)*RANDBETWEEN(1,3)</f>
        <v>9489349.444410149</v>
      </c>
      <c r="G560" s="3">
        <f ca="1">_xlfn.NORM.INV(RAND(),AVERAGE(Assumptions!$D$8,Assumptions!$F$8),(Assumptions!$F$8-Assumptions!$D$8)/3.29)*44</f>
        <v>1294056.8932031107</v>
      </c>
      <c r="H560" s="6">
        <f ca="1">_xlfn.NORM.INV(RAND(),AVERAGE(Assumptions!$D$9,Assumptions!$F$9),(Assumptions!$F$9-Assumptions!$D$9)/3.29)*21</f>
        <v>3965426.6519281194</v>
      </c>
      <c r="I560" s="9">
        <f ca="1">_xlfn.NORM.INV(RAND(),AVERAGE(Assumptions!$D$10,Assumptions!$F$10),(Assumptions!$F$10-Assumptions!$D$10)/3.29)*21</f>
        <v>555717.09642819571</v>
      </c>
      <c r="J560" s="12">
        <f ca="1">NORMINV(RAND(),AVERAGE(Assumptions!$D$11,Assumptions!$F$11),(Assumptions!$F$11-Assumptions!$D$11)/3.29)*44</f>
        <v>3909165.363368229</v>
      </c>
      <c r="K560" s="15">
        <f ca="1">_xlfn.NORM.INV(RAND(),AVERAGE(Assumptions!$D$12,Assumptions!$F$12),(Assumptions!$F$12-Assumptions!$D$12)/3.29)*44</f>
        <v>8603781.9225960728</v>
      </c>
      <c r="L560" s="3">
        <f ca="1">_xlfn.NORM.INV(RAND(),AVERAGE(Assumptions!$D$13,Assumptions!$F$13),(Assumptions!$F$13-Assumptions!$D$13)/3.29)*44</f>
        <v>19607521.269898575</v>
      </c>
      <c r="M560" s="6">
        <f ca="1">_xlfn.NORM.INV(RAND(),AVERAGE(Assumptions!$D$14,Assumptions!$F$14),(Assumptions!$F$14-Assumptions!$D$14)/3.29)*44</f>
        <v>5458258.5038052993</v>
      </c>
      <c r="N560" s="9">
        <f ca="1">_xlfn.NORM.INV(RAND(),AVERAGE(Assumptions!$D$16,Assumptions!$F$16),(Assumptions!$F$16-Assumptions!$D$16)/3.29)*44</f>
        <v>7640044.1188761359</v>
      </c>
      <c r="O560" s="12">
        <f ca="1">_xlfn.NORM.INV(RAND(),AVERAGE(Assumptions!$D$15,Assumptions!$F$15),(Assumptions!$F$15-Assumptions!$D$15)/3.29)*44</f>
        <v>95703385.943344057</v>
      </c>
      <c r="P560" s="15">
        <f>Assumptions!$D$18</f>
        <v>14641750.345627395</v>
      </c>
      <c r="Q560" s="3">
        <f t="shared" ca="1" si="16"/>
        <v>27995559.613650829</v>
      </c>
      <c r="R560" s="6">
        <f t="shared" ca="1" si="17"/>
        <v>42637309.959278226</v>
      </c>
    </row>
    <row r="561" spans="1:18">
      <c r="A561" s="20">
        <v>560</v>
      </c>
      <c r="B561" s="3">
        <f ca="1">_xlfn.NORM.INV(RAND(),AVERAGE(Assumptions!$D$4,Assumptions!$F$4),(Assumptions!$F$4-Assumptions!$D$4)/3.29)*44</f>
        <v>1189544.0070022075</v>
      </c>
      <c r="C561" s="6">
        <f ca="1">_xlfn.NORM.INV(RAND(),AVERAGE(Assumptions!$D$5,Assumptions!$F$5),(Assumptions!$F$5-Assumptions!$D$5)/3.29)*44</f>
        <v>1587761.4950140214</v>
      </c>
      <c r="D561" s="9">
        <f ca="1">_xlfn.NORM.INV(RAND(),AVERAGE(Assumptions!$D$6,Assumptions!$F$6),(Assumptions!$F$6-Assumptions!$D$6)/3.29)*RANDBETWEEN(2,5)</f>
        <v>1534372.7153479592</v>
      </c>
      <c r="E561" s="12">
        <f ca="1">_xlfn.NORM.INV(RAND(),AVERAGE(Assumptions!$D$17,Assumptions!$F$17),(Assumptions!$F$17-Assumptions!$D$17)/3.29)*8</f>
        <v>702475.75999676017</v>
      </c>
      <c r="F561" s="15">
        <f ca="1">_xlfn.NORM.INV(RAND(),AVERAGE(Assumptions!$D$7,Assumptions!$F$7),(Assumptions!$F$7-Assumptions!$D$7)/3.29)*RANDBETWEEN(1,3)</f>
        <v>9946512.5807485115</v>
      </c>
      <c r="G561" s="3">
        <f ca="1">_xlfn.NORM.INV(RAND(),AVERAGE(Assumptions!$D$8,Assumptions!$F$8),(Assumptions!$F$8-Assumptions!$D$8)/3.29)*44</f>
        <v>677597.73591653048</v>
      </c>
      <c r="H561" s="6">
        <f ca="1">_xlfn.NORM.INV(RAND(),AVERAGE(Assumptions!$D$9,Assumptions!$F$9),(Assumptions!$F$9-Assumptions!$D$9)/3.29)*21</f>
        <v>5265747.5349587891</v>
      </c>
      <c r="I561" s="9">
        <f ca="1">_xlfn.NORM.INV(RAND(),AVERAGE(Assumptions!$D$10,Assumptions!$F$10),(Assumptions!$F$10-Assumptions!$D$10)/3.29)*21</f>
        <v>740742.12119292538</v>
      </c>
      <c r="J561" s="12">
        <f ca="1">NORMINV(RAND(),AVERAGE(Assumptions!$D$11,Assumptions!$F$11),(Assumptions!$F$11-Assumptions!$D$11)/3.29)*44</f>
        <v>4379655.0160351861</v>
      </c>
      <c r="K561" s="15">
        <f ca="1">_xlfn.NORM.INV(RAND(),AVERAGE(Assumptions!$D$12,Assumptions!$F$12),(Assumptions!$F$12-Assumptions!$D$12)/3.29)*44</f>
        <v>10599968.60156865</v>
      </c>
      <c r="L561" s="3">
        <f ca="1">_xlfn.NORM.INV(RAND(),AVERAGE(Assumptions!$D$13,Assumptions!$F$13),(Assumptions!$F$13-Assumptions!$D$13)/3.29)*44</f>
        <v>11083316.583138974</v>
      </c>
      <c r="M561" s="6">
        <f ca="1">_xlfn.NORM.INV(RAND(),AVERAGE(Assumptions!$D$14,Assumptions!$F$14),(Assumptions!$F$14-Assumptions!$D$14)/3.29)*44</f>
        <v>5174676.56882363</v>
      </c>
      <c r="N561" s="9">
        <f ca="1">_xlfn.NORM.INV(RAND(),AVERAGE(Assumptions!$D$16,Assumptions!$F$16),(Assumptions!$F$16-Assumptions!$D$16)/3.29)*44</f>
        <v>11422192.297787782</v>
      </c>
      <c r="O561" s="12">
        <f ca="1">_xlfn.NORM.INV(RAND(),AVERAGE(Assumptions!$D$15,Assumptions!$F$15),(Assumptions!$F$15-Assumptions!$D$15)/3.29)*44</f>
        <v>49250171.815956719</v>
      </c>
      <c r="P561" s="15">
        <f>Assumptions!$D$18</f>
        <v>14641750.345627395</v>
      </c>
      <c r="Q561" s="3">
        <f t="shared" ca="1" si="16"/>
        <v>-15054391.201575197</v>
      </c>
      <c r="R561" s="6">
        <f t="shared" ca="1" si="17"/>
        <v>-412640.85594780184</v>
      </c>
    </row>
    <row r="562" spans="1:18">
      <c r="A562" s="20">
        <v>561</v>
      </c>
      <c r="B562" s="3">
        <f ca="1">_xlfn.NORM.INV(RAND(),AVERAGE(Assumptions!$D$4,Assumptions!$F$4),(Assumptions!$F$4-Assumptions!$D$4)/3.29)*44</f>
        <v>1160564.53562079</v>
      </c>
      <c r="C562" s="6">
        <f ca="1">_xlfn.NORM.INV(RAND(),AVERAGE(Assumptions!$D$5,Assumptions!$F$5),(Assumptions!$F$5-Assumptions!$D$5)/3.29)*44</f>
        <v>1781380.1497698741</v>
      </c>
      <c r="D562" s="9">
        <f ca="1">_xlfn.NORM.INV(RAND(),AVERAGE(Assumptions!$D$6,Assumptions!$F$6),(Assumptions!$F$6-Assumptions!$D$6)/3.29)*RANDBETWEEN(2,5)</f>
        <v>3573677.5737277502</v>
      </c>
      <c r="E562" s="12">
        <f ca="1">_xlfn.NORM.INV(RAND(),AVERAGE(Assumptions!$D$17,Assumptions!$F$17),(Assumptions!$F$17-Assumptions!$D$17)/3.29)*8</f>
        <v>839597.42348021176</v>
      </c>
      <c r="F562" s="15">
        <f ca="1">_xlfn.NORM.INV(RAND(),AVERAGE(Assumptions!$D$7,Assumptions!$F$7),(Assumptions!$F$7-Assumptions!$D$7)/3.29)*RANDBETWEEN(1,3)</f>
        <v>5864514.98193534</v>
      </c>
      <c r="G562" s="3">
        <f ca="1">_xlfn.NORM.INV(RAND(),AVERAGE(Assumptions!$D$8,Assumptions!$F$8),(Assumptions!$F$8-Assumptions!$D$8)/3.29)*44</f>
        <v>1134878.7825455265</v>
      </c>
      <c r="H562" s="6">
        <f ca="1">_xlfn.NORM.INV(RAND(),AVERAGE(Assumptions!$D$9,Assumptions!$F$9),(Assumptions!$F$9-Assumptions!$D$9)/3.29)*21</f>
        <v>5265319.8831858383</v>
      </c>
      <c r="I562" s="9">
        <f ca="1">_xlfn.NORM.INV(RAND(),AVERAGE(Assumptions!$D$10,Assumptions!$F$10),(Assumptions!$F$10-Assumptions!$D$10)/3.29)*21</f>
        <v>686982.83578324446</v>
      </c>
      <c r="J562" s="12">
        <f ca="1">NORMINV(RAND(),AVERAGE(Assumptions!$D$11,Assumptions!$F$11),(Assumptions!$F$11-Assumptions!$D$11)/3.29)*44</f>
        <v>2606463.8827196769</v>
      </c>
      <c r="K562" s="15">
        <f ca="1">_xlfn.NORM.INV(RAND(),AVERAGE(Assumptions!$D$12,Assumptions!$F$12),(Assumptions!$F$12-Assumptions!$D$12)/3.29)*44</f>
        <v>6839140.3194474671</v>
      </c>
      <c r="L562" s="3">
        <f ca="1">_xlfn.NORM.INV(RAND(),AVERAGE(Assumptions!$D$13,Assumptions!$F$13),(Assumptions!$F$13-Assumptions!$D$13)/3.29)*44</f>
        <v>18730961.639357112</v>
      </c>
      <c r="M562" s="6">
        <f ca="1">_xlfn.NORM.INV(RAND(),AVERAGE(Assumptions!$D$14,Assumptions!$F$14),(Assumptions!$F$14-Assumptions!$D$14)/3.29)*44</f>
        <v>5757728.8662824016</v>
      </c>
      <c r="N562" s="9">
        <f ca="1">_xlfn.NORM.INV(RAND(),AVERAGE(Assumptions!$D$16,Assumptions!$F$16),(Assumptions!$F$16-Assumptions!$D$16)/3.29)*44</f>
        <v>11284054.750165476</v>
      </c>
      <c r="O562" s="12">
        <f ca="1">_xlfn.NORM.INV(RAND(),AVERAGE(Assumptions!$D$15,Assumptions!$F$15),(Assumptions!$F$15-Assumptions!$D$15)/3.29)*44</f>
        <v>56765493.292574175</v>
      </c>
      <c r="P562" s="15">
        <f>Assumptions!$D$18</f>
        <v>14641750.345627395</v>
      </c>
      <c r="Q562" s="3">
        <f t="shared" ca="1" si="16"/>
        <v>-8759772.3314465359</v>
      </c>
      <c r="R562" s="6">
        <f t="shared" ca="1" si="17"/>
        <v>5881978.0141808596</v>
      </c>
    </row>
    <row r="563" spans="1:18">
      <c r="A563" s="20">
        <v>562</v>
      </c>
      <c r="B563" s="3">
        <f ca="1">_xlfn.NORM.INV(RAND(),AVERAGE(Assumptions!$D$4,Assumptions!$F$4),(Assumptions!$F$4-Assumptions!$D$4)/3.29)*44</f>
        <v>1141381.4633534458</v>
      </c>
      <c r="C563" s="6">
        <f ca="1">_xlfn.NORM.INV(RAND(),AVERAGE(Assumptions!$D$5,Assumptions!$F$5),(Assumptions!$F$5-Assumptions!$D$5)/3.29)*44</f>
        <v>1888852.8420772585</v>
      </c>
      <c r="D563" s="9">
        <f ca="1">_xlfn.NORM.INV(RAND(),AVERAGE(Assumptions!$D$6,Assumptions!$F$6),(Assumptions!$F$6-Assumptions!$D$6)/3.29)*RANDBETWEEN(2,5)</f>
        <v>2034224.6756036635</v>
      </c>
      <c r="E563" s="12">
        <f ca="1">_xlfn.NORM.INV(RAND(),AVERAGE(Assumptions!$D$17,Assumptions!$F$17),(Assumptions!$F$17-Assumptions!$D$17)/3.29)*8</f>
        <v>1041125.0396437981</v>
      </c>
      <c r="F563" s="15">
        <f ca="1">_xlfn.NORM.INV(RAND(),AVERAGE(Assumptions!$D$7,Assumptions!$F$7),(Assumptions!$F$7-Assumptions!$D$7)/3.29)*RANDBETWEEN(1,3)</f>
        <v>5130521.4541991409</v>
      </c>
      <c r="G563" s="3">
        <f ca="1">_xlfn.NORM.INV(RAND(),AVERAGE(Assumptions!$D$8,Assumptions!$F$8),(Assumptions!$F$8-Assumptions!$D$8)/3.29)*44</f>
        <v>856317.73523317138</v>
      </c>
      <c r="H563" s="6">
        <f ca="1">_xlfn.NORM.INV(RAND(),AVERAGE(Assumptions!$D$9,Assumptions!$F$9),(Assumptions!$F$9-Assumptions!$D$9)/3.29)*21</f>
        <v>7083439.513453343</v>
      </c>
      <c r="I563" s="9">
        <f ca="1">_xlfn.NORM.INV(RAND(),AVERAGE(Assumptions!$D$10,Assumptions!$F$10),(Assumptions!$F$10-Assumptions!$D$10)/3.29)*21</f>
        <v>788741.55599449854</v>
      </c>
      <c r="J563" s="12">
        <f ca="1">NORMINV(RAND(),AVERAGE(Assumptions!$D$11,Assumptions!$F$11),(Assumptions!$F$11-Assumptions!$D$11)/3.29)*44</f>
        <v>5334015.8273179363</v>
      </c>
      <c r="K563" s="15">
        <f ca="1">_xlfn.NORM.INV(RAND(),AVERAGE(Assumptions!$D$12,Assumptions!$F$12),(Assumptions!$F$12-Assumptions!$D$12)/3.29)*44</f>
        <v>8859550.3414980322</v>
      </c>
      <c r="L563" s="3">
        <f ca="1">_xlfn.NORM.INV(RAND(),AVERAGE(Assumptions!$D$13,Assumptions!$F$13),(Assumptions!$F$13-Assumptions!$D$13)/3.29)*44</f>
        <v>11445537.983965075</v>
      </c>
      <c r="M563" s="6">
        <f ca="1">_xlfn.NORM.INV(RAND(),AVERAGE(Assumptions!$D$14,Assumptions!$F$14),(Assumptions!$F$14-Assumptions!$D$14)/3.29)*44</f>
        <v>6707158.6671141516</v>
      </c>
      <c r="N563" s="9">
        <f ca="1">_xlfn.NORM.INV(RAND(),AVERAGE(Assumptions!$D$16,Assumptions!$F$16),(Assumptions!$F$16-Assumptions!$D$16)/3.29)*44</f>
        <v>8425498.3883910421</v>
      </c>
      <c r="O563" s="12">
        <f ca="1">_xlfn.NORM.INV(RAND(),AVERAGE(Assumptions!$D$15,Assumptions!$F$15),(Assumptions!$F$15-Assumptions!$D$15)/3.29)*44</f>
        <v>174814776.967307</v>
      </c>
      <c r="P563" s="15">
        <f>Assumptions!$D$18</f>
        <v>14641750.345627395</v>
      </c>
      <c r="Q563" s="3">
        <f t="shared" ca="1" si="16"/>
        <v>114078411.47946244</v>
      </c>
      <c r="R563" s="6">
        <f t="shared" ca="1" si="17"/>
        <v>128720161.82508984</v>
      </c>
    </row>
    <row r="564" spans="1:18">
      <c r="A564" s="20">
        <v>563</v>
      </c>
      <c r="B564" s="3">
        <f ca="1">_xlfn.NORM.INV(RAND(),AVERAGE(Assumptions!$D$4,Assumptions!$F$4),(Assumptions!$F$4-Assumptions!$D$4)/3.29)*44</f>
        <v>1216955.6139639067</v>
      </c>
      <c r="C564" s="6">
        <f ca="1">_xlfn.NORM.INV(RAND(),AVERAGE(Assumptions!$D$5,Assumptions!$F$5),(Assumptions!$F$5-Assumptions!$D$5)/3.29)*44</f>
        <v>1837423.0284503559</v>
      </c>
      <c r="D564" s="9">
        <f ca="1">_xlfn.NORM.INV(RAND(),AVERAGE(Assumptions!$D$6,Assumptions!$F$6),(Assumptions!$F$6-Assumptions!$D$6)/3.29)*RANDBETWEEN(2,5)</f>
        <v>4693706.6690949528</v>
      </c>
      <c r="E564" s="12">
        <f ca="1">_xlfn.NORM.INV(RAND(),AVERAGE(Assumptions!$D$17,Assumptions!$F$17),(Assumptions!$F$17-Assumptions!$D$17)/3.29)*8</f>
        <v>1009969.3640577237</v>
      </c>
      <c r="F564" s="15">
        <f ca="1">_xlfn.NORM.INV(RAND(),AVERAGE(Assumptions!$D$7,Assumptions!$F$7),(Assumptions!$F$7-Assumptions!$D$7)/3.29)*RANDBETWEEN(1,3)</f>
        <v>2718607.3968606228</v>
      </c>
      <c r="G564" s="3">
        <f ca="1">_xlfn.NORM.INV(RAND(),AVERAGE(Assumptions!$D$8,Assumptions!$F$8),(Assumptions!$F$8-Assumptions!$D$8)/3.29)*44</f>
        <v>1403701.3810693845</v>
      </c>
      <c r="H564" s="6">
        <f ca="1">_xlfn.NORM.INV(RAND(),AVERAGE(Assumptions!$D$9,Assumptions!$F$9),(Assumptions!$F$9-Assumptions!$D$9)/3.29)*21</f>
        <v>4813302.7922900058</v>
      </c>
      <c r="I564" s="9">
        <f ca="1">_xlfn.NORM.INV(RAND(),AVERAGE(Assumptions!$D$10,Assumptions!$F$10),(Assumptions!$F$10-Assumptions!$D$10)/3.29)*21</f>
        <v>800938.98745672021</v>
      </c>
      <c r="J564" s="12">
        <f ca="1">NORMINV(RAND(),AVERAGE(Assumptions!$D$11,Assumptions!$F$11),(Assumptions!$F$11-Assumptions!$D$11)/3.29)*44</f>
        <v>5045386.5784872267</v>
      </c>
      <c r="K564" s="15">
        <f ca="1">_xlfn.NORM.INV(RAND(),AVERAGE(Assumptions!$D$12,Assumptions!$F$12),(Assumptions!$F$12-Assumptions!$D$12)/3.29)*44</f>
        <v>9217921.1267263275</v>
      </c>
      <c r="L564" s="3">
        <f ca="1">_xlfn.NORM.INV(RAND(),AVERAGE(Assumptions!$D$13,Assumptions!$F$13),(Assumptions!$F$13-Assumptions!$D$13)/3.29)*44</f>
        <v>13689558.081147946</v>
      </c>
      <c r="M564" s="6">
        <f ca="1">_xlfn.NORM.INV(RAND(),AVERAGE(Assumptions!$D$14,Assumptions!$F$14),(Assumptions!$F$14-Assumptions!$D$14)/3.29)*44</f>
        <v>6950964.6054974562</v>
      </c>
      <c r="N564" s="9">
        <f ca="1">_xlfn.NORM.INV(RAND(),AVERAGE(Assumptions!$D$16,Assumptions!$F$16),(Assumptions!$F$16-Assumptions!$D$16)/3.29)*44</f>
        <v>14725423.033334117</v>
      </c>
      <c r="O564" s="12">
        <f ca="1">_xlfn.NORM.INV(RAND(),AVERAGE(Assumptions!$D$15,Assumptions!$F$15),(Assumptions!$F$15-Assumptions!$D$15)/3.29)*44</f>
        <v>125265776.63229953</v>
      </c>
      <c r="P564" s="15">
        <f>Assumptions!$D$18</f>
        <v>14641750.345627395</v>
      </c>
      <c r="Q564" s="3">
        <f t="shared" ca="1" si="16"/>
        <v>57141917.973862782</v>
      </c>
      <c r="R564" s="6">
        <f t="shared" ca="1" si="17"/>
        <v>71783668.319490179</v>
      </c>
    </row>
    <row r="565" spans="1:18">
      <c r="A565" s="20">
        <v>564</v>
      </c>
      <c r="B565" s="3">
        <f ca="1">_xlfn.NORM.INV(RAND(),AVERAGE(Assumptions!$D$4,Assumptions!$F$4),(Assumptions!$F$4-Assumptions!$D$4)/3.29)*44</f>
        <v>1189464.8527406207</v>
      </c>
      <c r="C565" s="6">
        <f ca="1">_xlfn.NORM.INV(RAND(),AVERAGE(Assumptions!$D$5,Assumptions!$F$5),(Assumptions!$F$5-Assumptions!$D$5)/3.29)*44</f>
        <v>1937968.1327424389</v>
      </c>
      <c r="D565" s="9">
        <f ca="1">_xlfn.NORM.INV(RAND(),AVERAGE(Assumptions!$D$6,Assumptions!$F$6),(Assumptions!$F$6-Assumptions!$D$6)/3.29)*RANDBETWEEN(2,5)</f>
        <v>2729767.2986659482</v>
      </c>
      <c r="E565" s="12">
        <f ca="1">_xlfn.NORM.INV(RAND(),AVERAGE(Assumptions!$D$17,Assumptions!$F$17),(Assumptions!$F$17-Assumptions!$D$17)/3.29)*8</f>
        <v>1100339.7945444856</v>
      </c>
      <c r="F565" s="15">
        <f ca="1">_xlfn.NORM.INV(RAND(),AVERAGE(Assumptions!$D$7,Assumptions!$F$7),(Assumptions!$F$7-Assumptions!$D$7)/3.29)*RANDBETWEEN(1,3)</f>
        <v>12065299.618363602</v>
      </c>
      <c r="G565" s="3">
        <f ca="1">_xlfn.NORM.INV(RAND(),AVERAGE(Assumptions!$D$8,Assumptions!$F$8),(Assumptions!$F$8-Assumptions!$D$8)/3.29)*44</f>
        <v>517156.55497652572</v>
      </c>
      <c r="H565" s="6">
        <f ca="1">_xlfn.NORM.INV(RAND(),AVERAGE(Assumptions!$D$9,Assumptions!$F$9),(Assumptions!$F$9-Assumptions!$D$9)/3.29)*21</f>
        <v>3957047.9449709998</v>
      </c>
      <c r="I565" s="9">
        <f ca="1">_xlfn.NORM.INV(RAND(),AVERAGE(Assumptions!$D$10,Assumptions!$F$10),(Assumptions!$F$10-Assumptions!$D$10)/3.29)*21</f>
        <v>386698.01104163507</v>
      </c>
      <c r="J565" s="12">
        <f ca="1">NORMINV(RAND(),AVERAGE(Assumptions!$D$11,Assumptions!$F$11),(Assumptions!$F$11-Assumptions!$D$11)/3.29)*44</f>
        <v>3991371.1311939922</v>
      </c>
      <c r="K565" s="15">
        <f ca="1">_xlfn.NORM.INV(RAND(),AVERAGE(Assumptions!$D$12,Assumptions!$F$12),(Assumptions!$F$12-Assumptions!$D$12)/3.29)*44</f>
        <v>10078702.990466844</v>
      </c>
      <c r="L565" s="3">
        <f ca="1">_xlfn.NORM.INV(RAND(),AVERAGE(Assumptions!$D$13,Assumptions!$F$13),(Assumptions!$F$13-Assumptions!$D$13)/3.29)*44</f>
        <v>13754662.381984163</v>
      </c>
      <c r="M565" s="6">
        <f ca="1">_xlfn.NORM.INV(RAND(),AVERAGE(Assumptions!$D$14,Assumptions!$F$14),(Assumptions!$F$14-Assumptions!$D$14)/3.29)*44</f>
        <v>5237963.1664791321</v>
      </c>
      <c r="N565" s="9">
        <f ca="1">_xlfn.NORM.INV(RAND(),AVERAGE(Assumptions!$D$16,Assumptions!$F$16),(Assumptions!$F$16-Assumptions!$D$16)/3.29)*44</f>
        <v>12107831.30799203</v>
      </c>
      <c r="O565" s="12">
        <f ca="1">_xlfn.NORM.INV(RAND(),AVERAGE(Assumptions!$D$15,Assumptions!$F$15),(Assumptions!$F$15-Assumptions!$D$15)/3.29)*44</f>
        <v>113106103.64551383</v>
      </c>
      <c r="P565" s="15">
        <f>Assumptions!$D$18</f>
        <v>14641750.345627395</v>
      </c>
      <c r="Q565" s="3">
        <f t="shared" ca="1" si="16"/>
        <v>44051830.459351406</v>
      </c>
      <c r="R565" s="6">
        <f t="shared" ca="1" si="17"/>
        <v>58693580.804978803</v>
      </c>
    </row>
    <row r="566" spans="1:18">
      <c r="A566" s="20">
        <v>565</v>
      </c>
      <c r="B566" s="3">
        <f ca="1">_xlfn.NORM.INV(RAND(),AVERAGE(Assumptions!$D$4,Assumptions!$F$4),(Assumptions!$F$4-Assumptions!$D$4)/3.29)*44</f>
        <v>1224072.8635464273</v>
      </c>
      <c r="C566" s="6">
        <f ca="1">_xlfn.NORM.INV(RAND(),AVERAGE(Assumptions!$D$5,Assumptions!$F$5),(Assumptions!$F$5-Assumptions!$D$5)/3.29)*44</f>
        <v>1777663.7766208127</v>
      </c>
      <c r="D566" s="9">
        <f ca="1">_xlfn.NORM.INV(RAND(),AVERAGE(Assumptions!$D$6,Assumptions!$F$6),(Assumptions!$F$6-Assumptions!$D$6)/3.29)*RANDBETWEEN(2,5)</f>
        <v>2460901.9846427785</v>
      </c>
      <c r="E566" s="12">
        <f ca="1">_xlfn.NORM.INV(RAND(),AVERAGE(Assumptions!$D$17,Assumptions!$F$17),(Assumptions!$F$17-Assumptions!$D$17)/3.29)*8</f>
        <v>1044685.265127798</v>
      </c>
      <c r="F566" s="15">
        <f ca="1">_xlfn.NORM.INV(RAND(),AVERAGE(Assumptions!$D$7,Assumptions!$F$7),(Assumptions!$F$7-Assumptions!$D$7)/3.29)*RANDBETWEEN(1,3)</f>
        <v>2912040.5747387167</v>
      </c>
      <c r="G566" s="3">
        <f ca="1">_xlfn.NORM.INV(RAND(),AVERAGE(Assumptions!$D$8,Assumptions!$F$8),(Assumptions!$F$8-Assumptions!$D$8)/3.29)*44</f>
        <v>1212896.4628072125</v>
      </c>
      <c r="H566" s="6">
        <f ca="1">_xlfn.NORM.INV(RAND(),AVERAGE(Assumptions!$D$9,Assumptions!$F$9),(Assumptions!$F$9-Assumptions!$D$9)/3.29)*21</f>
        <v>6511081.4502131389</v>
      </c>
      <c r="I566" s="9">
        <f ca="1">_xlfn.NORM.INV(RAND(),AVERAGE(Assumptions!$D$10,Assumptions!$F$10),(Assumptions!$F$10-Assumptions!$D$10)/3.29)*21</f>
        <v>972413.98635262134</v>
      </c>
      <c r="J566" s="12">
        <f ca="1">NORMINV(RAND(),AVERAGE(Assumptions!$D$11,Assumptions!$F$11),(Assumptions!$F$11-Assumptions!$D$11)/3.29)*44</f>
        <v>5483021.6353717074</v>
      </c>
      <c r="K566" s="15">
        <f ca="1">_xlfn.NORM.INV(RAND(),AVERAGE(Assumptions!$D$12,Assumptions!$F$12),(Assumptions!$F$12-Assumptions!$D$12)/3.29)*44</f>
        <v>8965237.6664335821</v>
      </c>
      <c r="L566" s="3">
        <f ca="1">_xlfn.NORM.INV(RAND(),AVERAGE(Assumptions!$D$13,Assumptions!$F$13),(Assumptions!$F$13-Assumptions!$D$13)/3.29)*44</f>
        <v>7980104.679482583</v>
      </c>
      <c r="M566" s="6">
        <f ca="1">_xlfn.NORM.INV(RAND(),AVERAGE(Assumptions!$D$14,Assumptions!$F$14),(Assumptions!$F$14-Assumptions!$D$14)/3.29)*44</f>
        <v>6755659.3569336431</v>
      </c>
      <c r="N566" s="9">
        <f ca="1">_xlfn.NORM.INV(RAND(),AVERAGE(Assumptions!$D$16,Assumptions!$F$16),(Assumptions!$F$16-Assumptions!$D$16)/3.29)*44</f>
        <v>15431621.64118919</v>
      </c>
      <c r="O566" s="12">
        <f ca="1">_xlfn.NORM.INV(RAND(),AVERAGE(Assumptions!$D$15,Assumptions!$F$15),(Assumptions!$F$15-Assumptions!$D$15)/3.29)*44</f>
        <v>133044228.95343442</v>
      </c>
      <c r="P566" s="15">
        <f>Assumptions!$D$18</f>
        <v>14641750.345627395</v>
      </c>
      <c r="Q566" s="3">
        <f t="shared" ca="1" si="16"/>
        <v>70312827.609974205</v>
      </c>
      <c r="R566" s="6">
        <f t="shared" ca="1" si="17"/>
        <v>84954577.955601603</v>
      </c>
    </row>
    <row r="567" spans="1:18">
      <c r="A567" s="20">
        <v>566</v>
      </c>
      <c r="B567" s="3">
        <f ca="1">_xlfn.NORM.INV(RAND(),AVERAGE(Assumptions!$D$4,Assumptions!$F$4),(Assumptions!$F$4-Assumptions!$D$4)/3.29)*44</f>
        <v>1210410.0229161505</v>
      </c>
      <c r="C567" s="6">
        <f ca="1">_xlfn.NORM.INV(RAND(),AVERAGE(Assumptions!$D$5,Assumptions!$F$5),(Assumptions!$F$5-Assumptions!$D$5)/3.29)*44</f>
        <v>1766403.2449174591</v>
      </c>
      <c r="D567" s="9">
        <f ca="1">_xlfn.NORM.INV(RAND(),AVERAGE(Assumptions!$D$6,Assumptions!$F$6),(Assumptions!$F$6-Assumptions!$D$6)/3.29)*RANDBETWEEN(2,5)</f>
        <v>3822982.9079761626</v>
      </c>
      <c r="E567" s="12">
        <f ca="1">_xlfn.NORM.INV(RAND(),AVERAGE(Assumptions!$D$17,Assumptions!$F$17),(Assumptions!$F$17-Assumptions!$D$17)/3.29)*8</f>
        <v>1026389.6827275577</v>
      </c>
      <c r="F567" s="15">
        <f ca="1">_xlfn.NORM.INV(RAND(),AVERAGE(Assumptions!$D$7,Assumptions!$F$7),(Assumptions!$F$7-Assumptions!$D$7)/3.29)*RANDBETWEEN(1,3)</f>
        <v>8417518.2102839742</v>
      </c>
      <c r="G567" s="3">
        <f ca="1">_xlfn.NORM.INV(RAND(),AVERAGE(Assumptions!$D$8,Assumptions!$F$8),(Assumptions!$F$8-Assumptions!$D$8)/3.29)*44</f>
        <v>893014.01890917041</v>
      </c>
      <c r="H567" s="6">
        <f ca="1">_xlfn.NORM.INV(RAND(),AVERAGE(Assumptions!$D$9,Assumptions!$F$9),(Assumptions!$F$9-Assumptions!$D$9)/3.29)*21</f>
        <v>4979662.1037654541</v>
      </c>
      <c r="I567" s="9">
        <f ca="1">_xlfn.NORM.INV(RAND(),AVERAGE(Assumptions!$D$10,Assumptions!$F$10),(Assumptions!$F$10-Assumptions!$D$10)/3.29)*21</f>
        <v>1561189.1705583041</v>
      </c>
      <c r="J567" s="12">
        <f ca="1">NORMINV(RAND(),AVERAGE(Assumptions!$D$11,Assumptions!$F$11),(Assumptions!$F$11-Assumptions!$D$11)/3.29)*44</f>
        <v>4920060.436212169</v>
      </c>
      <c r="K567" s="15">
        <f ca="1">_xlfn.NORM.INV(RAND(),AVERAGE(Assumptions!$D$12,Assumptions!$F$12),(Assumptions!$F$12-Assumptions!$D$12)/3.29)*44</f>
        <v>9668967.668156717</v>
      </c>
      <c r="L567" s="3">
        <f ca="1">_xlfn.NORM.INV(RAND(),AVERAGE(Assumptions!$D$13,Assumptions!$F$13),(Assumptions!$F$13-Assumptions!$D$13)/3.29)*44</f>
        <v>17620383.346276462</v>
      </c>
      <c r="M567" s="6">
        <f ca="1">_xlfn.NORM.INV(RAND(),AVERAGE(Assumptions!$D$14,Assumptions!$F$14),(Assumptions!$F$14-Assumptions!$D$14)/3.29)*44</f>
        <v>3446661.596107502</v>
      </c>
      <c r="N567" s="9">
        <f ca="1">_xlfn.NORM.INV(RAND(),AVERAGE(Assumptions!$D$16,Assumptions!$F$16),(Assumptions!$F$16-Assumptions!$D$16)/3.29)*44</f>
        <v>9131783.8526994828</v>
      </c>
      <c r="O567" s="12">
        <f ca="1">_xlfn.NORM.INV(RAND(),AVERAGE(Assumptions!$D$15,Assumptions!$F$15),(Assumptions!$F$15-Assumptions!$D$15)/3.29)*44</f>
        <v>123795866.31542772</v>
      </c>
      <c r="P567" s="15">
        <f>Assumptions!$D$18</f>
        <v>14641750.345627395</v>
      </c>
      <c r="Q567" s="3">
        <f t="shared" ca="1" si="16"/>
        <v>55330440.053921148</v>
      </c>
      <c r="R567" s="6">
        <f t="shared" ca="1" si="17"/>
        <v>69972190.399548545</v>
      </c>
    </row>
    <row r="568" spans="1:18">
      <c r="A568" s="20">
        <v>567</v>
      </c>
      <c r="B568" s="3">
        <f ca="1">_xlfn.NORM.INV(RAND(),AVERAGE(Assumptions!$D$4,Assumptions!$F$4),(Assumptions!$F$4-Assumptions!$D$4)/3.29)*44</f>
        <v>1206538.8545494492</v>
      </c>
      <c r="C568" s="6">
        <f ca="1">_xlfn.NORM.INV(RAND(),AVERAGE(Assumptions!$D$5,Assumptions!$F$5),(Assumptions!$F$5-Assumptions!$D$5)/3.29)*44</f>
        <v>1987699.8008343005</v>
      </c>
      <c r="D568" s="9">
        <f ca="1">_xlfn.NORM.INV(RAND(),AVERAGE(Assumptions!$D$6,Assumptions!$F$6),(Assumptions!$F$6-Assumptions!$D$6)/3.29)*RANDBETWEEN(2,5)</f>
        <v>5479506.1030546837</v>
      </c>
      <c r="E568" s="12">
        <f ca="1">_xlfn.NORM.INV(RAND(),AVERAGE(Assumptions!$D$17,Assumptions!$F$17),(Assumptions!$F$17-Assumptions!$D$17)/3.29)*8</f>
        <v>1011585.2484761983</v>
      </c>
      <c r="F568" s="15">
        <f ca="1">_xlfn.NORM.INV(RAND(),AVERAGE(Assumptions!$D$7,Assumptions!$F$7),(Assumptions!$F$7-Assumptions!$D$7)/3.29)*RANDBETWEEN(1,3)</f>
        <v>2817996.0760308024</v>
      </c>
      <c r="G568" s="3">
        <f ca="1">_xlfn.NORM.INV(RAND(),AVERAGE(Assumptions!$D$8,Assumptions!$F$8),(Assumptions!$F$8-Assumptions!$D$8)/3.29)*44</f>
        <v>1358784.0596896098</v>
      </c>
      <c r="H568" s="6">
        <f ca="1">_xlfn.NORM.INV(RAND(),AVERAGE(Assumptions!$D$9,Assumptions!$F$9),(Assumptions!$F$9-Assumptions!$D$9)/3.29)*21</f>
        <v>5377187.394661949</v>
      </c>
      <c r="I568" s="9">
        <f ca="1">_xlfn.NORM.INV(RAND(),AVERAGE(Assumptions!$D$10,Assumptions!$F$10),(Assumptions!$F$10-Assumptions!$D$10)/3.29)*21</f>
        <v>1253804.936655143</v>
      </c>
      <c r="J568" s="12">
        <f ca="1">NORMINV(RAND(),AVERAGE(Assumptions!$D$11,Assumptions!$F$11),(Assumptions!$F$11-Assumptions!$D$11)/3.29)*44</f>
        <v>3120102.2856073091</v>
      </c>
      <c r="K568" s="15">
        <f ca="1">_xlfn.NORM.INV(RAND(),AVERAGE(Assumptions!$D$12,Assumptions!$F$12),(Assumptions!$F$12-Assumptions!$D$12)/3.29)*44</f>
        <v>6837405.09078639</v>
      </c>
      <c r="L568" s="3">
        <f ca="1">_xlfn.NORM.INV(RAND(),AVERAGE(Assumptions!$D$13,Assumptions!$F$13),(Assumptions!$F$13-Assumptions!$D$13)/3.29)*44</f>
        <v>13971774.886494428</v>
      </c>
      <c r="M568" s="6">
        <f ca="1">_xlfn.NORM.INV(RAND(),AVERAGE(Assumptions!$D$14,Assumptions!$F$14),(Assumptions!$F$14-Assumptions!$D$14)/3.29)*44</f>
        <v>5597301.2409975473</v>
      </c>
      <c r="N568" s="9">
        <f ca="1">_xlfn.NORM.INV(RAND(),AVERAGE(Assumptions!$D$16,Assumptions!$F$16),(Assumptions!$F$16-Assumptions!$D$16)/3.29)*44</f>
        <v>9220281.5388482995</v>
      </c>
      <c r="O568" s="12">
        <f ca="1">_xlfn.NORM.INV(RAND(),AVERAGE(Assumptions!$D$15,Assumptions!$F$15),(Assumptions!$F$15-Assumptions!$D$15)/3.29)*44</f>
        <v>76470098.766835093</v>
      </c>
      <c r="P568" s="15">
        <f>Assumptions!$D$18</f>
        <v>14641750.345627395</v>
      </c>
      <c r="Q568" s="3">
        <f t="shared" ca="1" si="16"/>
        <v>17230131.250148989</v>
      </c>
      <c r="R568" s="6">
        <f t="shared" ca="1" si="17"/>
        <v>31871881.595776387</v>
      </c>
    </row>
    <row r="569" spans="1:18">
      <c r="A569" s="20">
        <v>568</v>
      </c>
      <c r="B569" s="3">
        <f ca="1">_xlfn.NORM.INV(RAND(),AVERAGE(Assumptions!$D$4,Assumptions!$F$4),(Assumptions!$F$4-Assumptions!$D$4)/3.29)*44</f>
        <v>1281693.0259148167</v>
      </c>
      <c r="C569" s="6">
        <f ca="1">_xlfn.NORM.INV(RAND(),AVERAGE(Assumptions!$D$5,Assumptions!$F$5),(Assumptions!$F$5-Assumptions!$D$5)/3.29)*44</f>
        <v>1747810.4124234745</v>
      </c>
      <c r="D569" s="9">
        <f ca="1">_xlfn.NORM.INV(RAND(),AVERAGE(Assumptions!$D$6,Assumptions!$F$6),(Assumptions!$F$6-Assumptions!$D$6)/3.29)*RANDBETWEEN(2,5)</f>
        <v>5400945.1132809976</v>
      </c>
      <c r="E569" s="12">
        <f ca="1">_xlfn.NORM.INV(RAND(),AVERAGE(Assumptions!$D$17,Assumptions!$F$17),(Assumptions!$F$17-Assumptions!$D$17)/3.29)*8</f>
        <v>991082.76672906941</v>
      </c>
      <c r="F569" s="15">
        <f ca="1">_xlfn.NORM.INV(RAND(),AVERAGE(Assumptions!$D$7,Assumptions!$F$7),(Assumptions!$F$7-Assumptions!$D$7)/3.29)*RANDBETWEEN(1,3)</f>
        <v>2701617.2067298912</v>
      </c>
      <c r="G569" s="3">
        <f ca="1">_xlfn.NORM.INV(RAND(),AVERAGE(Assumptions!$D$8,Assumptions!$F$8),(Assumptions!$F$8-Assumptions!$D$8)/3.29)*44</f>
        <v>1353160.07522657</v>
      </c>
      <c r="H569" s="6">
        <f ca="1">_xlfn.NORM.INV(RAND(),AVERAGE(Assumptions!$D$9,Assumptions!$F$9),(Assumptions!$F$9-Assumptions!$D$9)/3.29)*21</f>
        <v>2696509.5530083319</v>
      </c>
      <c r="I569" s="9">
        <f ca="1">_xlfn.NORM.INV(RAND(),AVERAGE(Assumptions!$D$10,Assumptions!$F$10),(Assumptions!$F$10-Assumptions!$D$10)/3.29)*21</f>
        <v>905356.82280631771</v>
      </c>
      <c r="J569" s="12">
        <f ca="1">NORMINV(RAND(),AVERAGE(Assumptions!$D$11,Assumptions!$F$11),(Assumptions!$F$11-Assumptions!$D$11)/3.29)*44</f>
        <v>3121521.4602985373</v>
      </c>
      <c r="K569" s="15">
        <f ca="1">_xlfn.NORM.INV(RAND(),AVERAGE(Assumptions!$D$12,Assumptions!$F$12),(Assumptions!$F$12-Assumptions!$D$12)/3.29)*44</f>
        <v>8208893.3106992338</v>
      </c>
      <c r="L569" s="3">
        <f ca="1">_xlfn.NORM.INV(RAND(),AVERAGE(Assumptions!$D$13,Assumptions!$F$13),(Assumptions!$F$13-Assumptions!$D$13)/3.29)*44</f>
        <v>13380090.700382642</v>
      </c>
      <c r="M569" s="6">
        <f ca="1">_xlfn.NORM.INV(RAND(),AVERAGE(Assumptions!$D$14,Assumptions!$F$14),(Assumptions!$F$14-Assumptions!$D$14)/3.29)*44</f>
        <v>7509966.806624094</v>
      </c>
      <c r="N569" s="9">
        <f ca="1">_xlfn.NORM.INV(RAND(),AVERAGE(Assumptions!$D$16,Assumptions!$F$16),(Assumptions!$F$16-Assumptions!$D$16)/3.29)*44</f>
        <v>16002992.717835329</v>
      </c>
      <c r="O569" s="12">
        <f ca="1">_xlfn.NORM.INV(RAND(),AVERAGE(Assumptions!$D$15,Assumptions!$F$15),(Assumptions!$F$15-Assumptions!$D$15)/3.29)*44</f>
        <v>77504976.817946345</v>
      </c>
      <c r="P569" s="15">
        <f>Assumptions!$D$18</f>
        <v>14641750.345627395</v>
      </c>
      <c r="Q569" s="3">
        <f t="shared" ca="1" si="16"/>
        <v>12203336.845987037</v>
      </c>
      <c r="R569" s="6">
        <f t="shared" ca="1" si="17"/>
        <v>26845087.191614434</v>
      </c>
    </row>
    <row r="570" spans="1:18">
      <c r="A570" s="20">
        <v>569</v>
      </c>
      <c r="B570" s="3">
        <f ca="1">_xlfn.NORM.INV(RAND(),AVERAGE(Assumptions!$D$4,Assumptions!$F$4),(Assumptions!$F$4-Assumptions!$D$4)/3.29)*44</f>
        <v>1179735.6199728986</v>
      </c>
      <c r="C570" s="6">
        <f ca="1">_xlfn.NORM.INV(RAND(),AVERAGE(Assumptions!$D$5,Assumptions!$F$5),(Assumptions!$F$5-Assumptions!$D$5)/3.29)*44</f>
        <v>1991588.0608822585</v>
      </c>
      <c r="D570" s="9">
        <f ca="1">_xlfn.NORM.INV(RAND(),AVERAGE(Assumptions!$D$6,Assumptions!$F$6),(Assumptions!$F$6-Assumptions!$D$6)/3.29)*RANDBETWEEN(2,5)</f>
        <v>4063226.4701797706</v>
      </c>
      <c r="E570" s="12">
        <f ca="1">_xlfn.NORM.INV(RAND(),AVERAGE(Assumptions!$D$17,Assumptions!$F$17),(Assumptions!$F$17-Assumptions!$D$17)/3.29)*8</f>
        <v>788262.029552049</v>
      </c>
      <c r="F570" s="15">
        <f ca="1">_xlfn.NORM.INV(RAND(),AVERAGE(Assumptions!$D$7,Assumptions!$F$7),(Assumptions!$F$7-Assumptions!$D$7)/3.29)*RANDBETWEEN(1,3)</f>
        <v>3775858.6277744719</v>
      </c>
      <c r="G570" s="3">
        <f ca="1">_xlfn.NORM.INV(RAND(),AVERAGE(Assumptions!$D$8,Assumptions!$F$8),(Assumptions!$F$8-Assumptions!$D$8)/3.29)*44</f>
        <v>1580251.5934608555</v>
      </c>
      <c r="H570" s="6">
        <f ca="1">_xlfn.NORM.INV(RAND(),AVERAGE(Assumptions!$D$9,Assumptions!$F$9),(Assumptions!$F$9-Assumptions!$D$9)/3.29)*21</f>
        <v>5610349.3074175669</v>
      </c>
      <c r="I570" s="9">
        <f ca="1">_xlfn.NORM.INV(RAND(),AVERAGE(Assumptions!$D$10,Assumptions!$F$10),(Assumptions!$F$10-Assumptions!$D$10)/3.29)*21</f>
        <v>1233818.838237837</v>
      </c>
      <c r="J570" s="12">
        <f ca="1">NORMINV(RAND(),AVERAGE(Assumptions!$D$11,Assumptions!$F$11),(Assumptions!$F$11-Assumptions!$D$11)/3.29)*44</f>
        <v>3307899.5137867271</v>
      </c>
      <c r="K570" s="15">
        <f ca="1">_xlfn.NORM.INV(RAND(),AVERAGE(Assumptions!$D$12,Assumptions!$F$12),(Assumptions!$F$12-Assumptions!$D$12)/3.29)*44</f>
        <v>8824515.0200541709</v>
      </c>
      <c r="L570" s="3">
        <f ca="1">_xlfn.NORM.INV(RAND(),AVERAGE(Assumptions!$D$13,Assumptions!$F$13),(Assumptions!$F$13-Assumptions!$D$13)/3.29)*44</f>
        <v>7737752.7252239827</v>
      </c>
      <c r="M570" s="6">
        <f ca="1">_xlfn.NORM.INV(RAND(),AVERAGE(Assumptions!$D$14,Assumptions!$F$14),(Assumptions!$F$14-Assumptions!$D$14)/3.29)*44</f>
        <v>6229934.3725062329</v>
      </c>
      <c r="N570" s="9">
        <f ca="1">_xlfn.NORM.INV(RAND(),AVERAGE(Assumptions!$D$16,Assumptions!$F$16),(Assumptions!$F$16-Assumptions!$D$16)/3.29)*44</f>
        <v>10942489.383615747</v>
      </c>
      <c r="O570" s="12">
        <f ca="1">_xlfn.NORM.INV(RAND(),AVERAGE(Assumptions!$D$15,Assumptions!$F$15),(Assumptions!$F$15-Assumptions!$D$15)/3.29)*44</f>
        <v>48433467.192926243</v>
      </c>
      <c r="P570" s="15">
        <f>Assumptions!$D$18</f>
        <v>14641750.345627395</v>
      </c>
      <c r="Q570" s="3">
        <f t="shared" ca="1" si="16"/>
        <v>-8832214.369738318</v>
      </c>
      <c r="R570" s="6">
        <f t="shared" ca="1" si="17"/>
        <v>5809535.9758890774</v>
      </c>
    </row>
    <row r="571" spans="1:18">
      <c r="A571" s="20">
        <v>570</v>
      </c>
      <c r="B571" s="3">
        <f ca="1">_xlfn.NORM.INV(RAND(),AVERAGE(Assumptions!$D$4,Assumptions!$F$4),(Assumptions!$F$4-Assumptions!$D$4)/3.29)*44</f>
        <v>1193749.2538724637</v>
      </c>
      <c r="C571" s="6">
        <f ca="1">_xlfn.NORM.INV(RAND(),AVERAGE(Assumptions!$D$5,Assumptions!$F$5),(Assumptions!$F$5-Assumptions!$D$5)/3.29)*44</f>
        <v>1646298.2639403315</v>
      </c>
      <c r="D571" s="9">
        <f ca="1">_xlfn.NORM.INV(RAND(),AVERAGE(Assumptions!$D$6,Assumptions!$F$6),(Assumptions!$F$6-Assumptions!$D$6)/3.29)*RANDBETWEEN(2,5)</f>
        <v>4045074.6954027582</v>
      </c>
      <c r="E571" s="12">
        <f ca="1">_xlfn.NORM.INV(RAND(),AVERAGE(Assumptions!$D$17,Assumptions!$F$17),(Assumptions!$F$17-Assumptions!$D$17)/3.29)*8</f>
        <v>783170.56197431521</v>
      </c>
      <c r="F571" s="15">
        <f ca="1">_xlfn.NORM.INV(RAND(),AVERAGE(Assumptions!$D$7,Assumptions!$F$7),(Assumptions!$F$7-Assumptions!$D$7)/3.29)*RANDBETWEEN(1,3)</f>
        <v>3515605.2297408138</v>
      </c>
      <c r="G571" s="3">
        <f ca="1">_xlfn.NORM.INV(RAND(),AVERAGE(Assumptions!$D$8,Assumptions!$F$8),(Assumptions!$F$8-Assumptions!$D$8)/3.29)*44</f>
        <v>1106550.4983488435</v>
      </c>
      <c r="H571" s="6">
        <f ca="1">_xlfn.NORM.INV(RAND(),AVERAGE(Assumptions!$D$9,Assumptions!$F$9),(Assumptions!$F$9-Assumptions!$D$9)/3.29)*21</f>
        <v>5227856.472549052</v>
      </c>
      <c r="I571" s="9">
        <f ca="1">_xlfn.NORM.INV(RAND(),AVERAGE(Assumptions!$D$10,Assumptions!$F$10),(Assumptions!$F$10-Assumptions!$D$10)/3.29)*21</f>
        <v>721035.82428325561</v>
      </c>
      <c r="J571" s="12">
        <f ca="1">NORMINV(RAND(),AVERAGE(Assumptions!$D$11,Assumptions!$F$11),(Assumptions!$F$11-Assumptions!$D$11)/3.29)*44</f>
        <v>3075671.579457209</v>
      </c>
      <c r="K571" s="15">
        <f ca="1">_xlfn.NORM.INV(RAND(),AVERAGE(Assumptions!$D$12,Assumptions!$F$12),(Assumptions!$F$12-Assumptions!$D$12)/3.29)*44</f>
        <v>8832043.1427249499</v>
      </c>
      <c r="L571" s="3">
        <f ca="1">_xlfn.NORM.INV(RAND(),AVERAGE(Assumptions!$D$13,Assumptions!$F$13),(Assumptions!$F$13-Assumptions!$D$13)/3.29)*44</f>
        <v>6541703.9872203153</v>
      </c>
      <c r="M571" s="6">
        <f ca="1">_xlfn.NORM.INV(RAND(),AVERAGE(Assumptions!$D$14,Assumptions!$F$14),(Assumptions!$F$14-Assumptions!$D$14)/3.29)*44</f>
        <v>6495948.0537431976</v>
      </c>
      <c r="N571" s="9">
        <f ca="1">_xlfn.NORM.INV(RAND(),AVERAGE(Assumptions!$D$16,Assumptions!$F$16),(Assumptions!$F$16-Assumptions!$D$16)/3.29)*44</f>
        <v>15911025.916965527</v>
      </c>
      <c r="O571" s="12">
        <f ca="1">_xlfn.NORM.INV(RAND(),AVERAGE(Assumptions!$D$15,Assumptions!$F$15),(Assumptions!$F$15-Assumptions!$D$15)/3.29)*44</f>
        <v>124549411.02441673</v>
      </c>
      <c r="P571" s="15">
        <f>Assumptions!$D$18</f>
        <v>14641750.345627395</v>
      </c>
      <c r="Q571" s="3">
        <f t="shared" ca="1" si="16"/>
        <v>65453677.544193693</v>
      </c>
      <c r="R571" s="6">
        <f t="shared" ca="1" si="17"/>
        <v>80095427.889821082</v>
      </c>
    </row>
    <row r="572" spans="1:18">
      <c r="A572" s="20">
        <v>571</v>
      </c>
      <c r="B572" s="3">
        <f ca="1">_xlfn.NORM.INV(RAND(),AVERAGE(Assumptions!$D$4,Assumptions!$F$4),(Assumptions!$F$4-Assumptions!$D$4)/3.29)*44</f>
        <v>1300825.9226456063</v>
      </c>
      <c r="C572" s="6">
        <f ca="1">_xlfn.NORM.INV(RAND(),AVERAGE(Assumptions!$D$5,Assumptions!$F$5),(Assumptions!$F$5-Assumptions!$D$5)/3.29)*44</f>
        <v>1682928.2156809478</v>
      </c>
      <c r="D572" s="9">
        <f ca="1">_xlfn.NORM.INV(RAND(),AVERAGE(Assumptions!$D$6,Assumptions!$F$6),(Assumptions!$F$6-Assumptions!$D$6)/3.29)*RANDBETWEEN(2,5)</f>
        <v>2068915.5568948109</v>
      </c>
      <c r="E572" s="12">
        <f ca="1">_xlfn.NORM.INV(RAND(),AVERAGE(Assumptions!$D$17,Assumptions!$F$17),(Assumptions!$F$17-Assumptions!$D$17)/3.29)*8</f>
        <v>846248.99450681231</v>
      </c>
      <c r="F572" s="15">
        <f ca="1">_xlfn.NORM.INV(RAND(),AVERAGE(Assumptions!$D$7,Assumptions!$F$7),(Assumptions!$F$7-Assumptions!$D$7)/3.29)*RANDBETWEEN(1,3)</f>
        <v>3063015.0522220144</v>
      </c>
      <c r="G572" s="3">
        <f ca="1">_xlfn.NORM.INV(RAND(),AVERAGE(Assumptions!$D$8,Assumptions!$F$8),(Assumptions!$F$8-Assumptions!$D$8)/3.29)*44</f>
        <v>1145968.8409580216</v>
      </c>
      <c r="H572" s="6">
        <f ca="1">_xlfn.NORM.INV(RAND(),AVERAGE(Assumptions!$D$9,Assumptions!$F$9),(Assumptions!$F$9-Assumptions!$D$9)/3.29)*21</f>
        <v>2800613.399663066</v>
      </c>
      <c r="I572" s="9">
        <f ca="1">_xlfn.NORM.INV(RAND(),AVERAGE(Assumptions!$D$10,Assumptions!$F$10),(Assumptions!$F$10-Assumptions!$D$10)/3.29)*21</f>
        <v>475650.79330742685</v>
      </c>
      <c r="J572" s="12">
        <f ca="1">NORMINV(RAND(),AVERAGE(Assumptions!$D$11,Assumptions!$F$11),(Assumptions!$F$11-Assumptions!$D$11)/3.29)*44</f>
        <v>2254348.6646602927</v>
      </c>
      <c r="K572" s="15">
        <f ca="1">_xlfn.NORM.INV(RAND(),AVERAGE(Assumptions!$D$12,Assumptions!$F$12),(Assumptions!$F$12-Assumptions!$D$12)/3.29)*44</f>
        <v>8163537.6403156817</v>
      </c>
      <c r="L572" s="3">
        <f ca="1">_xlfn.NORM.INV(RAND(),AVERAGE(Assumptions!$D$13,Assumptions!$F$13),(Assumptions!$F$13-Assumptions!$D$13)/3.29)*44</f>
        <v>14509804.636523662</v>
      </c>
      <c r="M572" s="6">
        <f ca="1">_xlfn.NORM.INV(RAND(),AVERAGE(Assumptions!$D$14,Assumptions!$F$14),(Assumptions!$F$14-Assumptions!$D$14)/3.29)*44</f>
        <v>5106107.8708750205</v>
      </c>
      <c r="N572" s="9">
        <f ca="1">_xlfn.NORM.INV(RAND(),AVERAGE(Assumptions!$D$16,Assumptions!$F$16),(Assumptions!$F$16-Assumptions!$D$16)/3.29)*44</f>
        <v>1363520.541274793</v>
      </c>
      <c r="O572" s="12">
        <f ca="1">_xlfn.NORM.INV(RAND(),AVERAGE(Assumptions!$D$15,Assumptions!$F$15),(Assumptions!$F$15-Assumptions!$D$15)/3.29)*44</f>
        <v>92597874.94212544</v>
      </c>
      <c r="P572" s="15">
        <f>Assumptions!$D$18</f>
        <v>14641750.345627395</v>
      </c>
      <c r="Q572" s="3">
        <f t="shared" ca="1" si="16"/>
        <v>47816388.812597282</v>
      </c>
      <c r="R572" s="6">
        <f t="shared" ca="1" si="17"/>
        <v>62458139.15822468</v>
      </c>
    </row>
    <row r="573" spans="1:18">
      <c r="A573" s="20">
        <v>572</v>
      </c>
      <c r="B573" s="3">
        <f ca="1">_xlfn.NORM.INV(RAND(),AVERAGE(Assumptions!$D$4,Assumptions!$F$4),(Assumptions!$F$4-Assumptions!$D$4)/3.29)*44</f>
        <v>1192141.9460749044</v>
      </c>
      <c r="C573" s="6">
        <f ca="1">_xlfn.NORM.INV(RAND(),AVERAGE(Assumptions!$D$5,Assumptions!$F$5),(Assumptions!$F$5-Assumptions!$D$5)/3.29)*44</f>
        <v>1748629.6080235168</v>
      </c>
      <c r="D573" s="9">
        <f ca="1">_xlfn.NORM.INV(RAND(),AVERAGE(Assumptions!$D$6,Assumptions!$F$6),(Assumptions!$F$6-Assumptions!$D$6)/3.29)*RANDBETWEEN(2,5)</f>
        <v>2455812.5137476432</v>
      </c>
      <c r="E573" s="12">
        <f ca="1">_xlfn.NORM.INV(RAND(),AVERAGE(Assumptions!$D$17,Assumptions!$F$17),(Assumptions!$F$17-Assumptions!$D$17)/3.29)*8</f>
        <v>1059778.9527063903</v>
      </c>
      <c r="F573" s="15">
        <f ca="1">_xlfn.NORM.INV(RAND(),AVERAGE(Assumptions!$D$7,Assumptions!$F$7),(Assumptions!$F$7-Assumptions!$D$7)/3.29)*RANDBETWEEN(1,3)</f>
        <v>7835175.1888880692</v>
      </c>
      <c r="G573" s="3">
        <f ca="1">_xlfn.NORM.INV(RAND(),AVERAGE(Assumptions!$D$8,Assumptions!$F$8),(Assumptions!$F$8-Assumptions!$D$8)/3.29)*44</f>
        <v>1220363.4424626401</v>
      </c>
      <c r="H573" s="6">
        <f ca="1">_xlfn.NORM.INV(RAND(),AVERAGE(Assumptions!$D$9,Assumptions!$F$9),(Assumptions!$F$9-Assumptions!$D$9)/3.29)*21</f>
        <v>2728655.5364365457</v>
      </c>
      <c r="I573" s="9">
        <f ca="1">_xlfn.NORM.INV(RAND(),AVERAGE(Assumptions!$D$10,Assumptions!$F$10),(Assumptions!$F$10-Assumptions!$D$10)/3.29)*21</f>
        <v>589784.90618500556</v>
      </c>
      <c r="J573" s="12">
        <f ca="1">NORMINV(RAND(),AVERAGE(Assumptions!$D$11,Assumptions!$F$11),(Assumptions!$F$11-Assumptions!$D$11)/3.29)*44</f>
        <v>1199806.2228766249</v>
      </c>
      <c r="K573" s="15">
        <f ca="1">_xlfn.NORM.INV(RAND(),AVERAGE(Assumptions!$D$12,Assumptions!$F$12),(Assumptions!$F$12-Assumptions!$D$12)/3.29)*44</f>
        <v>6740368.3347058725</v>
      </c>
      <c r="L573" s="3">
        <f ca="1">_xlfn.NORM.INV(RAND(),AVERAGE(Assumptions!$D$13,Assumptions!$F$13),(Assumptions!$F$13-Assumptions!$D$13)/3.29)*44</f>
        <v>5379071.0380453253</v>
      </c>
      <c r="M573" s="6">
        <f ca="1">_xlfn.NORM.INV(RAND(),AVERAGE(Assumptions!$D$14,Assumptions!$F$14),(Assumptions!$F$14-Assumptions!$D$14)/3.29)*44</f>
        <v>6982804.0726196645</v>
      </c>
      <c r="N573" s="9">
        <f ca="1">_xlfn.NORM.INV(RAND(),AVERAGE(Assumptions!$D$16,Assumptions!$F$16),(Assumptions!$F$16-Assumptions!$D$16)/3.29)*44</f>
        <v>7408427.865245481</v>
      </c>
      <c r="O573" s="12">
        <f ca="1">_xlfn.NORM.INV(RAND(),AVERAGE(Assumptions!$D$15,Assumptions!$F$15),(Assumptions!$F$15-Assumptions!$D$15)/3.29)*44</f>
        <v>191734528.70402414</v>
      </c>
      <c r="P573" s="15">
        <f>Assumptions!$D$18</f>
        <v>14641750.345627395</v>
      </c>
      <c r="Q573" s="3">
        <f t="shared" ca="1" si="16"/>
        <v>145193709.07600647</v>
      </c>
      <c r="R573" s="6">
        <f t="shared" ca="1" si="17"/>
        <v>159835459.42163387</v>
      </c>
    </row>
    <row r="574" spans="1:18">
      <c r="A574" s="20">
        <v>573</v>
      </c>
      <c r="B574" s="3">
        <f ca="1">_xlfn.NORM.INV(RAND(),AVERAGE(Assumptions!$D$4,Assumptions!$F$4),(Assumptions!$F$4-Assumptions!$D$4)/3.29)*44</f>
        <v>1306767.8833500701</v>
      </c>
      <c r="C574" s="6">
        <f ca="1">_xlfn.NORM.INV(RAND(),AVERAGE(Assumptions!$D$5,Assumptions!$F$5),(Assumptions!$F$5-Assumptions!$D$5)/3.29)*44</f>
        <v>1549924.1162356231</v>
      </c>
      <c r="D574" s="9">
        <f ca="1">_xlfn.NORM.INV(RAND(),AVERAGE(Assumptions!$D$6,Assumptions!$F$6),(Assumptions!$F$6-Assumptions!$D$6)/3.29)*RANDBETWEEN(2,5)</f>
        <v>1983040.0167969374</v>
      </c>
      <c r="E574" s="12">
        <f ca="1">_xlfn.NORM.INV(RAND(),AVERAGE(Assumptions!$D$17,Assumptions!$F$17),(Assumptions!$F$17-Assumptions!$D$17)/3.29)*8</f>
        <v>1009575.7003699896</v>
      </c>
      <c r="F574" s="15">
        <f ca="1">_xlfn.NORM.INV(RAND(),AVERAGE(Assumptions!$D$7,Assumptions!$F$7),(Assumptions!$F$7-Assumptions!$D$7)/3.29)*RANDBETWEEN(1,3)</f>
        <v>11329293.836371135</v>
      </c>
      <c r="G574" s="3">
        <f ca="1">_xlfn.NORM.INV(RAND(),AVERAGE(Assumptions!$D$8,Assumptions!$F$8),(Assumptions!$F$8-Assumptions!$D$8)/3.29)*44</f>
        <v>759855.06071284658</v>
      </c>
      <c r="H574" s="6">
        <f ca="1">_xlfn.NORM.INV(RAND(),AVERAGE(Assumptions!$D$9,Assumptions!$F$9),(Assumptions!$F$9-Assumptions!$D$9)/3.29)*21</f>
        <v>1359816.4231987644</v>
      </c>
      <c r="I574" s="9">
        <f ca="1">_xlfn.NORM.INV(RAND(),AVERAGE(Assumptions!$D$10,Assumptions!$F$10),(Assumptions!$F$10-Assumptions!$D$10)/3.29)*21</f>
        <v>930471.07059846271</v>
      </c>
      <c r="J574" s="12">
        <f ca="1">NORMINV(RAND(),AVERAGE(Assumptions!$D$11,Assumptions!$F$11),(Assumptions!$F$11-Assumptions!$D$11)/3.29)*44</f>
        <v>3258721.5438635289</v>
      </c>
      <c r="K574" s="15">
        <f ca="1">_xlfn.NORM.INV(RAND(),AVERAGE(Assumptions!$D$12,Assumptions!$F$12),(Assumptions!$F$12-Assumptions!$D$12)/3.29)*44</f>
        <v>9729253.2145985682</v>
      </c>
      <c r="L574" s="3">
        <f ca="1">_xlfn.NORM.INV(RAND(),AVERAGE(Assumptions!$D$13,Assumptions!$F$13),(Assumptions!$F$13-Assumptions!$D$13)/3.29)*44</f>
        <v>20084058.747959416</v>
      </c>
      <c r="M574" s="6">
        <f ca="1">_xlfn.NORM.INV(RAND(),AVERAGE(Assumptions!$D$14,Assumptions!$F$14),(Assumptions!$F$14-Assumptions!$D$14)/3.29)*44</f>
        <v>6757962.9952122439</v>
      </c>
      <c r="N574" s="9">
        <f ca="1">_xlfn.NORM.INV(RAND(),AVERAGE(Assumptions!$D$16,Assumptions!$F$16),(Assumptions!$F$16-Assumptions!$D$16)/3.29)*44</f>
        <v>8794276.7131694593</v>
      </c>
      <c r="O574" s="12">
        <f ca="1">_xlfn.NORM.INV(RAND(),AVERAGE(Assumptions!$D$15,Assumptions!$F$15),(Assumptions!$F$15-Assumptions!$D$15)/3.29)*44</f>
        <v>112617780.13159102</v>
      </c>
      <c r="P574" s="15">
        <f>Assumptions!$D$18</f>
        <v>14641750.345627395</v>
      </c>
      <c r="Q574" s="3">
        <f t="shared" ca="1" si="16"/>
        <v>43764762.809153989</v>
      </c>
      <c r="R574" s="6">
        <f t="shared" ca="1" si="17"/>
        <v>58406513.154781386</v>
      </c>
    </row>
    <row r="575" spans="1:18">
      <c r="A575" s="20">
        <v>574</v>
      </c>
      <c r="B575" s="3">
        <f ca="1">_xlfn.NORM.INV(RAND(),AVERAGE(Assumptions!$D$4,Assumptions!$F$4),(Assumptions!$F$4-Assumptions!$D$4)/3.29)*44</f>
        <v>1196457.1696013287</v>
      </c>
      <c r="C575" s="6">
        <f ca="1">_xlfn.NORM.INV(RAND(),AVERAGE(Assumptions!$D$5,Assumptions!$F$5),(Assumptions!$F$5-Assumptions!$D$5)/3.29)*44</f>
        <v>1557446.9564080313</v>
      </c>
      <c r="D575" s="9">
        <f ca="1">_xlfn.NORM.INV(RAND(),AVERAGE(Assumptions!$D$6,Assumptions!$F$6),(Assumptions!$F$6-Assumptions!$D$6)/3.29)*RANDBETWEEN(2,5)</f>
        <v>4137974.1094261715</v>
      </c>
      <c r="E575" s="12">
        <f ca="1">_xlfn.NORM.INV(RAND(),AVERAGE(Assumptions!$D$17,Assumptions!$F$17),(Assumptions!$F$17-Assumptions!$D$17)/3.29)*8</f>
        <v>945655.89904017642</v>
      </c>
      <c r="F575" s="15">
        <f ca="1">_xlfn.NORM.INV(RAND(),AVERAGE(Assumptions!$D$7,Assumptions!$F$7),(Assumptions!$F$7-Assumptions!$D$7)/3.29)*RANDBETWEEN(1,3)</f>
        <v>2953901.2068842095</v>
      </c>
      <c r="G575" s="3">
        <f ca="1">_xlfn.NORM.INV(RAND(),AVERAGE(Assumptions!$D$8,Assumptions!$F$8),(Assumptions!$F$8-Assumptions!$D$8)/3.29)*44</f>
        <v>1524391.1639397684</v>
      </c>
      <c r="H575" s="6">
        <f ca="1">_xlfn.NORM.INV(RAND(),AVERAGE(Assumptions!$D$9,Assumptions!$F$9),(Assumptions!$F$9-Assumptions!$D$9)/3.29)*21</f>
        <v>2855773.2820926793</v>
      </c>
      <c r="I575" s="9">
        <f ca="1">_xlfn.NORM.INV(RAND(),AVERAGE(Assumptions!$D$10,Assumptions!$F$10),(Assumptions!$F$10-Assumptions!$D$10)/3.29)*21</f>
        <v>913445.24991385883</v>
      </c>
      <c r="J575" s="12">
        <f ca="1">NORMINV(RAND(),AVERAGE(Assumptions!$D$11,Assumptions!$F$11),(Assumptions!$F$11-Assumptions!$D$11)/3.29)*44</f>
        <v>3820969.0993278897</v>
      </c>
      <c r="K575" s="15">
        <f ca="1">_xlfn.NORM.INV(RAND(),AVERAGE(Assumptions!$D$12,Assumptions!$F$12),(Assumptions!$F$12-Assumptions!$D$12)/3.29)*44</f>
        <v>7636976.4355977327</v>
      </c>
      <c r="L575" s="3">
        <f ca="1">_xlfn.NORM.INV(RAND(),AVERAGE(Assumptions!$D$13,Assumptions!$F$13),(Assumptions!$F$13-Assumptions!$D$13)/3.29)*44</f>
        <v>13944617.662178377</v>
      </c>
      <c r="M575" s="6">
        <f ca="1">_xlfn.NORM.INV(RAND(),AVERAGE(Assumptions!$D$14,Assumptions!$F$14),(Assumptions!$F$14-Assumptions!$D$14)/3.29)*44</f>
        <v>5600801.3616869254</v>
      </c>
      <c r="N575" s="9">
        <f ca="1">_xlfn.NORM.INV(RAND(),AVERAGE(Assumptions!$D$16,Assumptions!$F$16),(Assumptions!$F$16-Assumptions!$D$16)/3.29)*44</f>
        <v>5322993.5053662406</v>
      </c>
      <c r="O575" s="12">
        <f ca="1">_xlfn.NORM.INV(RAND(),AVERAGE(Assumptions!$D$15,Assumptions!$F$15),(Assumptions!$F$15-Assumptions!$D$15)/3.29)*44</f>
        <v>111828946.0005946</v>
      </c>
      <c r="P575" s="15">
        <f>Assumptions!$D$18</f>
        <v>14641750.345627395</v>
      </c>
      <c r="Q575" s="3">
        <f t="shared" ca="1" si="16"/>
        <v>59417542.899131209</v>
      </c>
      <c r="R575" s="6">
        <f t="shared" ca="1" si="17"/>
        <v>74059293.244758606</v>
      </c>
    </row>
    <row r="576" spans="1:18">
      <c r="A576" s="20">
        <v>575</v>
      </c>
      <c r="B576" s="3">
        <f ca="1">_xlfn.NORM.INV(RAND(),AVERAGE(Assumptions!$D$4,Assumptions!$F$4),(Assumptions!$F$4-Assumptions!$D$4)/3.29)*44</f>
        <v>1066753.6425384595</v>
      </c>
      <c r="C576" s="6">
        <f ca="1">_xlfn.NORM.INV(RAND(),AVERAGE(Assumptions!$D$5,Assumptions!$F$5),(Assumptions!$F$5-Assumptions!$D$5)/3.29)*44</f>
        <v>1978804.4685762029</v>
      </c>
      <c r="D576" s="9">
        <f ca="1">_xlfn.NORM.INV(RAND(),AVERAGE(Assumptions!$D$6,Assumptions!$F$6),(Assumptions!$F$6-Assumptions!$D$6)/3.29)*RANDBETWEEN(2,5)</f>
        <v>6069576.7235411862</v>
      </c>
      <c r="E576" s="12">
        <f ca="1">_xlfn.NORM.INV(RAND(),AVERAGE(Assumptions!$D$17,Assumptions!$F$17),(Assumptions!$F$17-Assumptions!$D$17)/3.29)*8</f>
        <v>1049396.0990714789</v>
      </c>
      <c r="F576" s="15">
        <f ca="1">_xlfn.NORM.INV(RAND(),AVERAGE(Assumptions!$D$7,Assumptions!$F$7),(Assumptions!$F$7-Assumptions!$D$7)/3.29)*RANDBETWEEN(1,3)</f>
        <v>1698070.7434864319</v>
      </c>
      <c r="G576" s="3">
        <f ca="1">_xlfn.NORM.INV(RAND(),AVERAGE(Assumptions!$D$8,Assumptions!$F$8),(Assumptions!$F$8-Assumptions!$D$8)/3.29)*44</f>
        <v>745582.65597592294</v>
      </c>
      <c r="H576" s="6">
        <f ca="1">_xlfn.NORM.INV(RAND(),AVERAGE(Assumptions!$D$9,Assumptions!$F$9),(Assumptions!$F$9-Assumptions!$D$9)/3.29)*21</f>
        <v>1645097.1656619282</v>
      </c>
      <c r="I576" s="9">
        <f ca="1">_xlfn.NORM.INV(RAND(),AVERAGE(Assumptions!$D$10,Assumptions!$F$10),(Assumptions!$F$10-Assumptions!$D$10)/3.29)*21</f>
        <v>640255.83198718703</v>
      </c>
      <c r="J576" s="12">
        <f ca="1">NORMINV(RAND(),AVERAGE(Assumptions!$D$11,Assumptions!$F$11),(Assumptions!$F$11-Assumptions!$D$11)/3.29)*44</f>
        <v>3075355.6995808184</v>
      </c>
      <c r="K576" s="15">
        <f ca="1">_xlfn.NORM.INV(RAND(),AVERAGE(Assumptions!$D$12,Assumptions!$F$12),(Assumptions!$F$12-Assumptions!$D$12)/3.29)*44</f>
        <v>5087963.3711404456</v>
      </c>
      <c r="L576" s="3">
        <f ca="1">_xlfn.NORM.INV(RAND(),AVERAGE(Assumptions!$D$13,Assumptions!$F$13),(Assumptions!$F$13-Assumptions!$D$13)/3.29)*44</f>
        <v>16231111.189267861</v>
      </c>
      <c r="M576" s="6">
        <f ca="1">_xlfn.NORM.INV(RAND(),AVERAGE(Assumptions!$D$14,Assumptions!$F$14),(Assumptions!$F$14-Assumptions!$D$14)/3.29)*44</f>
        <v>6001400.6851100065</v>
      </c>
      <c r="N576" s="9">
        <f ca="1">_xlfn.NORM.INV(RAND(),AVERAGE(Assumptions!$D$16,Assumptions!$F$16),(Assumptions!$F$16-Assumptions!$D$16)/3.29)*44</f>
        <v>8926297.1326990705</v>
      </c>
      <c r="O576" s="12">
        <f ca="1">_xlfn.NORM.INV(RAND(),AVERAGE(Assumptions!$D$15,Assumptions!$F$15),(Assumptions!$F$15-Assumptions!$D$15)/3.29)*44</f>
        <v>97785914.029986829</v>
      </c>
      <c r="P576" s="15">
        <f>Assumptions!$D$18</f>
        <v>14641750.345627395</v>
      </c>
      <c r="Q576" s="3">
        <f t="shared" ca="1" si="16"/>
        <v>43570248.621349819</v>
      </c>
      <c r="R576" s="6">
        <f t="shared" ca="1" si="17"/>
        <v>58211998.966977216</v>
      </c>
    </row>
    <row r="577" spans="1:18">
      <c r="A577" s="20">
        <v>576</v>
      </c>
      <c r="B577" s="3">
        <f ca="1">_xlfn.NORM.INV(RAND(),AVERAGE(Assumptions!$D$4,Assumptions!$F$4),(Assumptions!$F$4-Assumptions!$D$4)/3.29)*44</f>
        <v>1207565.6177517481</v>
      </c>
      <c r="C577" s="6">
        <f ca="1">_xlfn.NORM.INV(RAND(),AVERAGE(Assumptions!$D$5,Assumptions!$F$5),(Assumptions!$F$5-Assumptions!$D$5)/3.29)*44</f>
        <v>1945116.2664608965</v>
      </c>
      <c r="D577" s="9">
        <f ca="1">_xlfn.NORM.INV(RAND(),AVERAGE(Assumptions!$D$6,Assumptions!$F$6),(Assumptions!$F$6-Assumptions!$D$6)/3.29)*RANDBETWEEN(2,5)</f>
        <v>1387196.2435267011</v>
      </c>
      <c r="E577" s="12">
        <f ca="1">_xlfn.NORM.INV(RAND(),AVERAGE(Assumptions!$D$17,Assumptions!$F$17),(Assumptions!$F$17-Assumptions!$D$17)/3.29)*8</f>
        <v>994108.96605515084</v>
      </c>
      <c r="F577" s="15">
        <f ca="1">_xlfn.NORM.INV(RAND(),AVERAGE(Assumptions!$D$7,Assumptions!$F$7),(Assumptions!$F$7-Assumptions!$D$7)/3.29)*RANDBETWEEN(1,3)</f>
        <v>2796885.1217646631</v>
      </c>
      <c r="G577" s="3">
        <f ca="1">_xlfn.NORM.INV(RAND(),AVERAGE(Assumptions!$D$8,Assumptions!$F$8),(Assumptions!$F$8-Assumptions!$D$8)/3.29)*44</f>
        <v>971821.40458832181</v>
      </c>
      <c r="H577" s="6">
        <f ca="1">_xlfn.NORM.INV(RAND(),AVERAGE(Assumptions!$D$9,Assumptions!$F$9),(Assumptions!$F$9-Assumptions!$D$9)/3.29)*21</f>
        <v>6342313.9988933858</v>
      </c>
      <c r="I577" s="9">
        <f ca="1">_xlfn.NORM.INV(RAND(),AVERAGE(Assumptions!$D$10,Assumptions!$F$10),(Assumptions!$F$10-Assumptions!$D$10)/3.29)*21</f>
        <v>894240.59291887446</v>
      </c>
      <c r="J577" s="12">
        <f ca="1">NORMINV(RAND(),AVERAGE(Assumptions!$D$11,Assumptions!$F$11),(Assumptions!$F$11-Assumptions!$D$11)/3.29)*44</f>
        <v>4050183.9526510756</v>
      </c>
      <c r="K577" s="15">
        <f ca="1">_xlfn.NORM.INV(RAND(),AVERAGE(Assumptions!$D$12,Assumptions!$F$12),(Assumptions!$F$12-Assumptions!$D$12)/3.29)*44</f>
        <v>8553402.6475805584</v>
      </c>
      <c r="L577" s="3">
        <f ca="1">_xlfn.NORM.INV(RAND(),AVERAGE(Assumptions!$D$13,Assumptions!$F$13),(Assumptions!$F$13-Assumptions!$D$13)/3.29)*44</f>
        <v>12976792.920657367</v>
      </c>
      <c r="M577" s="6">
        <f ca="1">_xlfn.NORM.INV(RAND(),AVERAGE(Assumptions!$D$14,Assumptions!$F$14),(Assumptions!$F$14-Assumptions!$D$14)/3.29)*44</f>
        <v>7509721.0360433571</v>
      </c>
      <c r="N577" s="9">
        <f ca="1">_xlfn.NORM.INV(RAND(),AVERAGE(Assumptions!$D$16,Assumptions!$F$16),(Assumptions!$F$16-Assumptions!$D$16)/3.29)*44</f>
        <v>6656948.2835603245</v>
      </c>
      <c r="O577" s="12">
        <f ca="1">_xlfn.NORM.INV(RAND(),AVERAGE(Assumptions!$D$15,Assumptions!$F$15),(Assumptions!$F$15-Assumptions!$D$15)/3.29)*44</f>
        <v>77710787.069161028</v>
      </c>
      <c r="P577" s="15">
        <f>Assumptions!$D$18</f>
        <v>14641750.345627395</v>
      </c>
      <c r="Q577" s="3">
        <f t="shared" ca="1" si="16"/>
        <v>21424490.016708605</v>
      </c>
      <c r="R577" s="6">
        <f t="shared" ca="1" si="17"/>
        <v>36066240.362336002</v>
      </c>
    </row>
    <row r="578" spans="1:18">
      <c r="A578" s="20">
        <v>577</v>
      </c>
      <c r="B578" s="3">
        <f ca="1">_xlfn.NORM.INV(RAND(),AVERAGE(Assumptions!$D$4,Assumptions!$F$4),(Assumptions!$F$4-Assumptions!$D$4)/3.29)*44</f>
        <v>1173513.8896800308</v>
      </c>
      <c r="C578" s="6">
        <f ca="1">_xlfn.NORM.INV(RAND(),AVERAGE(Assumptions!$D$5,Assumptions!$F$5),(Assumptions!$F$5-Assumptions!$D$5)/3.29)*44</f>
        <v>1661480.7799988999</v>
      </c>
      <c r="D578" s="9">
        <f ca="1">_xlfn.NORM.INV(RAND(),AVERAGE(Assumptions!$D$6,Assumptions!$F$6),(Assumptions!$F$6-Assumptions!$D$6)/3.29)*RANDBETWEEN(2,5)</f>
        <v>3438575.2932200739</v>
      </c>
      <c r="E578" s="12">
        <f ca="1">_xlfn.NORM.INV(RAND(),AVERAGE(Assumptions!$D$17,Assumptions!$F$17),(Assumptions!$F$17-Assumptions!$D$17)/3.29)*8</f>
        <v>1049639.6632896699</v>
      </c>
      <c r="F578" s="15">
        <f ca="1">_xlfn.NORM.INV(RAND(),AVERAGE(Assumptions!$D$7,Assumptions!$F$7),(Assumptions!$F$7-Assumptions!$D$7)/3.29)*RANDBETWEEN(1,3)</f>
        <v>6237151.4538155114</v>
      </c>
      <c r="G578" s="3">
        <f ca="1">_xlfn.NORM.INV(RAND(),AVERAGE(Assumptions!$D$8,Assumptions!$F$8),(Assumptions!$F$8-Assumptions!$D$8)/3.29)*44</f>
        <v>1264334.9262774461</v>
      </c>
      <c r="H578" s="6">
        <f ca="1">_xlfn.NORM.INV(RAND(),AVERAGE(Assumptions!$D$9,Assumptions!$F$9),(Assumptions!$F$9-Assumptions!$D$9)/3.29)*21</f>
        <v>4293346.1043140264</v>
      </c>
      <c r="I578" s="9">
        <f ca="1">_xlfn.NORM.INV(RAND(),AVERAGE(Assumptions!$D$10,Assumptions!$F$10),(Assumptions!$F$10-Assumptions!$D$10)/3.29)*21</f>
        <v>978325.58230801241</v>
      </c>
      <c r="J578" s="12">
        <f ca="1">NORMINV(RAND(),AVERAGE(Assumptions!$D$11,Assumptions!$F$11),(Assumptions!$F$11-Assumptions!$D$11)/3.29)*44</f>
        <v>2023639.6335141968</v>
      </c>
      <c r="K578" s="15">
        <f ca="1">_xlfn.NORM.INV(RAND(),AVERAGE(Assumptions!$D$12,Assumptions!$F$12),(Assumptions!$F$12-Assumptions!$D$12)/3.29)*44</f>
        <v>6583898.1259669671</v>
      </c>
      <c r="L578" s="3">
        <f ca="1">_xlfn.NORM.INV(RAND(),AVERAGE(Assumptions!$D$13,Assumptions!$F$13),(Assumptions!$F$13-Assumptions!$D$13)/3.29)*44</f>
        <v>14189100.895999067</v>
      </c>
      <c r="M578" s="6">
        <f ca="1">_xlfn.NORM.INV(RAND(),AVERAGE(Assumptions!$D$14,Assumptions!$F$14),(Assumptions!$F$14-Assumptions!$D$14)/3.29)*44</f>
        <v>5616693.3701134566</v>
      </c>
      <c r="N578" s="9">
        <f ca="1">_xlfn.NORM.INV(RAND(),AVERAGE(Assumptions!$D$16,Assumptions!$F$16),(Assumptions!$F$16-Assumptions!$D$16)/3.29)*44</f>
        <v>10468410.474224159</v>
      </c>
      <c r="O578" s="12">
        <f ca="1">_xlfn.NORM.INV(RAND(),AVERAGE(Assumptions!$D$15,Assumptions!$F$15),(Assumptions!$F$15-Assumptions!$D$15)/3.29)*44</f>
        <v>181176036.60006389</v>
      </c>
      <c r="P578" s="15">
        <f>Assumptions!$D$18</f>
        <v>14641750.345627395</v>
      </c>
      <c r="Q578" s="3">
        <f t="shared" ca="1" si="16"/>
        <v>122197926.40734237</v>
      </c>
      <c r="R578" s="6">
        <f t="shared" ca="1" si="17"/>
        <v>136839676.75296977</v>
      </c>
    </row>
    <row r="579" spans="1:18">
      <c r="A579" s="20">
        <v>578</v>
      </c>
      <c r="B579" s="3">
        <f ca="1">_xlfn.NORM.INV(RAND(),AVERAGE(Assumptions!$D$4,Assumptions!$F$4),(Assumptions!$F$4-Assumptions!$D$4)/3.29)*44</f>
        <v>1038495.9764667749</v>
      </c>
      <c r="C579" s="6">
        <f ca="1">_xlfn.NORM.INV(RAND(),AVERAGE(Assumptions!$D$5,Assumptions!$F$5),(Assumptions!$F$5-Assumptions!$D$5)/3.29)*44</f>
        <v>1986802.7541087528</v>
      </c>
      <c r="D579" s="9">
        <f ca="1">_xlfn.NORM.INV(RAND(),AVERAGE(Assumptions!$D$6,Assumptions!$F$6),(Assumptions!$F$6-Assumptions!$D$6)/3.29)*RANDBETWEEN(2,5)</f>
        <v>4295097.7934705857</v>
      </c>
      <c r="E579" s="12">
        <f ca="1">_xlfn.NORM.INV(RAND(),AVERAGE(Assumptions!$D$17,Assumptions!$F$17),(Assumptions!$F$17-Assumptions!$D$17)/3.29)*8</f>
        <v>815773.98353626905</v>
      </c>
      <c r="F579" s="15">
        <f ca="1">_xlfn.NORM.INV(RAND(),AVERAGE(Assumptions!$D$7,Assumptions!$F$7),(Assumptions!$F$7-Assumptions!$D$7)/3.29)*RANDBETWEEN(1,3)</f>
        <v>5540705.5555078723</v>
      </c>
      <c r="G579" s="3">
        <f ca="1">_xlfn.NORM.INV(RAND(),AVERAGE(Assumptions!$D$8,Assumptions!$F$8),(Assumptions!$F$8-Assumptions!$D$8)/3.29)*44</f>
        <v>1183164.0611517972</v>
      </c>
      <c r="H579" s="6">
        <f ca="1">_xlfn.NORM.INV(RAND(),AVERAGE(Assumptions!$D$9,Assumptions!$F$9),(Assumptions!$F$9-Assumptions!$D$9)/3.29)*21</f>
        <v>4947815.9368631272</v>
      </c>
      <c r="I579" s="9">
        <f ca="1">_xlfn.NORM.INV(RAND(),AVERAGE(Assumptions!$D$10,Assumptions!$F$10),(Assumptions!$F$10-Assumptions!$D$10)/3.29)*21</f>
        <v>1013024.6209151356</v>
      </c>
      <c r="J579" s="12">
        <f ca="1">NORMINV(RAND(),AVERAGE(Assumptions!$D$11,Assumptions!$F$11),(Assumptions!$F$11-Assumptions!$D$11)/3.29)*44</f>
        <v>3665868.4528118386</v>
      </c>
      <c r="K579" s="15">
        <f ca="1">_xlfn.NORM.INV(RAND(),AVERAGE(Assumptions!$D$12,Assumptions!$F$12),(Assumptions!$F$12-Assumptions!$D$12)/3.29)*44</f>
        <v>7278993.5124347014</v>
      </c>
      <c r="L579" s="3">
        <f ca="1">_xlfn.NORM.INV(RAND(),AVERAGE(Assumptions!$D$13,Assumptions!$F$13),(Assumptions!$F$13-Assumptions!$D$13)/3.29)*44</f>
        <v>14108870.49252874</v>
      </c>
      <c r="M579" s="6">
        <f ca="1">_xlfn.NORM.INV(RAND(),AVERAGE(Assumptions!$D$14,Assumptions!$F$14),(Assumptions!$F$14-Assumptions!$D$14)/3.29)*44</f>
        <v>6731329.7172693629</v>
      </c>
      <c r="N579" s="9">
        <f ca="1">_xlfn.NORM.INV(RAND(),AVERAGE(Assumptions!$D$16,Assumptions!$F$16),(Assumptions!$F$16-Assumptions!$D$16)/3.29)*44</f>
        <v>13729612.527269624</v>
      </c>
      <c r="O579" s="12">
        <f ca="1">_xlfn.NORM.INV(RAND(),AVERAGE(Assumptions!$D$15,Assumptions!$F$15),(Assumptions!$F$15-Assumptions!$D$15)/3.29)*44</f>
        <v>155924766.97834826</v>
      </c>
      <c r="P579" s="15">
        <f>Assumptions!$D$18</f>
        <v>14641750.345627395</v>
      </c>
      <c r="Q579" s="3">
        <f t="shared" ref="Q579:Q642" ca="1" si="18">O579-(B579+C579+D579+F579+G579+H579+I579+J579+K579+L579+M579+N579+E579)</f>
        <v>89589211.594013676</v>
      </c>
      <c r="R579" s="6">
        <f t="shared" ref="R579:R642" ca="1" si="19">Q579+P579</f>
        <v>104230961.93964107</v>
      </c>
    </row>
    <row r="580" spans="1:18">
      <c r="A580" s="20">
        <v>579</v>
      </c>
      <c r="B580" s="3">
        <f ca="1">_xlfn.NORM.INV(RAND(),AVERAGE(Assumptions!$D$4,Assumptions!$F$4),(Assumptions!$F$4-Assumptions!$D$4)/3.29)*44</f>
        <v>1212772.2150634592</v>
      </c>
      <c r="C580" s="6">
        <f ca="1">_xlfn.NORM.INV(RAND(),AVERAGE(Assumptions!$D$5,Assumptions!$F$5),(Assumptions!$F$5-Assumptions!$D$5)/3.29)*44</f>
        <v>1984964.6572171883</v>
      </c>
      <c r="D580" s="9">
        <f ca="1">_xlfn.NORM.INV(RAND(),AVERAGE(Assumptions!$D$6,Assumptions!$F$6),(Assumptions!$F$6-Assumptions!$D$6)/3.29)*RANDBETWEEN(2,5)</f>
        <v>5129906.4917317042</v>
      </c>
      <c r="E580" s="12">
        <f ca="1">_xlfn.NORM.INV(RAND(),AVERAGE(Assumptions!$D$17,Assumptions!$F$17),(Assumptions!$F$17-Assumptions!$D$17)/3.29)*8</f>
        <v>993342.69608067744</v>
      </c>
      <c r="F580" s="15">
        <f ca="1">_xlfn.NORM.INV(RAND(),AVERAGE(Assumptions!$D$7,Assumptions!$F$7),(Assumptions!$F$7-Assumptions!$D$7)/3.29)*RANDBETWEEN(1,3)</f>
        <v>5753085.8378122635</v>
      </c>
      <c r="G580" s="3">
        <f ca="1">_xlfn.NORM.INV(RAND(),AVERAGE(Assumptions!$D$8,Assumptions!$F$8),(Assumptions!$F$8-Assumptions!$D$8)/3.29)*44</f>
        <v>1413058.1238910155</v>
      </c>
      <c r="H580" s="6">
        <f ca="1">_xlfn.NORM.INV(RAND(),AVERAGE(Assumptions!$D$9,Assumptions!$F$9),(Assumptions!$F$9-Assumptions!$D$9)/3.29)*21</f>
        <v>4470762.1277856361</v>
      </c>
      <c r="I580" s="9">
        <f ca="1">_xlfn.NORM.INV(RAND(),AVERAGE(Assumptions!$D$10,Assumptions!$F$10),(Assumptions!$F$10-Assumptions!$D$10)/3.29)*21</f>
        <v>604936.53052815155</v>
      </c>
      <c r="J580" s="12">
        <f ca="1">NORMINV(RAND(),AVERAGE(Assumptions!$D$11,Assumptions!$F$11),(Assumptions!$F$11-Assumptions!$D$11)/3.29)*44</f>
        <v>4349340.3061638055</v>
      </c>
      <c r="K580" s="15">
        <f ca="1">_xlfn.NORM.INV(RAND(),AVERAGE(Assumptions!$D$12,Assumptions!$F$12),(Assumptions!$F$12-Assumptions!$D$12)/3.29)*44</f>
        <v>6960110.9025972951</v>
      </c>
      <c r="L580" s="3">
        <f ca="1">_xlfn.NORM.INV(RAND(),AVERAGE(Assumptions!$D$13,Assumptions!$F$13),(Assumptions!$F$13-Assumptions!$D$13)/3.29)*44</f>
        <v>20434201.661007378</v>
      </c>
      <c r="M580" s="6">
        <f ca="1">_xlfn.NORM.INV(RAND(),AVERAGE(Assumptions!$D$14,Assumptions!$F$14),(Assumptions!$F$14-Assumptions!$D$14)/3.29)*44</f>
        <v>4334584.7536612861</v>
      </c>
      <c r="N580" s="9">
        <f ca="1">_xlfn.NORM.INV(RAND(),AVERAGE(Assumptions!$D$16,Assumptions!$F$16),(Assumptions!$F$16-Assumptions!$D$16)/3.29)*44</f>
        <v>16019195.876228796</v>
      </c>
      <c r="O580" s="12">
        <f ca="1">_xlfn.NORM.INV(RAND(),AVERAGE(Assumptions!$D$15,Assumptions!$F$15),(Assumptions!$F$15-Assumptions!$D$15)/3.29)*44</f>
        <v>79297980.989645541</v>
      </c>
      <c r="P580" s="15">
        <f>Assumptions!$D$18</f>
        <v>14641750.345627395</v>
      </c>
      <c r="Q580" s="3">
        <f t="shared" ca="1" si="18"/>
        <v>5637718.8098768741</v>
      </c>
      <c r="R580" s="6">
        <f t="shared" ca="1" si="19"/>
        <v>20279469.155504271</v>
      </c>
    </row>
    <row r="581" spans="1:18">
      <c r="A581" s="20">
        <v>580</v>
      </c>
      <c r="B581" s="3">
        <f ca="1">_xlfn.NORM.INV(RAND(),AVERAGE(Assumptions!$D$4,Assumptions!$F$4),(Assumptions!$F$4-Assumptions!$D$4)/3.29)*44</f>
        <v>1203147.899895404</v>
      </c>
      <c r="C581" s="6">
        <f ca="1">_xlfn.NORM.INV(RAND(),AVERAGE(Assumptions!$D$5,Assumptions!$F$5),(Assumptions!$F$5-Assumptions!$D$5)/3.29)*44</f>
        <v>1746976.5885119818</v>
      </c>
      <c r="D581" s="9">
        <f ca="1">_xlfn.NORM.INV(RAND(),AVERAGE(Assumptions!$D$6,Assumptions!$F$6),(Assumptions!$F$6-Assumptions!$D$6)/3.29)*RANDBETWEEN(2,5)</f>
        <v>1302357.7841157261</v>
      </c>
      <c r="E581" s="12">
        <f ca="1">_xlfn.NORM.INV(RAND(),AVERAGE(Assumptions!$D$17,Assumptions!$F$17),(Assumptions!$F$17-Assumptions!$D$17)/3.29)*8</f>
        <v>1022638.5746377452</v>
      </c>
      <c r="F581" s="15">
        <f ca="1">_xlfn.NORM.INV(RAND(),AVERAGE(Assumptions!$D$7,Assumptions!$F$7),(Assumptions!$F$7-Assumptions!$D$7)/3.29)*RANDBETWEEN(1,3)</f>
        <v>2065808.0445273165</v>
      </c>
      <c r="G581" s="3">
        <f ca="1">_xlfn.NORM.INV(RAND(),AVERAGE(Assumptions!$D$8,Assumptions!$F$8),(Assumptions!$F$8-Assumptions!$D$8)/3.29)*44</f>
        <v>1140276.7307663332</v>
      </c>
      <c r="H581" s="6">
        <f ca="1">_xlfn.NORM.INV(RAND(),AVERAGE(Assumptions!$D$9,Assumptions!$F$9),(Assumptions!$F$9-Assumptions!$D$9)/3.29)*21</f>
        <v>3051741.717821551</v>
      </c>
      <c r="I581" s="9">
        <f ca="1">_xlfn.NORM.INV(RAND(),AVERAGE(Assumptions!$D$10,Assumptions!$F$10),(Assumptions!$F$10-Assumptions!$D$10)/3.29)*21</f>
        <v>891787.19735316501</v>
      </c>
      <c r="J581" s="12">
        <f ca="1">NORMINV(RAND(),AVERAGE(Assumptions!$D$11,Assumptions!$F$11),(Assumptions!$F$11-Assumptions!$D$11)/3.29)*44</f>
        <v>4770638.4782209536</v>
      </c>
      <c r="K581" s="15">
        <f ca="1">_xlfn.NORM.INV(RAND(),AVERAGE(Assumptions!$D$12,Assumptions!$F$12),(Assumptions!$F$12-Assumptions!$D$12)/3.29)*44</f>
        <v>10265474.190555636</v>
      </c>
      <c r="L581" s="3">
        <f ca="1">_xlfn.NORM.INV(RAND(),AVERAGE(Assumptions!$D$13,Assumptions!$F$13),(Assumptions!$F$13-Assumptions!$D$13)/3.29)*44</f>
        <v>12886879.981099304</v>
      </c>
      <c r="M581" s="6">
        <f ca="1">_xlfn.NORM.INV(RAND(),AVERAGE(Assumptions!$D$14,Assumptions!$F$14),(Assumptions!$F$14-Assumptions!$D$14)/3.29)*44</f>
        <v>4858093.870642947</v>
      </c>
      <c r="N581" s="9">
        <f ca="1">_xlfn.NORM.INV(RAND(),AVERAGE(Assumptions!$D$16,Assumptions!$F$16),(Assumptions!$F$16-Assumptions!$D$16)/3.29)*44</f>
        <v>6407504.901128537</v>
      </c>
      <c r="O581" s="12">
        <f ca="1">_xlfn.NORM.INV(RAND(),AVERAGE(Assumptions!$D$15,Assumptions!$F$15),(Assumptions!$F$15-Assumptions!$D$15)/3.29)*44</f>
        <v>100171430.0372891</v>
      </c>
      <c r="P581" s="15">
        <f>Assumptions!$D$18</f>
        <v>14641750.345627395</v>
      </c>
      <c r="Q581" s="3">
        <f t="shared" ca="1" si="18"/>
        <v>48558104.078012496</v>
      </c>
      <c r="R581" s="6">
        <f t="shared" ca="1" si="19"/>
        <v>63199854.423639894</v>
      </c>
    </row>
    <row r="582" spans="1:18">
      <c r="A582" s="20">
        <v>581</v>
      </c>
      <c r="B582" s="3">
        <f ca="1">_xlfn.NORM.INV(RAND(),AVERAGE(Assumptions!$D$4,Assumptions!$F$4),(Assumptions!$F$4-Assumptions!$D$4)/3.29)*44</f>
        <v>1275916.4047023472</v>
      </c>
      <c r="C582" s="6">
        <f ca="1">_xlfn.NORM.INV(RAND(),AVERAGE(Assumptions!$D$5,Assumptions!$F$5),(Assumptions!$F$5-Assumptions!$D$5)/3.29)*44</f>
        <v>1878977.3290844583</v>
      </c>
      <c r="D582" s="9">
        <f ca="1">_xlfn.NORM.INV(RAND(),AVERAGE(Assumptions!$D$6,Assumptions!$F$6),(Assumptions!$F$6-Assumptions!$D$6)/3.29)*RANDBETWEEN(2,5)</f>
        <v>3019532.3038354199</v>
      </c>
      <c r="E582" s="12">
        <f ca="1">_xlfn.NORM.INV(RAND(),AVERAGE(Assumptions!$D$17,Assumptions!$F$17),(Assumptions!$F$17-Assumptions!$D$17)/3.29)*8</f>
        <v>1006708.6591013409</v>
      </c>
      <c r="F582" s="15">
        <f ca="1">_xlfn.NORM.INV(RAND(),AVERAGE(Assumptions!$D$7,Assumptions!$F$7),(Assumptions!$F$7-Assumptions!$D$7)/3.29)*RANDBETWEEN(1,3)</f>
        <v>2377168.6490442576</v>
      </c>
      <c r="G582" s="3">
        <f ca="1">_xlfn.NORM.INV(RAND(),AVERAGE(Assumptions!$D$8,Assumptions!$F$8),(Assumptions!$F$8-Assumptions!$D$8)/3.29)*44</f>
        <v>1325286.7147883177</v>
      </c>
      <c r="H582" s="6">
        <f ca="1">_xlfn.NORM.INV(RAND(),AVERAGE(Assumptions!$D$9,Assumptions!$F$9),(Assumptions!$F$9-Assumptions!$D$9)/3.29)*21</f>
        <v>5759837.2030397411</v>
      </c>
      <c r="I582" s="9">
        <f ca="1">_xlfn.NORM.INV(RAND(),AVERAGE(Assumptions!$D$10,Assumptions!$F$10),(Assumptions!$F$10-Assumptions!$D$10)/3.29)*21</f>
        <v>1330034.3014305918</v>
      </c>
      <c r="J582" s="12">
        <f ca="1">NORMINV(RAND(),AVERAGE(Assumptions!$D$11,Assumptions!$F$11),(Assumptions!$F$11-Assumptions!$D$11)/3.29)*44</f>
        <v>2787690.2855314445</v>
      </c>
      <c r="K582" s="15">
        <f ca="1">_xlfn.NORM.INV(RAND(),AVERAGE(Assumptions!$D$12,Assumptions!$F$12),(Assumptions!$F$12-Assumptions!$D$12)/3.29)*44</f>
        <v>6448179.6723101586</v>
      </c>
      <c r="L582" s="3">
        <f ca="1">_xlfn.NORM.INV(RAND(),AVERAGE(Assumptions!$D$13,Assumptions!$F$13),(Assumptions!$F$13-Assumptions!$D$13)/3.29)*44</f>
        <v>13001373.837198861</v>
      </c>
      <c r="M582" s="6">
        <f ca="1">_xlfn.NORM.INV(RAND(),AVERAGE(Assumptions!$D$14,Assumptions!$F$14),(Assumptions!$F$14-Assumptions!$D$14)/3.29)*44</f>
        <v>4571165.0412590904</v>
      </c>
      <c r="N582" s="9">
        <f ca="1">_xlfn.NORM.INV(RAND(),AVERAGE(Assumptions!$D$16,Assumptions!$F$16),(Assumptions!$F$16-Assumptions!$D$16)/3.29)*44</f>
        <v>12979136.27755918</v>
      </c>
      <c r="O582" s="12">
        <f ca="1">_xlfn.NORM.INV(RAND(),AVERAGE(Assumptions!$D$15,Assumptions!$F$15),(Assumptions!$F$15-Assumptions!$D$15)/3.29)*44</f>
        <v>39127891.639094763</v>
      </c>
      <c r="P582" s="15">
        <f>Assumptions!$D$18</f>
        <v>14641750.345627395</v>
      </c>
      <c r="Q582" s="3">
        <f t="shared" ca="1" si="18"/>
        <v>-18633115.039790444</v>
      </c>
      <c r="R582" s="6">
        <f t="shared" ca="1" si="19"/>
        <v>-3991364.6941630486</v>
      </c>
    </row>
    <row r="583" spans="1:18">
      <c r="A583" s="20">
        <v>582</v>
      </c>
      <c r="B583" s="3">
        <f ca="1">_xlfn.NORM.INV(RAND(),AVERAGE(Assumptions!$D$4,Assumptions!$F$4),(Assumptions!$F$4-Assumptions!$D$4)/3.29)*44</f>
        <v>1164394.8863751986</v>
      </c>
      <c r="C583" s="6">
        <f ca="1">_xlfn.NORM.INV(RAND(),AVERAGE(Assumptions!$D$5,Assumptions!$F$5),(Assumptions!$F$5-Assumptions!$D$5)/3.29)*44</f>
        <v>1601964.3069246383</v>
      </c>
      <c r="D583" s="9">
        <f ca="1">_xlfn.NORM.INV(RAND(),AVERAGE(Assumptions!$D$6,Assumptions!$F$6),(Assumptions!$F$6-Assumptions!$D$6)/3.29)*RANDBETWEEN(2,5)</f>
        <v>4746270.4014429459</v>
      </c>
      <c r="E583" s="12">
        <f ca="1">_xlfn.NORM.INV(RAND(),AVERAGE(Assumptions!$D$17,Assumptions!$F$17),(Assumptions!$F$17-Assumptions!$D$17)/3.29)*8</f>
        <v>1103898.9332293528</v>
      </c>
      <c r="F583" s="15">
        <f ca="1">_xlfn.NORM.INV(RAND(),AVERAGE(Assumptions!$D$7,Assumptions!$F$7),(Assumptions!$F$7-Assumptions!$D$7)/3.29)*RANDBETWEEN(1,3)</f>
        <v>5214515.9511053972</v>
      </c>
      <c r="G583" s="3">
        <f ca="1">_xlfn.NORM.INV(RAND(),AVERAGE(Assumptions!$D$8,Assumptions!$F$8),(Assumptions!$F$8-Assumptions!$D$8)/3.29)*44</f>
        <v>1085595.3481802153</v>
      </c>
      <c r="H583" s="6">
        <f ca="1">_xlfn.NORM.INV(RAND(),AVERAGE(Assumptions!$D$9,Assumptions!$F$9),(Assumptions!$F$9-Assumptions!$D$9)/3.29)*21</f>
        <v>2815065.1933701709</v>
      </c>
      <c r="I583" s="9">
        <f ca="1">_xlfn.NORM.INV(RAND(),AVERAGE(Assumptions!$D$10,Assumptions!$F$10),(Assumptions!$F$10-Assumptions!$D$10)/3.29)*21</f>
        <v>599642.29867988743</v>
      </c>
      <c r="J583" s="12">
        <f ca="1">NORMINV(RAND(),AVERAGE(Assumptions!$D$11,Assumptions!$F$11),(Assumptions!$F$11-Assumptions!$D$11)/3.29)*44</f>
        <v>2419274.0450992137</v>
      </c>
      <c r="K583" s="15">
        <f ca="1">_xlfn.NORM.INV(RAND(),AVERAGE(Assumptions!$D$12,Assumptions!$F$12),(Assumptions!$F$12-Assumptions!$D$12)/3.29)*44</f>
        <v>9009468.1002258528</v>
      </c>
      <c r="L583" s="3">
        <f ca="1">_xlfn.NORM.INV(RAND(),AVERAGE(Assumptions!$D$13,Assumptions!$F$13),(Assumptions!$F$13-Assumptions!$D$13)/3.29)*44</f>
        <v>8556445.3252377864</v>
      </c>
      <c r="M583" s="6">
        <f ca="1">_xlfn.NORM.INV(RAND(),AVERAGE(Assumptions!$D$14,Assumptions!$F$14),(Assumptions!$F$14-Assumptions!$D$14)/3.29)*44</f>
        <v>6530261.4429544453</v>
      </c>
      <c r="N583" s="9">
        <f ca="1">_xlfn.NORM.INV(RAND(),AVERAGE(Assumptions!$D$16,Assumptions!$F$16),(Assumptions!$F$16-Assumptions!$D$16)/3.29)*44</f>
        <v>3346223.2958018994</v>
      </c>
      <c r="O583" s="12">
        <f ca="1">_xlfn.NORM.INV(RAND(),AVERAGE(Assumptions!$D$15,Assumptions!$F$15),(Assumptions!$F$15-Assumptions!$D$15)/3.29)*44</f>
        <v>77815837.686120003</v>
      </c>
      <c r="P583" s="15">
        <f>Assumptions!$D$18</f>
        <v>14641750.345627395</v>
      </c>
      <c r="Q583" s="3">
        <f t="shared" ca="1" si="18"/>
        <v>29622818.157493003</v>
      </c>
      <c r="R583" s="6">
        <f t="shared" ca="1" si="19"/>
        <v>44264568.5031204</v>
      </c>
    </row>
    <row r="584" spans="1:18">
      <c r="A584" s="20">
        <v>583</v>
      </c>
      <c r="B584" s="3">
        <f ca="1">_xlfn.NORM.INV(RAND(),AVERAGE(Assumptions!$D$4,Assumptions!$F$4),(Assumptions!$F$4-Assumptions!$D$4)/3.29)*44</f>
        <v>1295644.4359257275</v>
      </c>
      <c r="C584" s="6">
        <f ca="1">_xlfn.NORM.INV(RAND(),AVERAGE(Assumptions!$D$5,Assumptions!$F$5),(Assumptions!$F$5-Assumptions!$D$5)/3.29)*44</f>
        <v>1930260.6605124054</v>
      </c>
      <c r="D584" s="9">
        <f ca="1">_xlfn.NORM.INV(RAND(),AVERAGE(Assumptions!$D$6,Assumptions!$F$6),(Assumptions!$F$6-Assumptions!$D$6)/3.29)*RANDBETWEEN(2,5)</f>
        <v>818491.37717317557</v>
      </c>
      <c r="E584" s="12">
        <f ca="1">_xlfn.NORM.INV(RAND(),AVERAGE(Assumptions!$D$17,Assumptions!$F$17),(Assumptions!$F$17-Assumptions!$D$17)/3.29)*8</f>
        <v>764761.8516088496</v>
      </c>
      <c r="F584" s="15">
        <f ca="1">_xlfn.NORM.INV(RAND(),AVERAGE(Assumptions!$D$7,Assumptions!$F$7),(Assumptions!$F$7-Assumptions!$D$7)/3.29)*RANDBETWEEN(1,3)</f>
        <v>3089233.5940008271</v>
      </c>
      <c r="G584" s="3">
        <f ca="1">_xlfn.NORM.INV(RAND(),AVERAGE(Assumptions!$D$8,Assumptions!$F$8),(Assumptions!$F$8-Assumptions!$D$8)/3.29)*44</f>
        <v>1517777.8259736372</v>
      </c>
      <c r="H584" s="6">
        <f ca="1">_xlfn.NORM.INV(RAND(),AVERAGE(Assumptions!$D$9,Assumptions!$F$9),(Assumptions!$F$9-Assumptions!$D$9)/3.29)*21</f>
        <v>6746333.6106251851</v>
      </c>
      <c r="I584" s="9">
        <f ca="1">_xlfn.NORM.INV(RAND(),AVERAGE(Assumptions!$D$10,Assumptions!$F$10),(Assumptions!$F$10-Assumptions!$D$10)/3.29)*21</f>
        <v>952814.89570597699</v>
      </c>
      <c r="J584" s="12">
        <f ca="1">NORMINV(RAND(),AVERAGE(Assumptions!$D$11,Assumptions!$F$11),(Assumptions!$F$11-Assumptions!$D$11)/3.29)*44</f>
        <v>5088692.0484608915</v>
      </c>
      <c r="K584" s="15">
        <f ca="1">_xlfn.NORM.INV(RAND(),AVERAGE(Assumptions!$D$12,Assumptions!$F$12),(Assumptions!$F$12-Assumptions!$D$12)/3.29)*44</f>
        <v>8346600.6675378131</v>
      </c>
      <c r="L584" s="3">
        <f ca="1">_xlfn.NORM.INV(RAND(),AVERAGE(Assumptions!$D$13,Assumptions!$F$13),(Assumptions!$F$13-Assumptions!$D$13)/3.29)*44</f>
        <v>17055930.813331213</v>
      </c>
      <c r="M584" s="6">
        <f ca="1">_xlfn.NORM.INV(RAND(),AVERAGE(Assumptions!$D$14,Assumptions!$F$14),(Assumptions!$F$14-Assumptions!$D$14)/3.29)*44</f>
        <v>6285061.2661028784</v>
      </c>
      <c r="N584" s="9">
        <f ca="1">_xlfn.NORM.INV(RAND(),AVERAGE(Assumptions!$D$16,Assumptions!$F$16),(Assumptions!$F$16-Assumptions!$D$16)/3.29)*44</f>
        <v>10367678.620245175</v>
      </c>
      <c r="O584" s="12">
        <f ca="1">_xlfn.NORM.INV(RAND(),AVERAGE(Assumptions!$D$15,Assumptions!$F$15),(Assumptions!$F$15-Assumptions!$D$15)/3.29)*44</f>
        <v>53789008.71068196</v>
      </c>
      <c r="P584" s="15">
        <f>Assumptions!$D$18</f>
        <v>14641750.345627395</v>
      </c>
      <c r="Q584" s="3">
        <f t="shared" ca="1" si="18"/>
        <v>-10470272.956521794</v>
      </c>
      <c r="R584" s="6">
        <f t="shared" ca="1" si="19"/>
        <v>4171477.3891056012</v>
      </c>
    </row>
    <row r="585" spans="1:18">
      <c r="A585" s="20">
        <v>584</v>
      </c>
      <c r="B585" s="3">
        <f ca="1">_xlfn.NORM.INV(RAND(),AVERAGE(Assumptions!$D$4,Assumptions!$F$4),(Assumptions!$F$4-Assumptions!$D$4)/3.29)*44</f>
        <v>1151884.165426471</v>
      </c>
      <c r="C585" s="6">
        <f ca="1">_xlfn.NORM.INV(RAND(),AVERAGE(Assumptions!$D$5,Assumptions!$F$5),(Assumptions!$F$5-Assumptions!$D$5)/3.29)*44</f>
        <v>2066750.030152875</v>
      </c>
      <c r="D585" s="9">
        <f ca="1">_xlfn.NORM.INV(RAND(),AVERAGE(Assumptions!$D$6,Assumptions!$F$6),(Assumptions!$F$6-Assumptions!$D$6)/3.29)*RANDBETWEEN(2,5)</f>
        <v>6445677.7716993596</v>
      </c>
      <c r="E585" s="12">
        <f ca="1">_xlfn.NORM.INV(RAND(),AVERAGE(Assumptions!$D$17,Assumptions!$F$17),(Assumptions!$F$17-Assumptions!$D$17)/3.29)*8</f>
        <v>1011138.8083556851</v>
      </c>
      <c r="F585" s="15">
        <f ca="1">_xlfn.NORM.INV(RAND(),AVERAGE(Assumptions!$D$7,Assumptions!$F$7),(Assumptions!$F$7-Assumptions!$D$7)/3.29)*RANDBETWEEN(1,3)</f>
        <v>6495094.7556508128</v>
      </c>
      <c r="G585" s="3">
        <f ca="1">_xlfn.NORM.INV(RAND(),AVERAGE(Assumptions!$D$8,Assumptions!$F$8),(Assumptions!$F$8-Assumptions!$D$8)/3.29)*44</f>
        <v>1208907.4011477504</v>
      </c>
      <c r="H585" s="6">
        <f ca="1">_xlfn.NORM.INV(RAND(),AVERAGE(Assumptions!$D$9,Assumptions!$F$9),(Assumptions!$F$9-Assumptions!$D$9)/3.29)*21</f>
        <v>3667608.459174267</v>
      </c>
      <c r="I585" s="9">
        <f ca="1">_xlfn.NORM.INV(RAND(),AVERAGE(Assumptions!$D$10,Assumptions!$F$10),(Assumptions!$F$10-Assumptions!$D$10)/3.29)*21</f>
        <v>825050.31445727148</v>
      </c>
      <c r="J585" s="12">
        <f ca="1">NORMINV(RAND(),AVERAGE(Assumptions!$D$11,Assumptions!$F$11),(Assumptions!$F$11-Assumptions!$D$11)/3.29)*44</f>
        <v>3105403.9090483184</v>
      </c>
      <c r="K585" s="15">
        <f ca="1">_xlfn.NORM.INV(RAND(),AVERAGE(Assumptions!$D$12,Assumptions!$F$12),(Assumptions!$F$12-Assumptions!$D$12)/3.29)*44</f>
        <v>10127740.945481069</v>
      </c>
      <c r="L585" s="3">
        <f ca="1">_xlfn.NORM.INV(RAND(),AVERAGE(Assumptions!$D$13,Assumptions!$F$13),(Assumptions!$F$13-Assumptions!$D$13)/3.29)*44</f>
        <v>21372096.246084265</v>
      </c>
      <c r="M585" s="6">
        <f ca="1">_xlfn.NORM.INV(RAND(),AVERAGE(Assumptions!$D$14,Assumptions!$F$14),(Assumptions!$F$14-Assumptions!$D$14)/3.29)*44</f>
        <v>4716576.2084019314</v>
      </c>
      <c r="N585" s="9">
        <f ca="1">_xlfn.NORM.INV(RAND(),AVERAGE(Assumptions!$D$16,Assumptions!$F$16),(Assumptions!$F$16-Assumptions!$D$16)/3.29)*44</f>
        <v>9990897.6048697904</v>
      </c>
      <c r="O585" s="12">
        <f ca="1">_xlfn.NORM.INV(RAND(),AVERAGE(Assumptions!$D$15,Assumptions!$F$15),(Assumptions!$F$15-Assumptions!$D$15)/3.29)*44</f>
        <v>61105169.122607224</v>
      </c>
      <c r="P585" s="15">
        <f>Assumptions!$D$18</f>
        <v>14641750.345627395</v>
      </c>
      <c r="Q585" s="3">
        <f t="shared" ca="1" si="18"/>
        <v>-11079657.497342654</v>
      </c>
      <c r="R585" s="6">
        <f t="shared" ca="1" si="19"/>
        <v>3562092.8482847419</v>
      </c>
    </row>
    <row r="586" spans="1:18">
      <c r="A586" s="20">
        <v>585</v>
      </c>
      <c r="B586" s="3">
        <f ca="1">_xlfn.NORM.INV(RAND(),AVERAGE(Assumptions!$D$4,Assumptions!$F$4),(Assumptions!$F$4-Assumptions!$D$4)/3.29)*44</f>
        <v>1199871.1016788692</v>
      </c>
      <c r="C586" s="6">
        <f ca="1">_xlfn.NORM.INV(RAND(),AVERAGE(Assumptions!$D$5,Assumptions!$F$5),(Assumptions!$F$5-Assumptions!$D$5)/3.29)*44</f>
        <v>2354837.3386280863</v>
      </c>
      <c r="D586" s="9">
        <f ca="1">_xlfn.NORM.INV(RAND(),AVERAGE(Assumptions!$D$6,Assumptions!$F$6),(Assumptions!$F$6-Assumptions!$D$6)/3.29)*RANDBETWEEN(2,5)</f>
        <v>11877141.285219798</v>
      </c>
      <c r="E586" s="12">
        <f ca="1">_xlfn.NORM.INV(RAND(),AVERAGE(Assumptions!$D$17,Assumptions!$F$17),(Assumptions!$F$17-Assumptions!$D$17)/3.29)*8</f>
        <v>895106.87219529925</v>
      </c>
      <c r="F586" s="15">
        <f ca="1">_xlfn.NORM.INV(RAND(),AVERAGE(Assumptions!$D$7,Assumptions!$F$7),(Assumptions!$F$7-Assumptions!$D$7)/3.29)*RANDBETWEEN(1,3)</f>
        <v>5819120.7165752556</v>
      </c>
      <c r="G586" s="3">
        <f ca="1">_xlfn.NORM.INV(RAND(),AVERAGE(Assumptions!$D$8,Assumptions!$F$8),(Assumptions!$F$8-Assumptions!$D$8)/3.29)*44</f>
        <v>1225640.5735071264</v>
      </c>
      <c r="H586" s="6">
        <f ca="1">_xlfn.NORM.INV(RAND(),AVERAGE(Assumptions!$D$9,Assumptions!$F$9),(Assumptions!$F$9-Assumptions!$D$9)/3.29)*21</f>
        <v>5281384.3993029585</v>
      </c>
      <c r="I586" s="9">
        <f ca="1">_xlfn.NORM.INV(RAND(),AVERAGE(Assumptions!$D$10,Assumptions!$F$10),(Assumptions!$F$10-Assumptions!$D$10)/3.29)*21</f>
        <v>747665.71003687859</v>
      </c>
      <c r="J586" s="12">
        <f ca="1">NORMINV(RAND(),AVERAGE(Assumptions!$D$11,Assumptions!$F$11),(Assumptions!$F$11-Assumptions!$D$11)/3.29)*44</f>
        <v>1644924.0792242622</v>
      </c>
      <c r="K586" s="15">
        <f ca="1">_xlfn.NORM.INV(RAND(),AVERAGE(Assumptions!$D$12,Assumptions!$F$12),(Assumptions!$F$12-Assumptions!$D$12)/3.29)*44</f>
        <v>8971605.1120938193</v>
      </c>
      <c r="L586" s="3">
        <f ca="1">_xlfn.NORM.INV(RAND(),AVERAGE(Assumptions!$D$13,Assumptions!$F$13),(Assumptions!$F$13-Assumptions!$D$13)/3.29)*44</f>
        <v>21798991.787196737</v>
      </c>
      <c r="M586" s="6">
        <f ca="1">_xlfn.NORM.INV(RAND(),AVERAGE(Assumptions!$D$14,Assumptions!$F$14),(Assumptions!$F$14-Assumptions!$D$14)/3.29)*44</f>
        <v>6429454.8704461772</v>
      </c>
      <c r="N586" s="9">
        <f ca="1">_xlfn.NORM.INV(RAND(),AVERAGE(Assumptions!$D$16,Assumptions!$F$16),(Assumptions!$F$16-Assumptions!$D$16)/3.29)*44</f>
        <v>11691785.53347793</v>
      </c>
      <c r="O586" s="12">
        <f ca="1">_xlfn.NORM.INV(RAND(),AVERAGE(Assumptions!$D$15,Assumptions!$F$15),(Assumptions!$F$15-Assumptions!$D$15)/3.29)*44</f>
        <v>207511769.46839014</v>
      </c>
      <c r="P586" s="15">
        <f>Assumptions!$D$18</f>
        <v>14641750.345627395</v>
      </c>
      <c r="Q586" s="3">
        <f t="shared" ca="1" si="18"/>
        <v>127574240.08880694</v>
      </c>
      <c r="R586" s="6">
        <f t="shared" ca="1" si="19"/>
        <v>142215990.43443432</v>
      </c>
    </row>
    <row r="587" spans="1:18">
      <c r="A587" s="20">
        <v>586</v>
      </c>
      <c r="B587" s="3">
        <f ca="1">_xlfn.NORM.INV(RAND(),AVERAGE(Assumptions!$D$4,Assumptions!$F$4),(Assumptions!$F$4-Assumptions!$D$4)/3.29)*44</f>
        <v>1172162.9817261575</v>
      </c>
      <c r="C587" s="6">
        <f ca="1">_xlfn.NORM.INV(RAND(),AVERAGE(Assumptions!$D$5,Assumptions!$F$5),(Assumptions!$F$5-Assumptions!$D$5)/3.29)*44</f>
        <v>1664319.5980428602</v>
      </c>
      <c r="D587" s="9">
        <f ca="1">_xlfn.NORM.INV(RAND(),AVERAGE(Assumptions!$D$6,Assumptions!$F$6),(Assumptions!$F$6-Assumptions!$D$6)/3.29)*RANDBETWEEN(2,5)</f>
        <v>7608489.9764514575</v>
      </c>
      <c r="E587" s="12">
        <f ca="1">_xlfn.NORM.INV(RAND(),AVERAGE(Assumptions!$D$17,Assumptions!$F$17),(Assumptions!$F$17-Assumptions!$D$17)/3.29)*8</f>
        <v>979939.91185487295</v>
      </c>
      <c r="F587" s="15">
        <f ca="1">_xlfn.NORM.INV(RAND(),AVERAGE(Assumptions!$D$7,Assumptions!$F$7),(Assumptions!$F$7-Assumptions!$D$7)/3.29)*RANDBETWEEN(1,3)</f>
        <v>1593611.9299368267</v>
      </c>
      <c r="G587" s="3">
        <f ca="1">_xlfn.NORM.INV(RAND(),AVERAGE(Assumptions!$D$8,Assumptions!$F$8),(Assumptions!$F$8-Assumptions!$D$8)/3.29)*44</f>
        <v>1235544.5404142607</v>
      </c>
      <c r="H587" s="6">
        <f ca="1">_xlfn.NORM.INV(RAND(),AVERAGE(Assumptions!$D$9,Assumptions!$F$9),(Assumptions!$F$9-Assumptions!$D$9)/3.29)*21</f>
        <v>2060111.1185000679</v>
      </c>
      <c r="I587" s="9">
        <f ca="1">_xlfn.NORM.INV(RAND(),AVERAGE(Assumptions!$D$10,Assumptions!$F$10),(Assumptions!$F$10-Assumptions!$D$10)/3.29)*21</f>
        <v>950711.67655889736</v>
      </c>
      <c r="J587" s="12">
        <f ca="1">NORMINV(RAND(),AVERAGE(Assumptions!$D$11,Assumptions!$F$11),(Assumptions!$F$11-Assumptions!$D$11)/3.29)*44</f>
        <v>5587565.8784296</v>
      </c>
      <c r="K587" s="15">
        <f ca="1">_xlfn.NORM.INV(RAND(),AVERAGE(Assumptions!$D$12,Assumptions!$F$12),(Assumptions!$F$12-Assumptions!$D$12)/3.29)*44</f>
        <v>7815162.5487810848</v>
      </c>
      <c r="L587" s="3">
        <f ca="1">_xlfn.NORM.INV(RAND(),AVERAGE(Assumptions!$D$13,Assumptions!$F$13),(Assumptions!$F$13-Assumptions!$D$13)/3.29)*44</f>
        <v>17353264.595171366</v>
      </c>
      <c r="M587" s="6">
        <f ca="1">_xlfn.NORM.INV(RAND(),AVERAGE(Assumptions!$D$14,Assumptions!$F$14),(Assumptions!$F$14-Assumptions!$D$14)/3.29)*44</f>
        <v>6402768.0728912614</v>
      </c>
      <c r="N587" s="9">
        <f ca="1">_xlfn.NORM.INV(RAND(),AVERAGE(Assumptions!$D$16,Assumptions!$F$16),(Assumptions!$F$16-Assumptions!$D$16)/3.29)*44</f>
        <v>13410460.933942171</v>
      </c>
      <c r="O587" s="12">
        <f ca="1">_xlfn.NORM.INV(RAND(),AVERAGE(Assumptions!$D$15,Assumptions!$F$15),(Assumptions!$F$15-Assumptions!$D$15)/3.29)*44</f>
        <v>90389221.656367272</v>
      </c>
      <c r="P587" s="15">
        <f>Assumptions!$D$18</f>
        <v>14641750.345627395</v>
      </c>
      <c r="Q587" s="3">
        <f t="shared" ca="1" si="18"/>
        <v>22555107.893666387</v>
      </c>
      <c r="R587" s="6">
        <f t="shared" ca="1" si="19"/>
        <v>37196858.239293784</v>
      </c>
    </row>
    <row r="588" spans="1:18">
      <c r="A588" s="20">
        <v>587</v>
      </c>
      <c r="B588" s="3">
        <f ca="1">_xlfn.NORM.INV(RAND(),AVERAGE(Assumptions!$D$4,Assumptions!$F$4),(Assumptions!$F$4-Assumptions!$D$4)/3.29)*44</f>
        <v>1194468.5587522243</v>
      </c>
      <c r="C588" s="6">
        <f ca="1">_xlfn.NORM.INV(RAND(),AVERAGE(Assumptions!$D$5,Assumptions!$F$5),(Assumptions!$F$5-Assumptions!$D$5)/3.29)*44</f>
        <v>2080661.0245651521</v>
      </c>
      <c r="D588" s="9">
        <f ca="1">_xlfn.NORM.INV(RAND(),AVERAGE(Assumptions!$D$6,Assumptions!$F$6),(Assumptions!$F$6-Assumptions!$D$6)/3.29)*RANDBETWEEN(2,5)</f>
        <v>8750227.0003397502</v>
      </c>
      <c r="E588" s="12">
        <f ca="1">_xlfn.NORM.INV(RAND(),AVERAGE(Assumptions!$D$17,Assumptions!$F$17),(Assumptions!$F$17-Assumptions!$D$17)/3.29)*8</f>
        <v>848498.16809169238</v>
      </c>
      <c r="F588" s="15">
        <f ca="1">_xlfn.NORM.INV(RAND(),AVERAGE(Assumptions!$D$7,Assumptions!$F$7),(Assumptions!$F$7-Assumptions!$D$7)/3.29)*RANDBETWEEN(1,3)</f>
        <v>10019387.521254651</v>
      </c>
      <c r="G588" s="3">
        <f ca="1">_xlfn.NORM.INV(RAND(),AVERAGE(Assumptions!$D$8,Assumptions!$F$8),(Assumptions!$F$8-Assumptions!$D$8)/3.29)*44</f>
        <v>1137312.680256505</v>
      </c>
      <c r="H588" s="6">
        <f ca="1">_xlfn.NORM.INV(RAND(),AVERAGE(Assumptions!$D$9,Assumptions!$F$9),(Assumptions!$F$9-Assumptions!$D$9)/3.29)*21</f>
        <v>4373228.474056825</v>
      </c>
      <c r="I588" s="9">
        <f ca="1">_xlfn.NORM.INV(RAND(),AVERAGE(Assumptions!$D$10,Assumptions!$F$10),(Assumptions!$F$10-Assumptions!$D$10)/3.29)*21</f>
        <v>954009.44795636681</v>
      </c>
      <c r="J588" s="12">
        <f ca="1">NORMINV(RAND(),AVERAGE(Assumptions!$D$11,Assumptions!$F$11),(Assumptions!$F$11-Assumptions!$D$11)/3.29)*44</f>
        <v>4962792.1777680758</v>
      </c>
      <c r="K588" s="15">
        <f ca="1">_xlfn.NORM.INV(RAND(),AVERAGE(Assumptions!$D$12,Assumptions!$F$12),(Assumptions!$F$12-Assumptions!$D$12)/3.29)*44</f>
        <v>7616094.9522281624</v>
      </c>
      <c r="L588" s="3">
        <f ca="1">_xlfn.NORM.INV(RAND(),AVERAGE(Assumptions!$D$13,Assumptions!$F$13),(Assumptions!$F$13-Assumptions!$D$13)/3.29)*44</f>
        <v>11856771.995368676</v>
      </c>
      <c r="M588" s="6">
        <f ca="1">_xlfn.NORM.INV(RAND(),AVERAGE(Assumptions!$D$14,Assumptions!$F$14),(Assumptions!$F$14-Assumptions!$D$14)/3.29)*44</f>
        <v>4392561.6076680161</v>
      </c>
      <c r="N588" s="9">
        <f ca="1">_xlfn.NORM.INV(RAND(),AVERAGE(Assumptions!$D$16,Assumptions!$F$16),(Assumptions!$F$16-Assumptions!$D$16)/3.29)*44</f>
        <v>10873940.159433903</v>
      </c>
      <c r="O588" s="12">
        <f ca="1">_xlfn.NORM.INV(RAND(),AVERAGE(Assumptions!$D$15,Assumptions!$F$15),(Assumptions!$F$15-Assumptions!$D$15)/3.29)*44</f>
        <v>72351516.382886976</v>
      </c>
      <c r="P588" s="15">
        <f>Assumptions!$D$18</f>
        <v>14641750.345627395</v>
      </c>
      <c r="Q588" s="3">
        <f t="shared" ca="1" si="18"/>
        <v>3291562.6151469797</v>
      </c>
      <c r="R588" s="6">
        <f t="shared" ca="1" si="19"/>
        <v>17933312.960774377</v>
      </c>
    </row>
    <row r="589" spans="1:18">
      <c r="A589" s="20">
        <v>588</v>
      </c>
      <c r="B589" s="3">
        <f ca="1">_xlfn.NORM.INV(RAND(),AVERAGE(Assumptions!$D$4,Assumptions!$F$4),(Assumptions!$F$4-Assumptions!$D$4)/3.29)*44</f>
        <v>1146242.2357773413</v>
      </c>
      <c r="C589" s="6">
        <f ca="1">_xlfn.NORM.INV(RAND(),AVERAGE(Assumptions!$D$5,Assumptions!$F$5),(Assumptions!$F$5-Assumptions!$D$5)/3.29)*44</f>
        <v>1718614.8578714936</v>
      </c>
      <c r="D589" s="9">
        <f ca="1">_xlfn.NORM.INV(RAND(),AVERAGE(Assumptions!$D$6,Assumptions!$F$6),(Assumptions!$F$6-Assumptions!$D$6)/3.29)*RANDBETWEEN(2,5)</f>
        <v>4542185.6198009346</v>
      </c>
      <c r="E589" s="12">
        <f ca="1">_xlfn.NORM.INV(RAND(),AVERAGE(Assumptions!$D$17,Assumptions!$F$17),(Assumptions!$F$17-Assumptions!$D$17)/3.29)*8</f>
        <v>852417.00816845743</v>
      </c>
      <c r="F589" s="15">
        <f ca="1">_xlfn.NORM.INV(RAND(),AVERAGE(Assumptions!$D$7,Assumptions!$F$7),(Assumptions!$F$7-Assumptions!$D$7)/3.29)*RANDBETWEEN(1,3)</f>
        <v>11629942.958331924</v>
      </c>
      <c r="G589" s="3">
        <f ca="1">_xlfn.NORM.INV(RAND(),AVERAGE(Assumptions!$D$8,Assumptions!$F$8),(Assumptions!$F$8-Assumptions!$D$8)/3.29)*44</f>
        <v>1062187.2658122303</v>
      </c>
      <c r="H589" s="6">
        <f ca="1">_xlfn.NORM.INV(RAND(),AVERAGE(Assumptions!$D$9,Assumptions!$F$9),(Assumptions!$F$9-Assumptions!$D$9)/3.29)*21</f>
        <v>3808239.4063152247</v>
      </c>
      <c r="I589" s="9">
        <f ca="1">_xlfn.NORM.INV(RAND(),AVERAGE(Assumptions!$D$10,Assumptions!$F$10),(Assumptions!$F$10-Assumptions!$D$10)/3.29)*21</f>
        <v>750624.81465516333</v>
      </c>
      <c r="J589" s="12">
        <f ca="1">NORMINV(RAND(),AVERAGE(Assumptions!$D$11,Assumptions!$F$11),(Assumptions!$F$11-Assumptions!$D$11)/3.29)*44</f>
        <v>4663846.945224476</v>
      </c>
      <c r="K589" s="15">
        <f ca="1">_xlfn.NORM.INV(RAND(),AVERAGE(Assumptions!$D$12,Assumptions!$F$12),(Assumptions!$F$12-Assumptions!$D$12)/3.29)*44</f>
        <v>7568564.3413705816</v>
      </c>
      <c r="L589" s="3">
        <f ca="1">_xlfn.NORM.INV(RAND(),AVERAGE(Assumptions!$D$13,Assumptions!$F$13),(Assumptions!$F$13-Assumptions!$D$13)/3.29)*44</f>
        <v>6674041.0628968691</v>
      </c>
      <c r="M589" s="6">
        <f ca="1">_xlfn.NORM.INV(RAND(),AVERAGE(Assumptions!$D$14,Assumptions!$F$14),(Assumptions!$F$14-Assumptions!$D$14)/3.29)*44</f>
        <v>7251176.6500724051</v>
      </c>
      <c r="N589" s="9">
        <f ca="1">_xlfn.NORM.INV(RAND(),AVERAGE(Assumptions!$D$16,Assumptions!$F$16),(Assumptions!$F$16-Assumptions!$D$16)/3.29)*44</f>
        <v>8273278.6283844979</v>
      </c>
      <c r="O589" s="12">
        <f ca="1">_xlfn.NORM.INV(RAND(),AVERAGE(Assumptions!$D$15,Assumptions!$F$15),(Assumptions!$F$15-Assumptions!$D$15)/3.29)*44</f>
        <v>92586398.13097778</v>
      </c>
      <c r="P589" s="15">
        <f>Assumptions!$D$18</f>
        <v>14641750.345627395</v>
      </c>
      <c r="Q589" s="3">
        <f t="shared" ca="1" si="18"/>
        <v>32645036.336296178</v>
      </c>
      <c r="R589" s="6">
        <f t="shared" ca="1" si="19"/>
        <v>47286786.681923576</v>
      </c>
    </row>
    <row r="590" spans="1:18">
      <c r="A590" s="20">
        <v>589</v>
      </c>
      <c r="B590" s="3">
        <f ca="1">_xlfn.NORM.INV(RAND(),AVERAGE(Assumptions!$D$4,Assumptions!$F$4),(Assumptions!$F$4-Assumptions!$D$4)/3.29)*44</f>
        <v>1306316.3643691649</v>
      </c>
      <c r="C590" s="6">
        <f ca="1">_xlfn.NORM.INV(RAND(),AVERAGE(Assumptions!$D$5,Assumptions!$F$5),(Assumptions!$F$5-Assumptions!$D$5)/3.29)*44</f>
        <v>1941084.0413264753</v>
      </c>
      <c r="D590" s="9">
        <f ca="1">_xlfn.NORM.INV(RAND(),AVERAGE(Assumptions!$D$6,Assumptions!$F$6),(Assumptions!$F$6-Assumptions!$D$6)/3.29)*RANDBETWEEN(2,5)</f>
        <v>5653823.910669161</v>
      </c>
      <c r="E590" s="12">
        <f ca="1">_xlfn.NORM.INV(RAND(),AVERAGE(Assumptions!$D$17,Assumptions!$F$17),(Assumptions!$F$17-Assumptions!$D$17)/3.29)*8</f>
        <v>1050590.4146290901</v>
      </c>
      <c r="F590" s="15">
        <f ca="1">_xlfn.NORM.INV(RAND(),AVERAGE(Assumptions!$D$7,Assumptions!$F$7),(Assumptions!$F$7-Assumptions!$D$7)/3.29)*RANDBETWEEN(1,3)</f>
        <v>7691481.7355897734</v>
      </c>
      <c r="G590" s="3">
        <f ca="1">_xlfn.NORM.INV(RAND(),AVERAGE(Assumptions!$D$8,Assumptions!$F$8),(Assumptions!$F$8-Assumptions!$D$8)/3.29)*44</f>
        <v>975636.84008904651</v>
      </c>
      <c r="H590" s="6">
        <f ca="1">_xlfn.NORM.INV(RAND(),AVERAGE(Assumptions!$D$9,Assumptions!$F$9),(Assumptions!$F$9-Assumptions!$D$9)/3.29)*21</f>
        <v>4888160.1190878479</v>
      </c>
      <c r="I590" s="9">
        <f ca="1">_xlfn.NORM.INV(RAND(),AVERAGE(Assumptions!$D$10,Assumptions!$F$10),(Assumptions!$F$10-Assumptions!$D$10)/3.29)*21</f>
        <v>1331704.9950844955</v>
      </c>
      <c r="J590" s="12">
        <f ca="1">NORMINV(RAND(),AVERAGE(Assumptions!$D$11,Assumptions!$F$11),(Assumptions!$F$11-Assumptions!$D$11)/3.29)*44</f>
        <v>1830188.5713813012</v>
      </c>
      <c r="K590" s="15">
        <f ca="1">_xlfn.NORM.INV(RAND(),AVERAGE(Assumptions!$D$12,Assumptions!$F$12),(Assumptions!$F$12-Assumptions!$D$12)/3.29)*44</f>
        <v>7503298.4079171252</v>
      </c>
      <c r="L590" s="3">
        <f ca="1">_xlfn.NORM.INV(RAND(),AVERAGE(Assumptions!$D$13,Assumptions!$F$13),(Assumptions!$F$13-Assumptions!$D$13)/3.29)*44</f>
        <v>13496337.960754525</v>
      </c>
      <c r="M590" s="6">
        <f ca="1">_xlfn.NORM.INV(RAND(),AVERAGE(Assumptions!$D$14,Assumptions!$F$14),(Assumptions!$F$14-Assumptions!$D$14)/3.29)*44</f>
        <v>7160667.1312145106</v>
      </c>
      <c r="N590" s="9">
        <f ca="1">_xlfn.NORM.INV(RAND(),AVERAGE(Assumptions!$D$16,Assumptions!$F$16),(Assumptions!$F$16-Assumptions!$D$16)/3.29)*44</f>
        <v>6564683.7584024537</v>
      </c>
      <c r="O590" s="12">
        <f ca="1">_xlfn.NORM.INV(RAND(),AVERAGE(Assumptions!$D$15,Assumptions!$F$15),(Assumptions!$F$15-Assumptions!$D$15)/3.29)*44</f>
        <v>-32213242.908811722</v>
      </c>
      <c r="P590" s="15">
        <f>Assumptions!$D$18</f>
        <v>14641750.345627395</v>
      </c>
      <c r="Q590" s="3">
        <f t="shared" ca="1" si="18"/>
        <v>-93607217.159326687</v>
      </c>
      <c r="R590" s="6">
        <f t="shared" ca="1" si="19"/>
        <v>-78965466.81369929</v>
      </c>
    </row>
    <row r="591" spans="1:18">
      <c r="A591" s="20">
        <v>590</v>
      </c>
      <c r="B591" s="3">
        <f ca="1">_xlfn.NORM.INV(RAND(),AVERAGE(Assumptions!$D$4,Assumptions!$F$4),(Assumptions!$F$4-Assumptions!$D$4)/3.29)*44</f>
        <v>1321979.1241067969</v>
      </c>
      <c r="C591" s="6">
        <f ca="1">_xlfn.NORM.INV(RAND(),AVERAGE(Assumptions!$D$5,Assumptions!$F$5),(Assumptions!$F$5-Assumptions!$D$5)/3.29)*44</f>
        <v>1541402.3680340056</v>
      </c>
      <c r="D591" s="9">
        <f ca="1">_xlfn.NORM.INV(RAND(),AVERAGE(Assumptions!$D$6,Assumptions!$F$6),(Assumptions!$F$6-Assumptions!$D$6)/3.29)*RANDBETWEEN(2,5)</f>
        <v>10006816.694337975</v>
      </c>
      <c r="E591" s="12">
        <f ca="1">_xlfn.NORM.INV(RAND(),AVERAGE(Assumptions!$D$17,Assumptions!$F$17),(Assumptions!$F$17-Assumptions!$D$17)/3.29)*8</f>
        <v>879583.44233259838</v>
      </c>
      <c r="F591" s="15">
        <f ca="1">_xlfn.NORM.INV(RAND(),AVERAGE(Assumptions!$D$7,Assumptions!$F$7),(Assumptions!$F$7-Assumptions!$D$7)/3.29)*RANDBETWEEN(1,3)</f>
        <v>6458870.6172532914</v>
      </c>
      <c r="G591" s="3">
        <f ca="1">_xlfn.NORM.INV(RAND(),AVERAGE(Assumptions!$D$8,Assumptions!$F$8),(Assumptions!$F$8-Assumptions!$D$8)/3.29)*44</f>
        <v>1446209.7529883082</v>
      </c>
      <c r="H591" s="6">
        <f ca="1">_xlfn.NORM.INV(RAND(),AVERAGE(Assumptions!$D$9,Assumptions!$F$9),(Assumptions!$F$9-Assumptions!$D$9)/3.29)*21</f>
        <v>3461916.9742280091</v>
      </c>
      <c r="I591" s="9">
        <f ca="1">_xlfn.NORM.INV(RAND(),AVERAGE(Assumptions!$D$10,Assumptions!$F$10),(Assumptions!$F$10-Assumptions!$D$10)/3.29)*21</f>
        <v>665275.64556511142</v>
      </c>
      <c r="J591" s="12">
        <f ca="1">NORMINV(RAND(),AVERAGE(Assumptions!$D$11,Assumptions!$F$11),(Assumptions!$F$11-Assumptions!$D$11)/3.29)*44</f>
        <v>2411788.4292986416</v>
      </c>
      <c r="K591" s="15">
        <f ca="1">_xlfn.NORM.INV(RAND(),AVERAGE(Assumptions!$D$12,Assumptions!$F$12),(Assumptions!$F$12-Assumptions!$D$12)/3.29)*44</f>
        <v>7204578.8715017978</v>
      </c>
      <c r="L591" s="3">
        <f ca="1">_xlfn.NORM.INV(RAND(),AVERAGE(Assumptions!$D$13,Assumptions!$F$13),(Assumptions!$F$13-Assumptions!$D$13)/3.29)*44</f>
        <v>12765324.548947878</v>
      </c>
      <c r="M591" s="6">
        <f ca="1">_xlfn.NORM.INV(RAND(),AVERAGE(Assumptions!$D$14,Assumptions!$F$14),(Assumptions!$F$14-Assumptions!$D$14)/3.29)*44</f>
        <v>7075082.0509233885</v>
      </c>
      <c r="N591" s="9">
        <f ca="1">_xlfn.NORM.INV(RAND(),AVERAGE(Assumptions!$D$16,Assumptions!$F$16),(Assumptions!$F$16-Assumptions!$D$16)/3.29)*44</f>
        <v>9698128.005545862</v>
      </c>
      <c r="O591" s="12">
        <f ca="1">_xlfn.NORM.INV(RAND(),AVERAGE(Assumptions!$D$15,Assumptions!$F$15),(Assumptions!$F$15-Assumptions!$D$15)/3.29)*44</f>
        <v>37032432.519285172</v>
      </c>
      <c r="P591" s="15">
        <f>Assumptions!$D$18</f>
        <v>14641750.345627395</v>
      </c>
      <c r="Q591" s="3">
        <f t="shared" ca="1" si="18"/>
        <v>-27904524.005778499</v>
      </c>
      <c r="R591" s="6">
        <f t="shared" ca="1" si="19"/>
        <v>-13262773.660151104</v>
      </c>
    </row>
    <row r="592" spans="1:18">
      <c r="A592" s="20">
        <v>591</v>
      </c>
      <c r="B592" s="3">
        <f ca="1">_xlfn.NORM.INV(RAND(),AVERAGE(Assumptions!$D$4,Assumptions!$F$4),(Assumptions!$F$4-Assumptions!$D$4)/3.29)*44</f>
        <v>1224206.991788965</v>
      </c>
      <c r="C592" s="6">
        <f ca="1">_xlfn.NORM.INV(RAND(),AVERAGE(Assumptions!$D$5,Assumptions!$F$5),(Assumptions!$F$5-Assumptions!$D$5)/3.29)*44</f>
        <v>1783000.5081492551</v>
      </c>
      <c r="D592" s="9">
        <f ca="1">_xlfn.NORM.INV(RAND(),AVERAGE(Assumptions!$D$6,Assumptions!$F$6),(Assumptions!$F$6-Assumptions!$D$6)/3.29)*RANDBETWEEN(2,5)</f>
        <v>7818298.8333479883</v>
      </c>
      <c r="E592" s="12">
        <f ca="1">_xlfn.NORM.INV(RAND(),AVERAGE(Assumptions!$D$17,Assumptions!$F$17),(Assumptions!$F$17-Assumptions!$D$17)/3.29)*8</f>
        <v>1181461.2541736534</v>
      </c>
      <c r="F592" s="15">
        <f ca="1">_xlfn.NORM.INV(RAND(),AVERAGE(Assumptions!$D$7,Assumptions!$F$7),(Assumptions!$F$7-Assumptions!$D$7)/3.29)*RANDBETWEEN(1,3)</f>
        <v>2953482.9992023041</v>
      </c>
      <c r="G592" s="3">
        <f ca="1">_xlfn.NORM.INV(RAND(),AVERAGE(Assumptions!$D$8,Assumptions!$F$8),(Assumptions!$F$8-Assumptions!$D$8)/3.29)*44</f>
        <v>1246532.5076245498</v>
      </c>
      <c r="H592" s="6">
        <f ca="1">_xlfn.NORM.INV(RAND(),AVERAGE(Assumptions!$D$9,Assumptions!$F$9),(Assumptions!$F$9-Assumptions!$D$9)/3.29)*21</f>
        <v>4405117.0824769801</v>
      </c>
      <c r="I592" s="9">
        <f ca="1">_xlfn.NORM.INV(RAND(),AVERAGE(Assumptions!$D$10,Assumptions!$F$10),(Assumptions!$F$10-Assumptions!$D$10)/3.29)*21</f>
        <v>989683.49456202076</v>
      </c>
      <c r="J592" s="12">
        <f ca="1">NORMINV(RAND(),AVERAGE(Assumptions!$D$11,Assumptions!$F$11),(Assumptions!$F$11-Assumptions!$D$11)/3.29)*44</f>
        <v>664305.8975265983</v>
      </c>
      <c r="K592" s="15">
        <f ca="1">_xlfn.NORM.INV(RAND(),AVERAGE(Assumptions!$D$12,Assumptions!$F$12),(Assumptions!$F$12-Assumptions!$D$12)/3.29)*44</f>
        <v>12851007.31270289</v>
      </c>
      <c r="L592" s="3">
        <f ca="1">_xlfn.NORM.INV(RAND(),AVERAGE(Assumptions!$D$13,Assumptions!$F$13),(Assumptions!$F$13-Assumptions!$D$13)/3.29)*44</f>
        <v>15873716.587892141</v>
      </c>
      <c r="M592" s="6">
        <f ca="1">_xlfn.NORM.INV(RAND(),AVERAGE(Assumptions!$D$14,Assumptions!$F$14),(Assumptions!$F$14-Assumptions!$D$14)/3.29)*44</f>
        <v>5928369.3481113883</v>
      </c>
      <c r="N592" s="9">
        <f ca="1">_xlfn.NORM.INV(RAND(),AVERAGE(Assumptions!$D$16,Assumptions!$F$16),(Assumptions!$F$16-Assumptions!$D$16)/3.29)*44</f>
        <v>10890936.177102331</v>
      </c>
      <c r="O592" s="12">
        <f ca="1">_xlfn.NORM.INV(RAND(),AVERAGE(Assumptions!$D$15,Assumptions!$F$15),(Assumptions!$F$15-Assumptions!$D$15)/3.29)*44</f>
        <v>122364939.7149964</v>
      </c>
      <c r="P592" s="15">
        <f>Assumptions!$D$18</f>
        <v>14641750.345627395</v>
      </c>
      <c r="Q592" s="3">
        <f t="shared" ca="1" si="18"/>
        <v>54554820.720335335</v>
      </c>
      <c r="R592" s="6">
        <f t="shared" ca="1" si="19"/>
        <v>69196571.065962732</v>
      </c>
    </row>
    <row r="593" spans="1:18">
      <c r="A593" s="20">
        <v>592</v>
      </c>
      <c r="B593" s="3">
        <f ca="1">_xlfn.NORM.INV(RAND(),AVERAGE(Assumptions!$D$4,Assumptions!$F$4),(Assumptions!$F$4-Assumptions!$D$4)/3.29)*44</f>
        <v>1192730.890426975</v>
      </c>
      <c r="C593" s="6">
        <f ca="1">_xlfn.NORM.INV(RAND(),AVERAGE(Assumptions!$D$5,Assumptions!$F$5),(Assumptions!$F$5-Assumptions!$D$5)/3.29)*44</f>
        <v>1990787.9211616057</v>
      </c>
      <c r="D593" s="9">
        <f ca="1">_xlfn.NORM.INV(RAND(),AVERAGE(Assumptions!$D$6,Assumptions!$F$6),(Assumptions!$F$6-Assumptions!$D$6)/3.29)*RANDBETWEEN(2,5)</f>
        <v>3151815.6738358159</v>
      </c>
      <c r="E593" s="12">
        <f ca="1">_xlfn.NORM.INV(RAND(),AVERAGE(Assumptions!$D$17,Assumptions!$F$17),(Assumptions!$F$17-Assumptions!$D$17)/3.29)*8</f>
        <v>912871.74537082063</v>
      </c>
      <c r="F593" s="15">
        <f ca="1">_xlfn.NORM.INV(RAND(),AVERAGE(Assumptions!$D$7,Assumptions!$F$7),(Assumptions!$F$7-Assumptions!$D$7)/3.29)*RANDBETWEEN(1,3)</f>
        <v>6590726.8546449058</v>
      </c>
      <c r="G593" s="3">
        <f ca="1">_xlfn.NORM.INV(RAND(),AVERAGE(Assumptions!$D$8,Assumptions!$F$8),(Assumptions!$F$8-Assumptions!$D$8)/3.29)*44</f>
        <v>1161449.6974788795</v>
      </c>
      <c r="H593" s="6">
        <f ca="1">_xlfn.NORM.INV(RAND(),AVERAGE(Assumptions!$D$9,Assumptions!$F$9),(Assumptions!$F$9-Assumptions!$D$9)/3.29)*21</f>
        <v>2586489.0172538888</v>
      </c>
      <c r="I593" s="9">
        <f ca="1">_xlfn.NORM.INV(RAND(),AVERAGE(Assumptions!$D$10,Assumptions!$F$10),(Assumptions!$F$10-Assumptions!$D$10)/3.29)*21</f>
        <v>712127.83901892207</v>
      </c>
      <c r="J593" s="12">
        <f ca="1">NORMINV(RAND(),AVERAGE(Assumptions!$D$11,Assumptions!$F$11),(Assumptions!$F$11-Assumptions!$D$11)/3.29)*44</f>
        <v>2607464.6412243112</v>
      </c>
      <c r="K593" s="15">
        <f ca="1">_xlfn.NORM.INV(RAND(),AVERAGE(Assumptions!$D$12,Assumptions!$F$12),(Assumptions!$F$12-Assumptions!$D$12)/3.29)*44</f>
        <v>7572719.3457760429</v>
      </c>
      <c r="L593" s="3">
        <f ca="1">_xlfn.NORM.INV(RAND(),AVERAGE(Assumptions!$D$13,Assumptions!$F$13),(Assumptions!$F$13-Assumptions!$D$13)/3.29)*44</f>
        <v>21944873.309623186</v>
      </c>
      <c r="M593" s="6">
        <f ca="1">_xlfn.NORM.INV(RAND(),AVERAGE(Assumptions!$D$14,Assumptions!$F$14),(Assumptions!$F$14-Assumptions!$D$14)/3.29)*44</f>
        <v>5911940.2027043393</v>
      </c>
      <c r="N593" s="9">
        <f ca="1">_xlfn.NORM.INV(RAND(),AVERAGE(Assumptions!$D$16,Assumptions!$F$16),(Assumptions!$F$16-Assumptions!$D$16)/3.29)*44</f>
        <v>15677676.793155642</v>
      </c>
      <c r="O593" s="12">
        <f ca="1">_xlfn.NORM.INV(RAND(),AVERAGE(Assumptions!$D$15,Assumptions!$F$15),(Assumptions!$F$15-Assumptions!$D$15)/3.29)*44</f>
        <v>41668405.102849528</v>
      </c>
      <c r="P593" s="15">
        <f>Assumptions!$D$18</f>
        <v>14641750.345627395</v>
      </c>
      <c r="Q593" s="3">
        <f t="shared" ca="1" si="18"/>
        <v>-30345268.828825802</v>
      </c>
      <c r="R593" s="6">
        <f t="shared" ca="1" si="19"/>
        <v>-15703518.483198406</v>
      </c>
    </row>
    <row r="594" spans="1:18">
      <c r="A594" s="20">
        <v>593</v>
      </c>
      <c r="B594" s="3">
        <f ca="1">_xlfn.NORM.INV(RAND(),AVERAGE(Assumptions!$D$4,Assumptions!$F$4),(Assumptions!$F$4-Assumptions!$D$4)/3.29)*44</f>
        <v>1198524.2142130262</v>
      </c>
      <c r="C594" s="6">
        <f ca="1">_xlfn.NORM.INV(RAND(),AVERAGE(Assumptions!$D$5,Assumptions!$F$5),(Assumptions!$F$5-Assumptions!$D$5)/3.29)*44</f>
        <v>1837985.8986699316</v>
      </c>
      <c r="D594" s="9">
        <f ca="1">_xlfn.NORM.INV(RAND(),AVERAGE(Assumptions!$D$6,Assumptions!$F$6),(Assumptions!$F$6-Assumptions!$D$6)/3.29)*RANDBETWEEN(2,5)</f>
        <v>2322008.4318857109</v>
      </c>
      <c r="E594" s="12">
        <f ca="1">_xlfn.NORM.INV(RAND(),AVERAGE(Assumptions!$D$17,Assumptions!$F$17),(Assumptions!$F$17-Assumptions!$D$17)/3.29)*8</f>
        <v>930067.95638335356</v>
      </c>
      <c r="F594" s="15">
        <f ca="1">_xlfn.NORM.INV(RAND(),AVERAGE(Assumptions!$D$7,Assumptions!$F$7),(Assumptions!$F$7-Assumptions!$D$7)/3.29)*RANDBETWEEN(1,3)</f>
        <v>3723696.4303912208</v>
      </c>
      <c r="G594" s="3">
        <f ca="1">_xlfn.NORM.INV(RAND(),AVERAGE(Assumptions!$D$8,Assumptions!$F$8),(Assumptions!$F$8-Assumptions!$D$8)/3.29)*44</f>
        <v>1524884.4356465903</v>
      </c>
      <c r="H594" s="6">
        <f ca="1">_xlfn.NORM.INV(RAND(),AVERAGE(Assumptions!$D$9,Assumptions!$F$9),(Assumptions!$F$9-Assumptions!$D$9)/3.29)*21</f>
        <v>5873499.2331543341</v>
      </c>
      <c r="I594" s="9">
        <f ca="1">_xlfn.NORM.INV(RAND(),AVERAGE(Assumptions!$D$10,Assumptions!$F$10),(Assumptions!$F$10-Assumptions!$D$10)/3.29)*21</f>
        <v>727197.46910976723</v>
      </c>
      <c r="J594" s="12">
        <f ca="1">NORMINV(RAND(),AVERAGE(Assumptions!$D$11,Assumptions!$F$11),(Assumptions!$F$11-Assumptions!$D$11)/3.29)*44</f>
        <v>2796096.2961305203</v>
      </c>
      <c r="K594" s="15">
        <f ca="1">_xlfn.NORM.INV(RAND(),AVERAGE(Assumptions!$D$12,Assumptions!$F$12),(Assumptions!$F$12-Assumptions!$D$12)/3.29)*44</f>
        <v>8270718.7922963351</v>
      </c>
      <c r="L594" s="3">
        <f ca="1">_xlfn.NORM.INV(RAND(),AVERAGE(Assumptions!$D$13,Assumptions!$F$13),(Assumptions!$F$13-Assumptions!$D$13)/3.29)*44</f>
        <v>8768639.4496672209</v>
      </c>
      <c r="M594" s="6">
        <f ca="1">_xlfn.NORM.INV(RAND(),AVERAGE(Assumptions!$D$14,Assumptions!$F$14),(Assumptions!$F$14-Assumptions!$D$14)/3.29)*44</f>
        <v>5181136.5921191135</v>
      </c>
      <c r="N594" s="9">
        <f ca="1">_xlfn.NORM.INV(RAND(),AVERAGE(Assumptions!$D$16,Assumptions!$F$16),(Assumptions!$F$16-Assumptions!$D$16)/3.29)*44</f>
        <v>7215138.468993892</v>
      </c>
      <c r="O594" s="12">
        <f ca="1">_xlfn.NORM.INV(RAND(),AVERAGE(Assumptions!$D$15,Assumptions!$F$15),(Assumptions!$F$15-Assumptions!$D$15)/3.29)*44</f>
        <v>148352087.24047229</v>
      </c>
      <c r="P594" s="15">
        <f>Assumptions!$D$18</f>
        <v>14641750.345627395</v>
      </c>
      <c r="Q594" s="3">
        <f t="shared" ca="1" si="18"/>
        <v>97982493.571811259</v>
      </c>
      <c r="R594" s="6">
        <f t="shared" ca="1" si="19"/>
        <v>112624243.91743866</v>
      </c>
    </row>
    <row r="595" spans="1:18">
      <c r="A595" s="20">
        <v>594</v>
      </c>
      <c r="B595" s="3">
        <f ca="1">_xlfn.NORM.INV(RAND(),AVERAGE(Assumptions!$D$4,Assumptions!$F$4),(Assumptions!$F$4-Assumptions!$D$4)/3.29)*44</f>
        <v>1275451.8231066051</v>
      </c>
      <c r="C595" s="6">
        <f ca="1">_xlfn.NORM.INV(RAND(),AVERAGE(Assumptions!$D$5,Assumptions!$F$5),(Assumptions!$F$5-Assumptions!$D$5)/3.29)*44</f>
        <v>1934756.9167102478</v>
      </c>
      <c r="D595" s="9">
        <f ca="1">_xlfn.NORM.INV(RAND(),AVERAGE(Assumptions!$D$6,Assumptions!$F$6),(Assumptions!$F$6-Assumptions!$D$6)/3.29)*RANDBETWEEN(2,5)</f>
        <v>5202472.2895972934</v>
      </c>
      <c r="E595" s="12">
        <f ca="1">_xlfn.NORM.INV(RAND(),AVERAGE(Assumptions!$D$17,Assumptions!$F$17),(Assumptions!$F$17-Assumptions!$D$17)/3.29)*8</f>
        <v>908236.66336957202</v>
      </c>
      <c r="F595" s="15">
        <f ca="1">_xlfn.NORM.INV(RAND(),AVERAGE(Assumptions!$D$7,Assumptions!$F$7),(Assumptions!$F$7-Assumptions!$D$7)/3.29)*RANDBETWEEN(1,3)</f>
        <v>5810991.1745191813</v>
      </c>
      <c r="G595" s="3">
        <f ca="1">_xlfn.NORM.INV(RAND(),AVERAGE(Assumptions!$D$8,Assumptions!$F$8),(Assumptions!$F$8-Assumptions!$D$8)/3.29)*44</f>
        <v>1176249.8266275842</v>
      </c>
      <c r="H595" s="6">
        <f ca="1">_xlfn.NORM.INV(RAND(),AVERAGE(Assumptions!$D$9,Assumptions!$F$9),(Assumptions!$F$9-Assumptions!$D$9)/3.29)*21</f>
        <v>2647390.3748585791</v>
      </c>
      <c r="I595" s="9">
        <f ca="1">_xlfn.NORM.INV(RAND(),AVERAGE(Assumptions!$D$10,Assumptions!$F$10),(Assumptions!$F$10-Assumptions!$D$10)/3.29)*21</f>
        <v>942816.0256190775</v>
      </c>
      <c r="J595" s="12">
        <f ca="1">NORMINV(RAND(),AVERAGE(Assumptions!$D$11,Assumptions!$F$11),(Assumptions!$F$11-Assumptions!$D$11)/3.29)*44</f>
        <v>5255333.5699738013</v>
      </c>
      <c r="K595" s="15">
        <f ca="1">_xlfn.NORM.INV(RAND(),AVERAGE(Assumptions!$D$12,Assumptions!$F$12),(Assumptions!$F$12-Assumptions!$D$12)/3.29)*44</f>
        <v>8622735.1101206876</v>
      </c>
      <c r="L595" s="3">
        <f ca="1">_xlfn.NORM.INV(RAND(),AVERAGE(Assumptions!$D$13,Assumptions!$F$13),(Assumptions!$F$13-Assumptions!$D$13)/3.29)*44</f>
        <v>16101999.157443799</v>
      </c>
      <c r="M595" s="6">
        <f ca="1">_xlfn.NORM.INV(RAND(),AVERAGE(Assumptions!$D$14,Assumptions!$F$14),(Assumptions!$F$14-Assumptions!$D$14)/3.29)*44</f>
        <v>4207470.4231079184</v>
      </c>
      <c r="N595" s="9">
        <f ca="1">_xlfn.NORM.INV(RAND(),AVERAGE(Assumptions!$D$16,Assumptions!$F$16),(Assumptions!$F$16-Assumptions!$D$16)/3.29)*44</f>
        <v>16054400.933909448</v>
      </c>
      <c r="O595" s="12">
        <f ca="1">_xlfn.NORM.INV(RAND(),AVERAGE(Assumptions!$D$15,Assumptions!$F$15),(Assumptions!$F$15-Assumptions!$D$15)/3.29)*44</f>
        <v>74362464.595972136</v>
      </c>
      <c r="P595" s="15">
        <f>Assumptions!$D$18</f>
        <v>14641750.345627395</v>
      </c>
      <c r="Q595" s="3">
        <f t="shared" ca="1" si="18"/>
        <v>4222160.307008341</v>
      </c>
      <c r="R595" s="6">
        <f t="shared" ca="1" si="19"/>
        <v>18863910.652635738</v>
      </c>
    </row>
    <row r="596" spans="1:18">
      <c r="A596" s="20">
        <v>595</v>
      </c>
      <c r="B596" s="3">
        <f ca="1">_xlfn.NORM.INV(RAND(),AVERAGE(Assumptions!$D$4,Assumptions!$F$4),(Assumptions!$F$4-Assumptions!$D$4)/3.29)*44</f>
        <v>1239053.1239404653</v>
      </c>
      <c r="C596" s="6">
        <f ca="1">_xlfn.NORM.INV(RAND(),AVERAGE(Assumptions!$D$5,Assumptions!$F$5),(Assumptions!$F$5-Assumptions!$D$5)/3.29)*44</f>
        <v>1731457.2026032428</v>
      </c>
      <c r="D596" s="9">
        <f ca="1">_xlfn.NORM.INV(RAND(),AVERAGE(Assumptions!$D$6,Assumptions!$F$6),(Assumptions!$F$6-Assumptions!$D$6)/3.29)*RANDBETWEEN(2,5)</f>
        <v>4439398.1708734352</v>
      </c>
      <c r="E596" s="12">
        <f ca="1">_xlfn.NORM.INV(RAND(),AVERAGE(Assumptions!$D$17,Assumptions!$F$17),(Assumptions!$F$17-Assumptions!$D$17)/3.29)*8</f>
        <v>997100.02387747495</v>
      </c>
      <c r="F596" s="15">
        <f ca="1">_xlfn.NORM.INV(RAND(),AVERAGE(Assumptions!$D$7,Assumptions!$F$7),(Assumptions!$F$7-Assumptions!$D$7)/3.29)*RANDBETWEEN(1,3)</f>
        <v>5434103.2891655602</v>
      </c>
      <c r="G596" s="3">
        <f ca="1">_xlfn.NORM.INV(RAND(),AVERAGE(Assumptions!$D$8,Assumptions!$F$8),(Assumptions!$F$8-Assumptions!$D$8)/3.29)*44</f>
        <v>1382278.4656830986</v>
      </c>
      <c r="H596" s="6">
        <f ca="1">_xlfn.NORM.INV(RAND(),AVERAGE(Assumptions!$D$9,Assumptions!$F$9),(Assumptions!$F$9-Assumptions!$D$9)/3.29)*21</f>
        <v>4701437.4236554457</v>
      </c>
      <c r="I596" s="9">
        <f ca="1">_xlfn.NORM.INV(RAND(),AVERAGE(Assumptions!$D$10,Assumptions!$F$10),(Assumptions!$F$10-Assumptions!$D$10)/3.29)*21</f>
        <v>1116624.1334322724</v>
      </c>
      <c r="J596" s="12">
        <f ca="1">NORMINV(RAND(),AVERAGE(Assumptions!$D$11,Assumptions!$F$11),(Assumptions!$F$11-Assumptions!$D$11)/3.29)*44</f>
        <v>1947404.1141672682</v>
      </c>
      <c r="K596" s="15">
        <f ca="1">_xlfn.NORM.INV(RAND(),AVERAGE(Assumptions!$D$12,Assumptions!$F$12),(Assumptions!$F$12-Assumptions!$D$12)/3.29)*44</f>
        <v>6961206.4348090533</v>
      </c>
      <c r="L596" s="3">
        <f ca="1">_xlfn.NORM.INV(RAND(),AVERAGE(Assumptions!$D$13,Assumptions!$F$13),(Assumptions!$F$13-Assumptions!$D$13)/3.29)*44</f>
        <v>12439085.914819328</v>
      </c>
      <c r="M596" s="6">
        <f ca="1">_xlfn.NORM.INV(RAND(),AVERAGE(Assumptions!$D$14,Assumptions!$F$14),(Assumptions!$F$14-Assumptions!$D$14)/3.29)*44</f>
        <v>5320395.1956850067</v>
      </c>
      <c r="N596" s="9">
        <f ca="1">_xlfn.NORM.INV(RAND(),AVERAGE(Assumptions!$D$16,Assumptions!$F$16),(Assumptions!$F$16-Assumptions!$D$16)/3.29)*44</f>
        <v>12104779.588183837</v>
      </c>
      <c r="O596" s="12">
        <f ca="1">_xlfn.NORM.INV(RAND(),AVERAGE(Assumptions!$D$15,Assumptions!$F$15),(Assumptions!$F$15-Assumptions!$D$15)/3.29)*44</f>
        <v>104601406.96215554</v>
      </c>
      <c r="P596" s="15">
        <f>Assumptions!$D$18</f>
        <v>14641750.345627395</v>
      </c>
      <c r="Q596" s="3">
        <f t="shared" ca="1" si="18"/>
        <v>44787083.881260045</v>
      </c>
      <c r="R596" s="6">
        <f t="shared" ca="1" si="19"/>
        <v>59428834.226887442</v>
      </c>
    </row>
    <row r="597" spans="1:18">
      <c r="A597" s="20">
        <v>596</v>
      </c>
      <c r="B597" s="3">
        <f ca="1">_xlfn.NORM.INV(RAND(),AVERAGE(Assumptions!$D$4,Assumptions!$F$4),(Assumptions!$F$4-Assumptions!$D$4)/3.29)*44</f>
        <v>1136460.9911073933</v>
      </c>
      <c r="C597" s="6">
        <f ca="1">_xlfn.NORM.INV(RAND(),AVERAGE(Assumptions!$D$5,Assumptions!$F$5),(Assumptions!$F$5-Assumptions!$D$5)/3.29)*44</f>
        <v>1792012.1267162976</v>
      </c>
      <c r="D597" s="9">
        <f ca="1">_xlfn.NORM.INV(RAND(),AVERAGE(Assumptions!$D$6,Assumptions!$F$6),(Assumptions!$F$6-Assumptions!$D$6)/3.29)*RANDBETWEEN(2,5)</f>
        <v>4507377.2725683805</v>
      </c>
      <c r="E597" s="12">
        <f ca="1">_xlfn.NORM.INV(RAND(),AVERAGE(Assumptions!$D$17,Assumptions!$F$17),(Assumptions!$F$17-Assumptions!$D$17)/3.29)*8</f>
        <v>922388.70238575211</v>
      </c>
      <c r="F597" s="15">
        <f ca="1">_xlfn.NORM.INV(RAND(),AVERAGE(Assumptions!$D$7,Assumptions!$F$7),(Assumptions!$F$7-Assumptions!$D$7)/3.29)*RANDBETWEEN(1,3)</f>
        <v>5426992.7356321951</v>
      </c>
      <c r="G597" s="3">
        <f ca="1">_xlfn.NORM.INV(RAND(),AVERAGE(Assumptions!$D$8,Assumptions!$F$8),(Assumptions!$F$8-Assumptions!$D$8)/3.29)*44</f>
        <v>1351619.7216641314</v>
      </c>
      <c r="H597" s="6">
        <f ca="1">_xlfn.NORM.INV(RAND(),AVERAGE(Assumptions!$D$9,Assumptions!$F$9),(Assumptions!$F$9-Assumptions!$D$9)/3.29)*21</f>
        <v>4033752.8556411592</v>
      </c>
      <c r="I597" s="9">
        <f ca="1">_xlfn.NORM.INV(RAND(),AVERAGE(Assumptions!$D$10,Assumptions!$F$10),(Assumptions!$F$10-Assumptions!$D$10)/3.29)*21</f>
        <v>817905.21904326242</v>
      </c>
      <c r="J597" s="12">
        <f ca="1">NORMINV(RAND(),AVERAGE(Assumptions!$D$11,Assumptions!$F$11),(Assumptions!$F$11-Assumptions!$D$11)/3.29)*44</f>
        <v>1746986.0938216224</v>
      </c>
      <c r="K597" s="15">
        <f ca="1">_xlfn.NORM.INV(RAND(),AVERAGE(Assumptions!$D$12,Assumptions!$F$12),(Assumptions!$F$12-Assumptions!$D$12)/3.29)*44</f>
        <v>7419995.8372496068</v>
      </c>
      <c r="L597" s="3">
        <f ca="1">_xlfn.NORM.INV(RAND(),AVERAGE(Assumptions!$D$13,Assumptions!$F$13),(Assumptions!$F$13-Assumptions!$D$13)/3.29)*44</f>
        <v>17471726.792720489</v>
      </c>
      <c r="M597" s="6">
        <f ca="1">_xlfn.NORM.INV(RAND(),AVERAGE(Assumptions!$D$14,Assumptions!$F$14),(Assumptions!$F$14-Assumptions!$D$14)/3.29)*44</f>
        <v>6272263.6483038273</v>
      </c>
      <c r="N597" s="9">
        <f ca="1">_xlfn.NORM.INV(RAND(),AVERAGE(Assumptions!$D$16,Assumptions!$F$16),(Assumptions!$F$16-Assumptions!$D$16)/3.29)*44</f>
        <v>8212289.8139258726</v>
      </c>
      <c r="O597" s="12">
        <f ca="1">_xlfn.NORM.INV(RAND(),AVERAGE(Assumptions!$D$15,Assumptions!$F$15),(Assumptions!$F$15-Assumptions!$D$15)/3.29)*44</f>
        <v>129689736.87367962</v>
      </c>
      <c r="P597" s="15">
        <f>Assumptions!$D$18</f>
        <v>14641750.345627395</v>
      </c>
      <c r="Q597" s="3">
        <f t="shared" ca="1" si="18"/>
        <v>68577965.062899634</v>
      </c>
      <c r="R597" s="6">
        <f t="shared" ca="1" si="19"/>
        <v>83219715.408527032</v>
      </c>
    </row>
    <row r="598" spans="1:18">
      <c r="A598" s="20">
        <v>597</v>
      </c>
      <c r="B598" s="3">
        <f ca="1">_xlfn.NORM.INV(RAND(),AVERAGE(Assumptions!$D$4,Assumptions!$F$4),(Assumptions!$F$4-Assumptions!$D$4)/3.29)*44</f>
        <v>1285846.2829416357</v>
      </c>
      <c r="C598" s="6">
        <f ca="1">_xlfn.NORM.INV(RAND(),AVERAGE(Assumptions!$D$5,Assumptions!$F$5),(Assumptions!$F$5-Assumptions!$D$5)/3.29)*44</f>
        <v>2016783.6966242183</v>
      </c>
      <c r="D598" s="9">
        <f ca="1">_xlfn.NORM.INV(RAND(),AVERAGE(Assumptions!$D$6,Assumptions!$F$6),(Assumptions!$F$6-Assumptions!$D$6)/3.29)*RANDBETWEEN(2,5)</f>
        <v>3649326.0063522607</v>
      </c>
      <c r="E598" s="12">
        <f ca="1">_xlfn.NORM.INV(RAND(),AVERAGE(Assumptions!$D$17,Assumptions!$F$17),(Assumptions!$F$17-Assumptions!$D$17)/3.29)*8</f>
        <v>1093258.5987110646</v>
      </c>
      <c r="F598" s="15">
        <f ca="1">_xlfn.NORM.INV(RAND(),AVERAGE(Assumptions!$D$7,Assumptions!$F$7),(Assumptions!$F$7-Assumptions!$D$7)/3.29)*RANDBETWEEN(1,3)</f>
        <v>11262604.486764137</v>
      </c>
      <c r="G598" s="3">
        <f ca="1">_xlfn.NORM.INV(RAND(),AVERAGE(Assumptions!$D$8,Assumptions!$F$8),(Assumptions!$F$8-Assumptions!$D$8)/3.29)*44</f>
        <v>1113970.8147284088</v>
      </c>
      <c r="H598" s="6">
        <f ca="1">_xlfn.NORM.INV(RAND(),AVERAGE(Assumptions!$D$9,Assumptions!$F$9),(Assumptions!$F$9-Assumptions!$D$9)/3.29)*21</f>
        <v>6952680.9218974831</v>
      </c>
      <c r="I598" s="9">
        <f ca="1">_xlfn.NORM.INV(RAND(),AVERAGE(Assumptions!$D$10,Assumptions!$F$10),(Assumptions!$F$10-Assumptions!$D$10)/3.29)*21</f>
        <v>490127.69174487848</v>
      </c>
      <c r="J598" s="12">
        <f ca="1">NORMINV(RAND(),AVERAGE(Assumptions!$D$11,Assumptions!$F$11),(Assumptions!$F$11-Assumptions!$D$11)/3.29)*44</f>
        <v>2614070.6782109411</v>
      </c>
      <c r="K598" s="15">
        <f ca="1">_xlfn.NORM.INV(RAND(),AVERAGE(Assumptions!$D$12,Assumptions!$F$12),(Assumptions!$F$12-Assumptions!$D$12)/3.29)*44</f>
        <v>8628812.0393415242</v>
      </c>
      <c r="L598" s="3">
        <f ca="1">_xlfn.NORM.INV(RAND(),AVERAGE(Assumptions!$D$13,Assumptions!$F$13),(Assumptions!$F$13-Assumptions!$D$13)/3.29)*44</f>
        <v>12881986.975384943</v>
      </c>
      <c r="M598" s="6">
        <f ca="1">_xlfn.NORM.INV(RAND(),AVERAGE(Assumptions!$D$14,Assumptions!$F$14),(Assumptions!$F$14-Assumptions!$D$14)/3.29)*44</f>
        <v>5923538.8616546094</v>
      </c>
      <c r="N598" s="9">
        <f ca="1">_xlfn.NORM.INV(RAND(),AVERAGE(Assumptions!$D$16,Assumptions!$F$16),(Assumptions!$F$16-Assumptions!$D$16)/3.29)*44</f>
        <v>12845497.71899309</v>
      </c>
      <c r="O598" s="12">
        <f ca="1">_xlfn.NORM.INV(RAND(),AVERAGE(Assumptions!$D$15,Assumptions!$F$15),(Assumptions!$F$15-Assumptions!$D$15)/3.29)*44</f>
        <v>104554525.59740986</v>
      </c>
      <c r="P598" s="15">
        <f>Assumptions!$D$18</f>
        <v>14641750.345627395</v>
      </c>
      <c r="Q598" s="3">
        <f t="shared" ca="1" si="18"/>
        <v>33796020.824060678</v>
      </c>
      <c r="R598" s="6">
        <f t="shared" ca="1" si="19"/>
        <v>48437771.169688076</v>
      </c>
    </row>
    <row r="599" spans="1:18">
      <c r="A599" s="20">
        <v>598</v>
      </c>
      <c r="B599" s="3">
        <f ca="1">_xlfn.NORM.INV(RAND(),AVERAGE(Assumptions!$D$4,Assumptions!$F$4),(Assumptions!$F$4-Assumptions!$D$4)/3.29)*44</f>
        <v>1218871.4713521581</v>
      </c>
      <c r="C599" s="6">
        <f ca="1">_xlfn.NORM.INV(RAND(),AVERAGE(Assumptions!$D$5,Assumptions!$F$5),(Assumptions!$F$5-Assumptions!$D$5)/3.29)*44</f>
        <v>1676221.7132970588</v>
      </c>
      <c r="D599" s="9">
        <f ca="1">_xlfn.NORM.INV(RAND(),AVERAGE(Assumptions!$D$6,Assumptions!$F$6),(Assumptions!$F$6-Assumptions!$D$6)/3.29)*RANDBETWEEN(2,5)</f>
        <v>4323223.3203695398</v>
      </c>
      <c r="E599" s="12">
        <f ca="1">_xlfn.NORM.INV(RAND(),AVERAGE(Assumptions!$D$17,Assumptions!$F$17),(Assumptions!$F$17-Assumptions!$D$17)/3.29)*8</f>
        <v>946971.80262186576</v>
      </c>
      <c r="F599" s="15">
        <f ca="1">_xlfn.NORM.INV(RAND(),AVERAGE(Assumptions!$D$7,Assumptions!$F$7),(Assumptions!$F$7-Assumptions!$D$7)/3.29)*RANDBETWEEN(1,3)</f>
        <v>2720333.6074411198</v>
      </c>
      <c r="G599" s="3">
        <f ca="1">_xlfn.NORM.INV(RAND(),AVERAGE(Assumptions!$D$8,Assumptions!$F$8),(Assumptions!$F$8-Assumptions!$D$8)/3.29)*44</f>
        <v>1061262.3267249593</v>
      </c>
      <c r="H599" s="6">
        <f ca="1">_xlfn.NORM.INV(RAND(),AVERAGE(Assumptions!$D$9,Assumptions!$F$9),(Assumptions!$F$9-Assumptions!$D$9)/3.29)*21</f>
        <v>4352627.6351444805</v>
      </c>
      <c r="I599" s="9">
        <f ca="1">_xlfn.NORM.INV(RAND(),AVERAGE(Assumptions!$D$10,Assumptions!$F$10),(Assumptions!$F$10-Assumptions!$D$10)/3.29)*21</f>
        <v>899789.88331448124</v>
      </c>
      <c r="J599" s="12">
        <f ca="1">NORMINV(RAND(),AVERAGE(Assumptions!$D$11,Assumptions!$F$11),(Assumptions!$F$11-Assumptions!$D$11)/3.29)*44</f>
        <v>4942380.1683938671</v>
      </c>
      <c r="K599" s="15">
        <f ca="1">_xlfn.NORM.INV(RAND(),AVERAGE(Assumptions!$D$12,Assumptions!$F$12),(Assumptions!$F$12-Assumptions!$D$12)/3.29)*44</f>
        <v>9708225.1594376732</v>
      </c>
      <c r="L599" s="3">
        <f ca="1">_xlfn.NORM.INV(RAND(),AVERAGE(Assumptions!$D$13,Assumptions!$F$13),(Assumptions!$F$13-Assumptions!$D$13)/3.29)*44</f>
        <v>15509537.921895593</v>
      </c>
      <c r="M599" s="6">
        <f ca="1">_xlfn.NORM.INV(RAND(),AVERAGE(Assumptions!$D$14,Assumptions!$F$14),(Assumptions!$F$14-Assumptions!$D$14)/3.29)*44</f>
        <v>5891875.7052676519</v>
      </c>
      <c r="N599" s="9">
        <f ca="1">_xlfn.NORM.INV(RAND(),AVERAGE(Assumptions!$D$16,Assumptions!$F$16),(Assumptions!$F$16-Assumptions!$D$16)/3.29)*44</f>
        <v>11083900.687416362</v>
      </c>
      <c r="O599" s="12">
        <f ca="1">_xlfn.NORM.INV(RAND(),AVERAGE(Assumptions!$D$15,Assumptions!$F$15),(Assumptions!$F$15-Assumptions!$D$15)/3.29)*44</f>
        <v>106616860.61226115</v>
      </c>
      <c r="P599" s="15">
        <f>Assumptions!$D$18</f>
        <v>14641750.345627395</v>
      </c>
      <c r="Q599" s="3">
        <f t="shared" ca="1" si="18"/>
        <v>42281639.20958434</v>
      </c>
      <c r="R599" s="6">
        <f t="shared" ca="1" si="19"/>
        <v>56923389.555211738</v>
      </c>
    </row>
    <row r="600" spans="1:18">
      <c r="A600" s="20">
        <v>599</v>
      </c>
      <c r="B600" s="3">
        <f ca="1">_xlfn.NORM.INV(RAND(),AVERAGE(Assumptions!$D$4,Assumptions!$F$4),(Assumptions!$F$4-Assumptions!$D$4)/3.29)*44</f>
        <v>1141052.1499944164</v>
      </c>
      <c r="C600" s="6">
        <f ca="1">_xlfn.NORM.INV(RAND(),AVERAGE(Assumptions!$D$5,Assumptions!$F$5),(Assumptions!$F$5-Assumptions!$D$5)/3.29)*44</f>
        <v>1754311.3015229728</v>
      </c>
      <c r="D600" s="9">
        <f ca="1">_xlfn.NORM.INV(RAND(),AVERAGE(Assumptions!$D$6,Assumptions!$F$6),(Assumptions!$F$6-Assumptions!$D$6)/3.29)*RANDBETWEEN(2,5)</f>
        <v>3620387.6338509275</v>
      </c>
      <c r="E600" s="12">
        <f ca="1">_xlfn.NORM.INV(RAND(),AVERAGE(Assumptions!$D$17,Assumptions!$F$17),(Assumptions!$F$17-Assumptions!$D$17)/3.29)*8</f>
        <v>856689.51179585501</v>
      </c>
      <c r="F600" s="15">
        <f ca="1">_xlfn.NORM.INV(RAND(),AVERAGE(Assumptions!$D$7,Assumptions!$F$7),(Assumptions!$F$7-Assumptions!$D$7)/3.29)*RANDBETWEEN(1,3)</f>
        <v>5236155.9072027141</v>
      </c>
      <c r="G600" s="3">
        <f ca="1">_xlfn.NORM.INV(RAND(),AVERAGE(Assumptions!$D$8,Assumptions!$F$8),(Assumptions!$F$8-Assumptions!$D$8)/3.29)*44</f>
        <v>1149637.0501881973</v>
      </c>
      <c r="H600" s="6">
        <f ca="1">_xlfn.NORM.INV(RAND(),AVERAGE(Assumptions!$D$9,Assumptions!$F$9),(Assumptions!$F$9-Assumptions!$D$9)/3.29)*21</f>
        <v>3046262.0112543572</v>
      </c>
      <c r="I600" s="9">
        <f ca="1">_xlfn.NORM.INV(RAND(),AVERAGE(Assumptions!$D$10,Assumptions!$F$10),(Assumptions!$F$10-Assumptions!$D$10)/3.29)*21</f>
        <v>1023270.2739914237</v>
      </c>
      <c r="J600" s="12">
        <f ca="1">NORMINV(RAND(),AVERAGE(Assumptions!$D$11,Assumptions!$F$11),(Assumptions!$F$11-Assumptions!$D$11)/3.29)*44</f>
        <v>3624011.9143654983</v>
      </c>
      <c r="K600" s="15">
        <f ca="1">_xlfn.NORM.INV(RAND(),AVERAGE(Assumptions!$D$12,Assumptions!$F$12),(Assumptions!$F$12-Assumptions!$D$12)/3.29)*44</f>
        <v>8597649.1630122457</v>
      </c>
      <c r="L600" s="3">
        <f ca="1">_xlfn.NORM.INV(RAND(),AVERAGE(Assumptions!$D$13,Assumptions!$F$13),(Assumptions!$F$13-Assumptions!$D$13)/3.29)*44</f>
        <v>18302758.654039439</v>
      </c>
      <c r="M600" s="6">
        <f ca="1">_xlfn.NORM.INV(RAND(),AVERAGE(Assumptions!$D$14,Assumptions!$F$14),(Assumptions!$F$14-Assumptions!$D$14)/3.29)*44</f>
        <v>6732252.2944416488</v>
      </c>
      <c r="N600" s="9">
        <f ca="1">_xlfn.NORM.INV(RAND(),AVERAGE(Assumptions!$D$16,Assumptions!$F$16),(Assumptions!$F$16-Assumptions!$D$16)/3.29)*44</f>
        <v>17279432.20029863</v>
      </c>
      <c r="O600" s="12">
        <f ca="1">_xlfn.NORM.INV(RAND(),AVERAGE(Assumptions!$D$15,Assumptions!$F$15),(Assumptions!$F$15-Assumptions!$D$15)/3.29)*44</f>
        <v>152958789.27561224</v>
      </c>
      <c r="P600" s="15">
        <f>Assumptions!$D$18</f>
        <v>14641750.345627395</v>
      </c>
      <c r="Q600" s="3">
        <f t="shared" ca="1" si="18"/>
        <v>80594919.209653914</v>
      </c>
      <c r="R600" s="6">
        <f t="shared" ca="1" si="19"/>
        <v>95236669.555281311</v>
      </c>
    </row>
    <row r="601" spans="1:18">
      <c r="A601" s="20">
        <v>600</v>
      </c>
      <c r="B601" s="3">
        <f ca="1">_xlfn.NORM.INV(RAND(),AVERAGE(Assumptions!$D$4,Assumptions!$F$4),(Assumptions!$F$4-Assumptions!$D$4)/3.29)*44</f>
        <v>1289605.4258341347</v>
      </c>
      <c r="C601" s="6">
        <f ca="1">_xlfn.NORM.INV(RAND(),AVERAGE(Assumptions!$D$5,Assumptions!$F$5),(Assumptions!$F$5-Assumptions!$D$5)/3.29)*44</f>
        <v>1822397.27229414</v>
      </c>
      <c r="D601" s="9">
        <f ca="1">_xlfn.NORM.INV(RAND(),AVERAGE(Assumptions!$D$6,Assumptions!$F$6),(Assumptions!$F$6-Assumptions!$D$6)/3.29)*RANDBETWEEN(2,5)</f>
        <v>3887406.2509109317</v>
      </c>
      <c r="E601" s="12">
        <f ca="1">_xlfn.NORM.INV(RAND(),AVERAGE(Assumptions!$D$17,Assumptions!$F$17),(Assumptions!$F$17-Assumptions!$D$17)/3.29)*8</f>
        <v>987438.05628295895</v>
      </c>
      <c r="F601" s="15">
        <f ca="1">_xlfn.NORM.INV(RAND(),AVERAGE(Assumptions!$D$7,Assumptions!$F$7),(Assumptions!$F$7-Assumptions!$D$7)/3.29)*RANDBETWEEN(1,3)</f>
        <v>6258964.4452219168</v>
      </c>
      <c r="G601" s="3">
        <f ca="1">_xlfn.NORM.INV(RAND(),AVERAGE(Assumptions!$D$8,Assumptions!$F$8),(Assumptions!$F$8-Assumptions!$D$8)/3.29)*44</f>
        <v>1089739.2242288012</v>
      </c>
      <c r="H601" s="6">
        <f ca="1">_xlfn.NORM.INV(RAND(),AVERAGE(Assumptions!$D$9,Assumptions!$F$9),(Assumptions!$F$9-Assumptions!$D$9)/3.29)*21</f>
        <v>1421193.9972736677</v>
      </c>
      <c r="I601" s="9">
        <f ca="1">_xlfn.NORM.INV(RAND(),AVERAGE(Assumptions!$D$10,Assumptions!$F$10),(Assumptions!$F$10-Assumptions!$D$10)/3.29)*21</f>
        <v>1274678.9381847689</v>
      </c>
      <c r="J601" s="12">
        <f ca="1">NORMINV(RAND(),AVERAGE(Assumptions!$D$11,Assumptions!$F$11),(Assumptions!$F$11-Assumptions!$D$11)/3.29)*44</f>
        <v>3949832.8693248536</v>
      </c>
      <c r="K601" s="15">
        <f ca="1">_xlfn.NORM.INV(RAND(),AVERAGE(Assumptions!$D$12,Assumptions!$F$12),(Assumptions!$F$12-Assumptions!$D$12)/3.29)*44</f>
        <v>5160042.3408142393</v>
      </c>
      <c r="L601" s="3">
        <f ca="1">_xlfn.NORM.INV(RAND(),AVERAGE(Assumptions!$D$13,Assumptions!$F$13),(Assumptions!$F$13-Assumptions!$D$13)/3.29)*44</f>
        <v>18239980.510946911</v>
      </c>
      <c r="M601" s="6">
        <f ca="1">_xlfn.NORM.INV(RAND(),AVERAGE(Assumptions!$D$14,Assumptions!$F$14),(Assumptions!$F$14-Assumptions!$D$14)/3.29)*44</f>
        <v>3470642.4395591822</v>
      </c>
      <c r="N601" s="9">
        <f ca="1">_xlfn.NORM.INV(RAND(),AVERAGE(Assumptions!$D$16,Assumptions!$F$16),(Assumptions!$F$16-Assumptions!$D$16)/3.29)*44</f>
        <v>7782234.8529227087</v>
      </c>
      <c r="O601" s="12">
        <f ca="1">_xlfn.NORM.INV(RAND(),AVERAGE(Assumptions!$D$15,Assumptions!$F$15),(Assumptions!$F$15-Assumptions!$D$15)/3.29)*44</f>
        <v>-25646285.568871535</v>
      </c>
      <c r="P601" s="15">
        <f>Assumptions!$D$18</f>
        <v>14641750.345627395</v>
      </c>
      <c r="Q601" s="3">
        <f t="shared" ca="1" si="18"/>
        <v>-82280442.192670763</v>
      </c>
      <c r="R601" s="6">
        <f t="shared" ca="1" si="19"/>
        <v>-67638691.847043365</v>
      </c>
    </row>
    <row r="602" spans="1:18">
      <c r="A602" s="20">
        <v>601</v>
      </c>
      <c r="B602" s="3">
        <f ca="1">_xlfn.NORM.INV(RAND(),AVERAGE(Assumptions!$D$4,Assumptions!$F$4),(Assumptions!$F$4-Assumptions!$D$4)/3.29)*44</f>
        <v>1228280.9216050461</v>
      </c>
      <c r="C602" s="6">
        <f ca="1">_xlfn.NORM.INV(RAND(),AVERAGE(Assumptions!$D$5,Assumptions!$F$5),(Assumptions!$F$5-Assumptions!$D$5)/3.29)*44</f>
        <v>1978276.8215399468</v>
      </c>
      <c r="D602" s="9">
        <f ca="1">_xlfn.NORM.INV(RAND(),AVERAGE(Assumptions!$D$6,Assumptions!$F$6),(Assumptions!$F$6-Assumptions!$D$6)/3.29)*RANDBETWEEN(2,5)</f>
        <v>8582857.8381063752</v>
      </c>
      <c r="E602" s="12">
        <f ca="1">_xlfn.NORM.INV(RAND(),AVERAGE(Assumptions!$D$17,Assumptions!$F$17),(Assumptions!$F$17-Assumptions!$D$17)/3.29)*8</f>
        <v>1018360.0767095052</v>
      </c>
      <c r="F602" s="15">
        <f ca="1">_xlfn.NORM.INV(RAND(),AVERAGE(Assumptions!$D$7,Assumptions!$F$7),(Assumptions!$F$7-Assumptions!$D$7)/3.29)*RANDBETWEEN(1,3)</f>
        <v>6916111.5487748617</v>
      </c>
      <c r="G602" s="3">
        <f ca="1">_xlfn.NORM.INV(RAND(),AVERAGE(Assumptions!$D$8,Assumptions!$F$8),(Assumptions!$F$8-Assumptions!$D$8)/3.29)*44</f>
        <v>1381965.8083825661</v>
      </c>
      <c r="H602" s="6">
        <f ca="1">_xlfn.NORM.INV(RAND(),AVERAGE(Assumptions!$D$9,Assumptions!$F$9),(Assumptions!$F$9-Assumptions!$D$9)/3.29)*21</f>
        <v>4605495.4174880618</v>
      </c>
      <c r="I602" s="9">
        <f ca="1">_xlfn.NORM.INV(RAND(),AVERAGE(Assumptions!$D$10,Assumptions!$F$10),(Assumptions!$F$10-Assumptions!$D$10)/3.29)*21</f>
        <v>1016735.8493645656</v>
      </c>
      <c r="J602" s="12">
        <f ca="1">NORMINV(RAND(),AVERAGE(Assumptions!$D$11,Assumptions!$F$11),(Assumptions!$F$11-Assumptions!$D$11)/3.29)*44</f>
        <v>5205149.8754584147</v>
      </c>
      <c r="K602" s="15">
        <f ca="1">_xlfn.NORM.INV(RAND(),AVERAGE(Assumptions!$D$12,Assumptions!$F$12),(Assumptions!$F$12-Assumptions!$D$12)/3.29)*44</f>
        <v>8795604.4565115292</v>
      </c>
      <c r="L602" s="3">
        <f ca="1">_xlfn.NORM.INV(RAND(),AVERAGE(Assumptions!$D$13,Assumptions!$F$13),(Assumptions!$F$13-Assumptions!$D$13)/3.29)*44</f>
        <v>12150611.251805071</v>
      </c>
      <c r="M602" s="6">
        <f ca="1">_xlfn.NORM.INV(RAND(),AVERAGE(Assumptions!$D$14,Assumptions!$F$14),(Assumptions!$F$14-Assumptions!$D$14)/3.29)*44</f>
        <v>5489168.813244272</v>
      </c>
      <c r="N602" s="9">
        <f ca="1">_xlfn.NORM.INV(RAND(),AVERAGE(Assumptions!$D$16,Assumptions!$F$16),(Assumptions!$F$16-Assumptions!$D$16)/3.29)*44</f>
        <v>11390933.004108611</v>
      </c>
      <c r="O602" s="12">
        <f ca="1">_xlfn.NORM.INV(RAND(),AVERAGE(Assumptions!$D$15,Assumptions!$F$15),(Assumptions!$F$15-Assumptions!$D$15)/3.29)*44</f>
        <v>154422839.38908976</v>
      </c>
      <c r="P602" s="15">
        <f>Assumptions!$D$18</f>
        <v>14641750.345627395</v>
      </c>
      <c r="Q602" s="3">
        <f t="shared" ca="1" si="18"/>
        <v>84663287.70599094</v>
      </c>
      <c r="R602" s="6">
        <f t="shared" ca="1" si="19"/>
        <v>99305038.051618338</v>
      </c>
    </row>
    <row r="603" spans="1:18">
      <c r="A603" s="20">
        <v>602</v>
      </c>
      <c r="B603" s="3">
        <f ca="1">_xlfn.NORM.INV(RAND(),AVERAGE(Assumptions!$D$4,Assumptions!$F$4),(Assumptions!$F$4-Assumptions!$D$4)/3.29)*44</f>
        <v>1252519.1997835536</v>
      </c>
      <c r="C603" s="6">
        <f ca="1">_xlfn.NORM.INV(RAND(),AVERAGE(Assumptions!$D$5,Assumptions!$F$5),(Assumptions!$F$5-Assumptions!$D$5)/3.29)*44</f>
        <v>1925879.6463236788</v>
      </c>
      <c r="D603" s="9">
        <f ca="1">_xlfn.NORM.INV(RAND(),AVERAGE(Assumptions!$D$6,Assumptions!$F$6),(Assumptions!$F$6-Assumptions!$D$6)/3.29)*RANDBETWEEN(2,5)</f>
        <v>3177513.2544345697</v>
      </c>
      <c r="E603" s="12">
        <f ca="1">_xlfn.NORM.INV(RAND(),AVERAGE(Assumptions!$D$17,Assumptions!$F$17),(Assumptions!$F$17-Assumptions!$D$17)/3.29)*8</f>
        <v>978368.01913289307</v>
      </c>
      <c r="F603" s="15">
        <f ca="1">_xlfn.NORM.INV(RAND(),AVERAGE(Assumptions!$D$7,Assumptions!$F$7),(Assumptions!$F$7-Assumptions!$D$7)/3.29)*RANDBETWEEN(1,3)</f>
        <v>7647896.9406300355</v>
      </c>
      <c r="G603" s="3">
        <f ca="1">_xlfn.NORM.INV(RAND(),AVERAGE(Assumptions!$D$8,Assumptions!$F$8),(Assumptions!$F$8-Assumptions!$D$8)/3.29)*44</f>
        <v>1316368.4377528445</v>
      </c>
      <c r="H603" s="6">
        <f ca="1">_xlfn.NORM.INV(RAND(),AVERAGE(Assumptions!$D$9,Assumptions!$F$9),(Assumptions!$F$9-Assumptions!$D$9)/3.29)*21</f>
        <v>6166399.6892771451</v>
      </c>
      <c r="I603" s="9">
        <f ca="1">_xlfn.NORM.INV(RAND(),AVERAGE(Assumptions!$D$10,Assumptions!$F$10),(Assumptions!$F$10-Assumptions!$D$10)/3.29)*21</f>
        <v>889617.39751661837</v>
      </c>
      <c r="J603" s="12">
        <f ca="1">NORMINV(RAND(),AVERAGE(Assumptions!$D$11,Assumptions!$F$11),(Assumptions!$F$11-Assumptions!$D$11)/3.29)*44</f>
        <v>1751308.1404673876</v>
      </c>
      <c r="K603" s="15">
        <f ca="1">_xlfn.NORM.INV(RAND(),AVERAGE(Assumptions!$D$12,Assumptions!$F$12),(Assumptions!$F$12-Assumptions!$D$12)/3.29)*44</f>
        <v>10900648.78241423</v>
      </c>
      <c r="L603" s="3">
        <f ca="1">_xlfn.NORM.INV(RAND(),AVERAGE(Assumptions!$D$13,Assumptions!$F$13),(Assumptions!$F$13-Assumptions!$D$13)/3.29)*44</f>
        <v>7617793.6238308595</v>
      </c>
      <c r="M603" s="6">
        <f ca="1">_xlfn.NORM.INV(RAND(),AVERAGE(Assumptions!$D$14,Assumptions!$F$14),(Assumptions!$F$14-Assumptions!$D$14)/3.29)*44</f>
        <v>4118047.1461684019</v>
      </c>
      <c r="N603" s="9">
        <f ca="1">_xlfn.NORM.INV(RAND(),AVERAGE(Assumptions!$D$16,Assumptions!$F$16),(Assumptions!$F$16-Assumptions!$D$16)/3.29)*44</f>
        <v>8630191.7272655815</v>
      </c>
      <c r="O603" s="12">
        <f ca="1">_xlfn.NORM.INV(RAND(),AVERAGE(Assumptions!$D$15,Assumptions!$F$15),(Assumptions!$F$15-Assumptions!$D$15)/3.29)*44</f>
        <v>84792965.252284378</v>
      </c>
      <c r="P603" s="15">
        <f>Assumptions!$D$18</f>
        <v>14641750.345627395</v>
      </c>
      <c r="Q603" s="3">
        <f t="shared" ca="1" si="18"/>
        <v>28420413.247286581</v>
      </c>
      <c r="R603" s="6">
        <f t="shared" ca="1" si="19"/>
        <v>43062163.592913978</v>
      </c>
    </row>
    <row r="604" spans="1:18">
      <c r="A604" s="20">
        <v>603</v>
      </c>
      <c r="B604" s="3">
        <f ca="1">_xlfn.NORM.INV(RAND(),AVERAGE(Assumptions!$D$4,Assumptions!$F$4),(Assumptions!$F$4-Assumptions!$D$4)/3.29)*44</f>
        <v>1288076.069584986</v>
      </c>
      <c r="C604" s="6">
        <f ca="1">_xlfn.NORM.INV(RAND(),AVERAGE(Assumptions!$D$5,Assumptions!$F$5),(Assumptions!$F$5-Assumptions!$D$5)/3.29)*44</f>
        <v>1806371.5958358319</v>
      </c>
      <c r="D604" s="9">
        <f ca="1">_xlfn.NORM.INV(RAND(),AVERAGE(Assumptions!$D$6,Assumptions!$F$6),(Assumptions!$F$6-Assumptions!$D$6)/3.29)*RANDBETWEEN(2,5)</f>
        <v>2574894.3160526576</v>
      </c>
      <c r="E604" s="12">
        <f ca="1">_xlfn.NORM.INV(RAND(),AVERAGE(Assumptions!$D$17,Assumptions!$F$17),(Assumptions!$F$17-Assumptions!$D$17)/3.29)*8</f>
        <v>953299.38840864913</v>
      </c>
      <c r="F604" s="15">
        <f ca="1">_xlfn.NORM.INV(RAND(),AVERAGE(Assumptions!$D$7,Assumptions!$F$7),(Assumptions!$F$7-Assumptions!$D$7)/3.29)*RANDBETWEEN(1,3)</f>
        <v>3178063.8157112147</v>
      </c>
      <c r="G604" s="3">
        <f ca="1">_xlfn.NORM.INV(RAND(),AVERAGE(Assumptions!$D$8,Assumptions!$F$8),(Assumptions!$F$8-Assumptions!$D$8)/3.29)*44</f>
        <v>800893.43864956743</v>
      </c>
      <c r="H604" s="6">
        <f ca="1">_xlfn.NORM.INV(RAND(),AVERAGE(Assumptions!$D$9,Assumptions!$F$9),(Assumptions!$F$9-Assumptions!$D$9)/3.29)*21</f>
        <v>3651930.5532177011</v>
      </c>
      <c r="I604" s="9">
        <f ca="1">_xlfn.NORM.INV(RAND(),AVERAGE(Assumptions!$D$10,Assumptions!$F$10),(Assumptions!$F$10-Assumptions!$D$10)/3.29)*21</f>
        <v>549839.75546979019</v>
      </c>
      <c r="J604" s="12">
        <f ca="1">NORMINV(RAND(),AVERAGE(Assumptions!$D$11,Assumptions!$F$11),(Assumptions!$F$11-Assumptions!$D$11)/3.29)*44</f>
        <v>4223642.3088544989</v>
      </c>
      <c r="K604" s="15">
        <f ca="1">_xlfn.NORM.INV(RAND(),AVERAGE(Assumptions!$D$12,Assumptions!$F$12),(Assumptions!$F$12-Assumptions!$D$12)/3.29)*44</f>
        <v>9057163.2460270301</v>
      </c>
      <c r="L604" s="3">
        <f ca="1">_xlfn.NORM.INV(RAND(),AVERAGE(Assumptions!$D$13,Assumptions!$F$13),(Assumptions!$F$13-Assumptions!$D$13)/3.29)*44</f>
        <v>15108945.219384721</v>
      </c>
      <c r="M604" s="6">
        <f ca="1">_xlfn.NORM.INV(RAND(),AVERAGE(Assumptions!$D$14,Assumptions!$F$14),(Assumptions!$F$14-Assumptions!$D$14)/3.29)*44</f>
        <v>6544558.713311336</v>
      </c>
      <c r="N604" s="9">
        <f ca="1">_xlfn.NORM.INV(RAND(),AVERAGE(Assumptions!$D$16,Assumptions!$F$16),(Assumptions!$F$16-Assumptions!$D$16)/3.29)*44</f>
        <v>12199505.154430281</v>
      </c>
      <c r="O604" s="12">
        <f ca="1">_xlfn.NORM.INV(RAND(),AVERAGE(Assumptions!$D$15,Assumptions!$F$15),(Assumptions!$F$15-Assumptions!$D$15)/3.29)*44</f>
        <v>-26911284.884785533</v>
      </c>
      <c r="P604" s="15">
        <f>Assumptions!$D$18</f>
        <v>14641750.345627395</v>
      </c>
      <c r="Q604" s="3">
        <f t="shared" ca="1" si="18"/>
        <v>-88848468.4597238</v>
      </c>
      <c r="R604" s="6">
        <f t="shared" ca="1" si="19"/>
        <v>-74206718.114096403</v>
      </c>
    </row>
    <row r="605" spans="1:18">
      <c r="A605" s="20">
        <v>604</v>
      </c>
      <c r="B605" s="3">
        <f ca="1">_xlfn.NORM.INV(RAND(),AVERAGE(Assumptions!$D$4,Assumptions!$F$4),(Assumptions!$F$4-Assumptions!$D$4)/3.29)*44</f>
        <v>1160174.3075552585</v>
      </c>
      <c r="C605" s="6">
        <f ca="1">_xlfn.NORM.INV(RAND(),AVERAGE(Assumptions!$D$5,Assumptions!$F$5),(Assumptions!$F$5-Assumptions!$D$5)/3.29)*44</f>
        <v>1940197.8891307069</v>
      </c>
      <c r="D605" s="9">
        <f ca="1">_xlfn.NORM.INV(RAND(),AVERAGE(Assumptions!$D$6,Assumptions!$F$6),(Assumptions!$F$6-Assumptions!$D$6)/3.29)*RANDBETWEEN(2,5)</f>
        <v>6926148.6704316419</v>
      </c>
      <c r="E605" s="12">
        <f ca="1">_xlfn.NORM.INV(RAND(),AVERAGE(Assumptions!$D$17,Assumptions!$F$17),(Assumptions!$F$17-Assumptions!$D$17)/3.29)*8</f>
        <v>893196.48296914343</v>
      </c>
      <c r="F605" s="15">
        <f ca="1">_xlfn.NORM.INV(RAND(),AVERAGE(Assumptions!$D$7,Assumptions!$F$7),(Assumptions!$F$7-Assumptions!$D$7)/3.29)*RANDBETWEEN(1,3)</f>
        <v>1616388.6588318683</v>
      </c>
      <c r="G605" s="3">
        <f ca="1">_xlfn.NORM.INV(RAND(),AVERAGE(Assumptions!$D$8,Assumptions!$F$8),(Assumptions!$F$8-Assumptions!$D$8)/3.29)*44</f>
        <v>1195116.8113910421</v>
      </c>
      <c r="H605" s="6">
        <f ca="1">_xlfn.NORM.INV(RAND(),AVERAGE(Assumptions!$D$9,Assumptions!$F$9),(Assumptions!$F$9-Assumptions!$D$9)/3.29)*21</f>
        <v>4990447.426047815</v>
      </c>
      <c r="I605" s="9">
        <f ca="1">_xlfn.NORM.INV(RAND(),AVERAGE(Assumptions!$D$10,Assumptions!$F$10),(Assumptions!$F$10-Assumptions!$D$10)/3.29)*21</f>
        <v>653858.30941742309</v>
      </c>
      <c r="J605" s="12">
        <f ca="1">NORMINV(RAND(),AVERAGE(Assumptions!$D$11,Assumptions!$F$11),(Assumptions!$F$11-Assumptions!$D$11)/3.29)*44</f>
        <v>3894189.3349903957</v>
      </c>
      <c r="K605" s="15">
        <f ca="1">_xlfn.NORM.INV(RAND(),AVERAGE(Assumptions!$D$12,Assumptions!$F$12),(Assumptions!$F$12-Assumptions!$D$12)/3.29)*44</f>
        <v>8316178.5367468009</v>
      </c>
      <c r="L605" s="3">
        <f ca="1">_xlfn.NORM.INV(RAND(),AVERAGE(Assumptions!$D$13,Assumptions!$F$13),(Assumptions!$F$13-Assumptions!$D$13)/3.29)*44</f>
        <v>8874863.8154616971</v>
      </c>
      <c r="M605" s="6">
        <f ca="1">_xlfn.NORM.INV(RAND(),AVERAGE(Assumptions!$D$14,Assumptions!$F$14),(Assumptions!$F$14-Assumptions!$D$14)/3.29)*44</f>
        <v>6004264.7226023087</v>
      </c>
      <c r="N605" s="9">
        <f ca="1">_xlfn.NORM.INV(RAND(),AVERAGE(Assumptions!$D$16,Assumptions!$F$16),(Assumptions!$F$16-Assumptions!$D$16)/3.29)*44</f>
        <v>6138588.5247565862</v>
      </c>
      <c r="O605" s="12">
        <f ca="1">_xlfn.NORM.INV(RAND(),AVERAGE(Assumptions!$D$15,Assumptions!$F$15),(Assumptions!$F$15-Assumptions!$D$15)/3.29)*44</f>
        <v>116912930.83814539</v>
      </c>
      <c r="P605" s="15">
        <f>Assumptions!$D$18</f>
        <v>14641750.345627395</v>
      </c>
      <c r="Q605" s="3">
        <f t="shared" ca="1" si="18"/>
        <v>64309317.347812705</v>
      </c>
      <c r="R605" s="6">
        <f t="shared" ca="1" si="19"/>
        <v>78951067.693440095</v>
      </c>
    </row>
    <row r="606" spans="1:18">
      <c r="A606" s="20">
        <v>605</v>
      </c>
      <c r="B606" s="3">
        <f ca="1">_xlfn.NORM.INV(RAND(),AVERAGE(Assumptions!$D$4,Assumptions!$F$4),(Assumptions!$F$4-Assumptions!$D$4)/3.29)*44</f>
        <v>1197211.89694287</v>
      </c>
      <c r="C606" s="6">
        <f ca="1">_xlfn.NORM.INV(RAND(),AVERAGE(Assumptions!$D$5,Assumptions!$F$5),(Assumptions!$F$5-Assumptions!$D$5)/3.29)*44</f>
        <v>2091155.8766145804</v>
      </c>
      <c r="D606" s="9">
        <f ca="1">_xlfn.NORM.INV(RAND(),AVERAGE(Assumptions!$D$6,Assumptions!$F$6),(Assumptions!$F$6-Assumptions!$D$6)/3.29)*RANDBETWEEN(2,5)</f>
        <v>4389213.6726416871</v>
      </c>
      <c r="E606" s="12">
        <f ca="1">_xlfn.NORM.INV(RAND(),AVERAGE(Assumptions!$D$17,Assumptions!$F$17),(Assumptions!$F$17-Assumptions!$D$17)/3.29)*8</f>
        <v>988323.56422414305</v>
      </c>
      <c r="F606" s="15">
        <f ca="1">_xlfn.NORM.INV(RAND(),AVERAGE(Assumptions!$D$7,Assumptions!$F$7),(Assumptions!$F$7-Assumptions!$D$7)/3.29)*RANDBETWEEN(1,3)</f>
        <v>2732821.5752014425</v>
      </c>
      <c r="G606" s="3">
        <f ca="1">_xlfn.NORM.INV(RAND(),AVERAGE(Assumptions!$D$8,Assumptions!$F$8),(Assumptions!$F$8-Assumptions!$D$8)/3.29)*44</f>
        <v>1364783.1148792238</v>
      </c>
      <c r="H606" s="6">
        <f ca="1">_xlfn.NORM.INV(RAND(),AVERAGE(Assumptions!$D$9,Assumptions!$F$9),(Assumptions!$F$9-Assumptions!$D$9)/3.29)*21</f>
        <v>5703488.8061817437</v>
      </c>
      <c r="I606" s="9">
        <f ca="1">_xlfn.NORM.INV(RAND(),AVERAGE(Assumptions!$D$10,Assumptions!$F$10),(Assumptions!$F$10-Assumptions!$D$10)/3.29)*21</f>
        <v>575667.70099544816</v>
      </c>
      <c r="J606" s="12">
        <f ca="1">NORMINV(RAND(),AVERAGE(Assumptions!$D$11,Assumptions!$F$11),(Assumptions!$F$11-Assumptions!$D$11)/3.29)*44</f>
        <v>2882541.145488339</v>
      </c>
      <c r="K606" s="15">
        <f ca="1">_xlfn.NORM.INV(RAND(),AVERAGE(Assumptions!$D$12,Assumptions!$F$12),(Assumptions!$F$12-Assumptions!$D$12)/3.29)*44</f>
        <v>9277373.6842324771</v>
      </c>
      <c r="L606" s="3">
        <f ca="1">_xlfn.NORM.INV(RAND(),AVERAGE(Assumptions!$D$13,Assumptions!$F$13),(Assumptions!$F$13-Assumptions!$D$13)/3.29)*44</f>
        <v>12150620.208048984</v>
      </c>
      <c r="M606" s="6">
        <f ca="1">_xlfn.NORM.INV(RAND(),AVERAGE(Assumptions!$D$14,Assumptions!$F$14),(Assumptions!$F$14-Assumptions!$D$14)/3.29)*44</f>
        <v>5338505.5590777406</v>
      </c>
      <c r="N606" s="9">
        <f ca="1">_xlfn.NORM.INV(RAND(),AVERAGE(Assumptions!$D$16,Assumptions!$F$16),(Assumptions!$F$16-Assumptions!$D$16)/3.29)*44</f>
        <v>13730272.619066406</v>
      </c>
      <c r="O606" s="12">
        <f ca="1">_xlfn.NORM.INV(RAND(),AVERAGE(Assumptions!$D$15,Assumptions!$F$15),(Assumptions!$F$15-Assumptions!$D$15)/3.29)*44</f>
        <v>90418907.792431653</v>
      </c>
      <c r="P606" s="15">
        <f>Assumptions!$D$18</f>
        <v>14641750.345627395</v>
      </c>
      <c r="Q606" s="3">
        <f t="shared" ca="1" si="18"/>
        <v>27996928.368836559</v>
      </c>
      <c r="R606" s="6">
        <f t="shared" ca="1" si="19"/>
        <v>42638678.714463957</v>
      </c>
    </row>
    <row r="607" spans="1:18">
      <c r="A607" s="20">
        <v>606</v>
      </c>
      <c r="B607" s="3">
        <f ca="1">_xlfn.NORM.INV(RAND(),AVERAGE(Assumptions!$D$4,Assumptions!$F$4),(Assumptions!$F$4-Assumptions!$D$4)/3.29)*44</f>
        <v>1155996.8687082487</v>
      </c>
      <c r="C607" s="6">
        <f ca="1">_xlfn.NORM.INV(RAND(),AVERAGE(Assumptions!$D$5,Assumptions!$F$5),(Assumptions!$F$5-Assumptions!$D$5)/3.29)*44</f>
        <v>1917757.693179484</v>
      </c>
      <c r="D607" s="9">
        <f ca="1">_xlfn.NORM.INV(RAND(),AVERAGE(Assumptions!$D$6,Assumptions!$F$6),(Assumptions!$F$6-Assumptions!$D$6)/3.29)*RANDBETWEEN(2,5)</f>
        <v>8876483.6700957008</v>
      </c>
      <c r="E607" s="12">
        <f ca="1">_xlfn.NORM.INV(RAND(),AVERAGE(Assumptions!$D$17,Assumptions!$F$17),(Assumptions!$F$17-Assumptions!$D$17)/3.29)*8</f>
        <v>1037258.7349202503</v>
      </c>
      <c r="F607" s="15">
        <f ca="1">_xlfn.NORM.INV(RAND(),AVERAGE(Assumptions!$D$7,Assumptions!$F$7),(Assumptions!$F$7-Assumptions!$D$7)/3.29)*RANDBETWEEN(1,3)</f>
        <v>6376486.3972024564</v>
      </c>
      <c r="G607" s="3">
        <f ca="1">_xlfn.NORM.INV(RAND(),AVERAGE(Assumptions!$D$8,Assumptions!$F$8),(Assumptions!$F$8-Assumptions!$D$8)/3.29)*44</f>
        <v>1457833.7239197018</v>
      </c>
      <c r="H607" s="6">
        <f ca="1">_xlfn.NORM.INV(RAND(),AVERAGE(Assumptions!$D$9,Assumptions!$F$9),(Assumptions!$F$9-Assumptions!$D$9)/3.29)*21</f>
        <v>6937492.3631723011</v>
      </c>
      <c r="I607" s="9">
        <f ca="1">_xlfn.NORM.INV(RAND(),AVERAGE(Assumptions!$D$10,Assumptions!$F$10),(Assumptions!$F$10-Assumptions!$D$10)/3.29)*21</f>
        <v>1117244.7395393094</v>
      </c>
      <c r="J607" s="12">
        <f ca="1">NORMINV(RAND(),AVERAGE(Assumptions!$D$11,Assumptions!$F$11),(Assumptions!$F$11-Assumptions!$D$11)/3.29)*44</f>
        <v>2896938.8673774875</v>
      </c>
      <c r="K607" s="15">
        <f ca="1">_xlfn.NORM.INV(RAND(),AVERAGE(Assumptions!$D$12,Assumptions!$F$12),(Assumptions!$F$12-Assumptions!$D$12)/3.29)*44</f>
        <v>8222977.0440457035</v>
      </c>
      <c r="L607" s="3">
        <f ca="1">_xlfn.NORM.INV(RAND(),AVERAGE(Assumptions!$D$13,Assumptions!$F$13),(Assumptions!$F$13-Assumptions!$D$13)/3.29)*44</f>
        <v>13177566.092069527</v>
      </c>
      <c r="M607" s="6">
        <f ca="1">_xlfn.NORM.INV(RAND(),AVERAGE(Assumptions!$D$14,Assumptions!$F$14),(Assumptions!$F$14-Assumptions!$D$14)/3.29)*44</f>
        <v>4905849.8220605114</v>
      </c>
      <c r="N607" s="9">
        <f ca="1">_xlfn.NORM.INV(RAND(),AVERAGE(Assumptions!$D$16,Assumptions!$F$16),(Assumptions!$F$16-Assumptions!$D$16)/3.29)*44</f>
        <v>16916429.850793116</v>
      </c>
      <c r="O607" s="12">
        <f ca="1">_xlfn.NORM.INV(RAND(),AVERAGE(Assumptions!$D$15,Assumptions!$F$15),(Assumptions!$F$15-Assumptions!$D$15)/3.29)*44</f>
        <v>45419932.52160757</v>
      </c>
      <c r="P607" s="15">
        <f>Assumptions!$D$18</f>
        <v>14641750.345627395</v>
      </c>
      <c r="Q607" s="3">
        <f t="shared" ca="1" si="18"/>
        <v>-29576383.345476232</v>
      </c>
      <c r="R607" s="6">
        <f t="shared" ca="1" si="19"/>
        <v>-14934632.999848837</v>
      </c>
    </row>
    <row r="608" spans="1:18">
      <c r="A608" s="20">
        <v>607</v>
      </c>
      <c r="B608" s="3">
        <f ca="1">_xlfn.NORM.INV(RAND(),AVERAGE(Assumptions!$D$4,Assumptions!$F$4),(Assumptions!$F$4-Assumptions!$D$4)/3.29)*44</f>
        <v>1124163.5251334789</v>
      </c>
      <c r="C608" s="6">
        <f ca="1">_xlfn.NORM.INV(RAND(),AVERAGE(Assumptions!$D$5,Assumptions!$F$5),(Assumptions!$F$5-Assumptions!$D$5)/3.29)*44</f>
        <v>1964015.2371209881</v>
      </c>
      <c r="D608" s="9">
        <f ca="1">_xlfn.NORM.INV(RAND(),AVERAGE(Assumptions!$D$6,Assumptions!$F$6),(Assumptions!$F$6-Assumptions!$D$6)/3.29)*RANDBETWEEN(2,5)</f>
        <v>5082226.0631277431</v>
      </c>
      <c r="E608" s="12">
        <f ca="1">_xlfn.NORM.INV(RAND(),AVERAGE(Assumptions!$D$17,Assumptions!$F$17),(Assumptions!$F$17-Assumptions!$D$17)/3.29)*8</f>
        <v>974197.04419648391</v>
      </c>
      <c r="F608" s="15">
        <f ca="1">_xlfn.NORM.INV(RAND(),AVERAGE(Assumptions!$D$7,Assumptions!$F$7),(Assumptions!$F$7-Assumptions!$D$7)/3.29)*RANDBETWEEN(1,3)</f>
        <v>7677649.0863177385</v>
      </c>
      <c r="G608" s="3">
        <f ca="1">_xlfn.NORM.INV(RAND(),AVERAGE(Assumptions!$D$8,Assumptions!$F$8),(Assumptions!$F$8-Assumptions!$D$8)/3.29)*44</f>
        <v>823480.76502299774</v>
      </c>
      <c r="H608" s="6">
        <f ca="1">_xlfn.NORM.INV(RAND(),AVERAGE(Assumptions!$D$9,Assumptions!$F$9),(Assumptions!$F$9-Assumptions!$D$9)/3.29)*21</f>
        <v>2986598.779910434</v>
      </c>
      <c r="I608" s="9">
        <f ca="1">_xlfn.NORM.INV(RAND(),AVERAGE(Assumptions!$D$10,Assumptions!$F$10),(Assumptions!$F$10-Assumptions!$D$10)/3.29)*21</f>
        <v>785829.81128513161</v>
      </c>
      <c r="J608" s="12">
        <f ca="1">NORMINV(RAND(),AVERAGE(Assumptions!$D$11,Assumptions!$F$11),(Assumptions!$F$11-Assumptions!$D$11)/3.29)*44</f>
        <v>3274015.9166150009</v>
      </c>
      <c r="K608" s="15">
        <f ca="1">_xlfn.NORM.INV(RAND(),AVERAGE(Assumptions!$D$12,Assumptions!$F$12),(Assumptions!$F$12-Assumptions!$D$12)/3.29)*44</f>
        <v>8117048.347110603</v>
      </c>
      <c r="L608" s="3">
        <f ca="1">_xlfn.NORM.INV(RAND(),AVERAGE(Assumptions!$D$13,Assumptions!$F$13),(Assumptions!$F$13-Assumptions!$D$13)/3.29)*44</f>
        <v>16669309.322579427</v>
      </c>
      <c r="M608" s="6">
        <f ca="1">_xlfn.NORM.INV(RAND(),AVERAGE(Assumptions!$D$14,Assumptions!$F$14),(Assumptions!$F$14-Assumptions!$D$14)/3.29)*44</f>
        <v>5583225.2454237891</v>
      </c>
      <c r="N608" s="9">
        <f ca="1">_xlfn.NORM.INV(RAND(),AVERAGE(Assumptions!$D$16,Assumptions!$F$16),(Assumptions!$F$16-Assumptions!$D$16)/3.29)*44</f>
        <v>3326368.138769052</v>
      </c>
      <c r="O608" s="12">
        <f ca="1">_xlfn.NORM.INV(RAND(),AVERAGE(Assumptions!$D$15,Assumptions!$F$15),(Assumptions!$F$15-Assumptions!$D$15)/3.29)*44</f>
        <v>1443088.8263122588</v>
      </c>
      <c r="P608" s="15">
        <f>Assumptions!$D$18</f>
        <v>14641750.345627395</v>
      </c>
      <c r="Q608" s="3">
        <f t="shared" ca="1" si="18"/>
        <v>-56945038.456300609</v>
      </c>
      <c r="R608" s="6">
        <f t="shared" ca="1" si="19"/>
        <v>-42303288.110673212</v>
      </c>
    </row>
    <row r="609" spans="1:18">
      <c r="A609" s="20">
        <v>608</v>
      </c>
      <c r="B609" s="3">
        <f ca="1">_xlfn.NORM.INV(RAND(),AVERAGE(Assumptions!$D$4,Assumptions!$F$4),(Assumptions!$F$4-Assumptions!$D$4)/3.29)*44</f>
        <v>1238018.3127682025</v>
      </c>
      <c r="C609" s="6">
        <f ca="1">_xlfn.NORM.INV(RAND(),AVERAGE(Assumptions!$D$5,Assumptions!$F$5),(Assumptions!$F$5-Assumptions!$D$5)/3.29)*44</f>
        <v>2010545.1113622033</v>
      </c>
      <c r="D609" s="9">
        <f ca="1">_xlfn.NORM.INV(RAND(),AVERAGE(Assumptions!$D$6,Assumptions!$F$6),(Assumptions!$F$6-Assumptions!$D$6)/3.29)*RANDBETWEEN(2,5)</f>
        <v>1689481.4504869699</v>
      </c>
      <c r="E609" s="12">
        <f ca="1">_xlfn.NORM.INV(RAND(),AVERAGE(Assumptions!$D$17,Assumptions!$F$17),(Assumptions!$F$17-Assumptions!$D$17)/3.29)*8</f>
        <v>975390.89960806875</v>
      </c>
      <c r="F609" s="15">
        <f ca="1">_xlfn.NORM.INV(RAND(),AVERAGE(Assumptions!$D$7,Assumptions!$F$7),(Assumptions!$F$7-Assumptions!$D$7)/3.29)*RANDBETWEEN(1,3)</f>
        <v>6580109.216700431</v>
      </c>
      <c r="G609" s="3">
        <f ca="1">_xlfn.NORM.INV(RAND(),AVERAGE(Assumptions!$D$8,Assumptions!$F$8),(Assumptions!$F$8-Assumptions!$D$8)/3.29)*44</f>
        <v>870767.52660732227</v>
      </c>
      <c r="H609" s="6">
        <f ca="1">_xlfn.NORM.INV(RAND(),AVERAGE(Assumptions!$D$9,Assumptions!$F$9),(Assumptions!$F$9-Assumptions!$D$9)/3.29)*21</f>
        <v>4708839.4872239372</v>
      </c>
      <c r="I609" s="9">
        <f ca="1">_xlfn.NORM.INV(RAND(),AVERAGE(Assumptions!$D$10,Assumptions!$F$10),(Assumptions!$F$10-Assumptions!$D$10)/3.29)*21</f>
        <v>695451.53099803708</v>
      </c>
      <c r="J609" s="12">
        <f ca="1">NORMINV(RAND(),AVERAGE(Assumptions!$D$11,Assumptions!$F$11),(Assumptions!$F$11-Assumptions!$D$11)/3.29)*44</f>
        <v>3354127.4002268799</v>
      </c>
      <c r="K609" s="15">
        <f ca="1">_xlfn.NORM.INV(RAND(),AVERAGE(Assumptions!$D$12,Assumptions!$F$12),(Assumptions!$F$12-Assumptions!$D$12)/3.29)*44</f>
        <v>8805236.6421535574</v>
      </c>
      <c r="L609" s="3">
        <f ca="1">_xlfn.NORM.INV(RAND(),AVERAGE(Assumptions!$D$13,Assumptions!$F$13),(Assumptions!$F$13-Assumptions!$D$13)/3.29)*44</f>
        <v>8255885.7353986558</v>
      </c>
      <c r="M609" s="6">
        <f ca="1">_xlfn.NORM.INV(RAND(),AVERAGE(Assumptions!$D$14,Assumptions!$F$14),(Assumptions!$F$14-Assumptions!$D$14)/3.29)*44</f>
        <v>7128274.1502972236</v>
      </c>
      <c r="N609" s="9">
        <f ca="1">_xlfn.NORM.INV(RAND(),AVERAGE(Assumptions!$D$16,Assumptions!$F$16),(Assumptions!$F$16-Assumptions!$D$16)/3.29)*44</f>
        <v>8983202.2673250344</v>
      </c>
      <c r="O609" s="12">
        <f ca="1">_xlfn.NORM.INV(RAND(),AVERAGE(Assumptions!$D$15,Assumptions!$F$15),(Assumptions!$F$15-Assumptions!$D$15)/3.29)*44</f>
        <v>134758363.59259942</v>
      </c>
      <c r="P609" s="15">
        <f>Assumptions!$D$18</f>
        <v>14641750.345627395</v>
      </c>
      <c r="Q609" s="3">
        <f t="shared" ca="1" si="18"/>
        <v>79463033.861442894</v>
      </c>
      <c r="R609" s="6">
        <f t="shared" ca="1" si="19"/>
        <v>94104784.207070291</v>
      </c>
    </row>
    <row r="610" spans="1:18">
      <c r="A610" s="20">
        <v>609</v>
      </c>
      <c r="B610" s="3">
        <f ca="1">_xlfn.NORM.INV(RAND(),AVERAGE(Assumptions!$D$4,Assumptions!$F$4),(Assumptions!$F$4-Assumptions!$D$4)/3.29)*44</f>
        <v>1306684.9592455833</v>
      </c>
      <c r="C610" s="6">
        <f ca="1">_xlfn.NORM.INV(RAND(),AVERAGE(Assumptions!$D$5,Assumptions!$F$5),(Assumptions!$F$5-Assumptions!$D$5)/3.29)*44</f>
        <v>1576072.1255009952</v>
      </c>
      <c r="D610" s="9">
        <f ca="1">_xlfn.NORM.INV(RAND(),AVERAGE(Assumptions!$D$6,Assumptions!$F$6),(Assumptions!$F$6-Assumptions!$D$6)/3.29)*RANDBETWEEN(2,5)</f>
        <v>3405911.3990326342</v>
      </c>
      <c r="E610" s="12">
        <f ca="1">_xlfn.NORM.INV(RAND(),AVERAGE(Assumptions!$D$17,Assumptions!$F$17),(Assumptions!$F$17-Assumptions!$D$17)/3.29)*8</f>
        <v>903229.80756571225</v>
      </c>
      <c r="F610" s="15">
        <f ca="1">_xlfn.NORM.INV(RAND(),AVERAGE(Assumptions!$D$7,Assumptions!$F$7),(Assumptions!$F$7-Assumptions!$D$7)/3.29)*RANDBETWEEN(1,3)</f>
        <v>4766155.7867782265</v>
      </c>
      <c r="G610" s="3">
        <f ca="1">_xlfn.NORM.INV(RAND(),AVERAGE(Assumptions!$D$8,Assumptions!$F$8),(Assumptions!$F$8-Assumptions!$D$8)/3.29)*44</f>
        <v>1328336.137701038</v>
      </c>
      <c r="H610" s="6">
        <f ca="1">_xlfn.NORM.INV(RAND(),AVERAGE(Assumptions!$D$9,Assumptions!$F$9),(Assumptions!$F$9-Assumptions!$D$9)/3.29)*21</f>
        <v>3104339.3835017933</v>
      </c>
      <c r="I610" s="9">
        <f ca="1">_xlfn.NORM.INV(RAND(),AVERAGE(Assumptions!$D$10,Assumptions!$F$10),(Assumptions!$F$10-Assumptions!$D$10)/3.29)*21</f>
        <v>509364.36474436708</v>
      </c>
      <c r="J610" s="12">
        <f ca="1">NORMINV(RAND(),AVERAGE(Assumptions!$D$11,Assumptions!$F$11),(Assumptions!$F$11-Assumptions!$D$11)/3.29)*44</f>
        <v>2568626.3861020147</v>
      </c>
      <c r="K610" s="15">
        <f ca="1">_xlfn.NORM.INV(RAND(),AVERAGE(Assumptions!$D$12,Assumptions!$F$12),(Assumptions!$F$12-Assumptions!$D$12)/3.29)*44</f>
        <v>8834835.9536522217</v>
      </c>
      <c r="L610" s="3">
        <f ca="1">_xlfn.NORM.INV(RAND(),AVERAGE(Assumptions!$D$13,Assumptions!$F$13),(Assumptions!$F$13-Assumptions!$D$13)/3.29)*44</f>
        <v>13611591.386985658</v>
      </c>
      <c r="M610" s="6">
        <f ca="1">_xlfn.NORM.INV(RAND(),AVERAGE(Assumptions!$D$14,Assumptions!$F$14),(Assumptions!$F$14-Assumptions!$D$14)/3.29)*44</f>
        <v>6759408.5619452316</v>
      </c>
      <c r="N610" s="9">
        <f ca="1">_xlfn.NORM.INV(RAND(),AVERAGE(Assumptions!$D$16,Assumptions!$F$16),(Assumptions!$F$16-Assumptions!$D$16)/3.29)*44</f>
        <v>10767075.647177521</v>
      </c>
      <c r="O610" s="12">
        <f ca="1">_xlfn.NORM.INV(RAND(),AVERAGE(Assumptions!$D$15,Assumptions!$F$15),(Assumptions!$F$15-Assumptions!$D$15)/3.29)*44</f>
        <v>100641116.64342399</v>
      </c>
      <c r="P610" s="15">
        <f>Assumptions!$D$18</f>
        <v>14641750.345627395</v>
      </c>
      <c r="Q610" s="3">
        <f t="shared" ca="1" si="18"/>
        <v>41199484.743491001</v>
      </c>
      <c r="R610" s="6">
        <f t="shared" ca="1" si="19"/>
        <v>55841235.089118399</v>
      </c>
    </row>
    <row r="611" spans="1:18">
      <c r="A611" s="20">
        <v>610</v>
      </c>
      <c r="B611" s="3">
        <f ca="1">_xlfn.NORM.INV(RAND(),AVERAGE(Assumptions!$D$4,Assumptions!$F$4),(Assumptions!$F$4-Assumptions!$D$4)/3.29)*44</f>
        <v>1156014.2577566775</v>
      </c>
      <c r="C611" s="6">
        <f ca="1">_xlfn.NORM.INV(RAND(),AVERAGE(Assumptions!$D$5,Assumptions!$F$5),(Assumptions!$F$5-Assumptions!$D$5)/3.29)*44</f>
        <v>1941198.6317061069</v>
      </c>
      <c r="D611" s="9">
        <f ca="1">_xlfn.NORM.INV(RAND(),AVERAGE(Assumptions!$D$6,Assumptions!$F$6),(Assumptions!$F$6-Assumptions!$D$6)/3.29)*RANDBETWEEN(2,5)</f>
        <v>4963166.9963981109</v>
      </c>
      <c r="E611" s="12">
        <f ca="1">_xlfn.NORM.INV(RAND(),AVERAGE(Assumptions!$D$17,Assumptions!$F$17),(Assumptions!$F$17-Assumptions!$D$17)/3.29)*8</f>
        <v>1079781.7476321945</v>
      </c>
      <c r="F611" s="15">
        <f ca="1">_xlfn.NORM.INV(RAND(),AVERAGE(Assumptions!$D$7,Assumptions!$F$7),(Assumptions!$F$7-Assumptions!$D$7)/3.29)*RANDBETWEEN(1,3)</f>
        <v>5393989.0157319205</v>
      </c>
      <c r="G611" s="3">
        <f ca="1">_xlfn.NORM.INV(RAND(),AVERAGE(Assumptions!$D$8,Assumptions!$F$8),(Assumptions!$F$8-Assumptions!$D$8)/3.29)*44</f>
        <v>1385859.4045352561</v>
      </c>
      <c r="H611" s="6">
        <f ca="1">_xlfn.NORM.INV(RAND(),AVERAGE(Assumptions!$D$9,Assumptions!$F$9),(Assumptions!$F$9-Assumptions!$D$9)/3.29)*21</f>
        <v>4185362.4618720966</v>
      </c>
      <c r="I611" s="9">
        <f ca="1">_xlfn.NORM.INV(RAND(),AVERAGE(Assumptions!$D$10,Assumptions!$F$10),(Assumptions!$F$10-Assumptions!$D$10)/3.29)*21</f>
        <v>947264.77219546179</v>
      </c>
      <c r="J611" s="12">
        <f ca="1">NORMINV(RAND(),AVERAGE(Assumptions!$D$11,Assumptions!$F$11),(Assumptions!$F$11-Assumptions!$D$11)/3.29)*44</f>
        <v>4006848.4153951271</v>
      </c>
      <c r="K611" s="15">
        <f ca="1">_xlfn.NORM.INV(RAND(),AVERAGE(Assumptions!$D$12,Assumptions!$F$12),(Assumptions!$F$12-Assumptions!$D$12)/3.29)*44</f>
        <v>8530706.6592850797</v>
      </c>
      <c r="L611" s="3">
        <f ca="1">_xlfn.NORM.INV(RAND(),AVERAGE(Assumptions!$D$13,Assumptions!$F$13),(Assumptions!$F$13-Assumptions!$D$13)/3.29)*44</f>
        <v>11612431.708131587</v>
      </c>
      <c r="M611" s="6">
        <f ca="1">_xlfn.NORM.INV(RAND(),AVERAGE(Assumptions!$D$14,Assumptions!$F$14),(Assumptions!$F$14-Assumptions!$D$14)/3.29)*44</f>
        <v>6219203.1028797645</v>
      </c>
      <c r="N611" s="9">
        <f ca="1">_xlfn.NORM.INV(RAND(),AVERAGE(Assumptions!$D$16,Assumptions!$F$16),(Assumptions!$F$16-Assumptions!$D$16)/3.29)*44</f>
        <v>8722856.7970964629</v>
      </c>
      <c r="O611" s="12">
        <f ca="1">_xlfn.NORM.INV(RAND(),AVERAGE(Assumptions!$D$15,Assumptions!$F$15),(Assumptions!$F$15-Assumptions!$D$15)/3.29)*44</f>
        <v>88565648.60926728</v>
      </c>
      <c r="P611" s="15">
        <f>Assumptions!$D$18</f>
        <v>14641750.345627395</v>
      </c>
      <c r="Q611" s="3">
        <f t="shared" ca="1" si="18"/>
        <v>28420964.638651431</v>
      </c>
      <c r="R611" s="6">
        <f t="shared" ca="1" si="19"/>
        <v>43062714.984278828</v>
      </c>
    </row>
    <row r="612" spans="1:18">
      <c r="A612" s="20">
        <v>611</v>
      </c>
      <c r="B612" s="3">
        <f ca="1">_xlfn.NORM.INV(RAND(),AVERAGE(Assumptions!$D$4,Assumptions!$F$4),(Assumptions!$F$4-Assumptions!$D$4)/3.29)*44</f>
        <v>1220634.5330178898</v>
      </c>
      <c r="C612" s="6">
        <f ca="1">_xlfn.NORM.INV(RAND(),AVERAGE(Assumptions!$D$5,Assumptions!$F$5),(Assumptions!$F$5-Assumptions!$D$5)/3.29)*44</f>
        <v>1981817.4711038098</v>
      </c>
      <c r="D612" s="9">
        <f ca="1">_xlfn.NORM.INV(RAND(),AVERAGE(Assumptions!$D$6,Assumptions!$F$6),(Assumptions!$F$6-Assumptions!$D$6)/3.29)*RANDBETWEEN(2,5)</f>
        <v>2863994.2517856015</v>
      </c>
      <c r="E612" s="12">
        <f ca="1">_xlfn.NORM.INV(RAND(),AVERAGE(Assumptions!$D$17,Assumptions!$F$17),(Assumptions!$F$17-Assumptions!$D$17)/3.29)*8</f>
        <v>982561.48745550285</v>
      </c>
      <c r="F612" s="15">
        <f ca="1">_xlfn.NORM.INV(RAND(),AVERAGE(Assumptions!$D$7,Assumptions!$F$7),(Assumptions!$F$7-Assumptions!$D$7)/3.29)*RANDBETWEEN(1,3)</f>
        <v>6859374.9711028812</v>
      </c>
      <c r="G612" s="3">
        <f ca="1">_xlfn.NORM.INV(RAND(),AVERAGE(Assumptions!$D$8,Assumptions!$F$8),(Assumptions!$F$8-Assumptions!$D$8)/3.29)*44</f>
        <v>1244191.6689127001</v>
      </c>
      <c r="H612" s="6">
        <f ca="1">_xlfn.NORM.INV(RAND(),AVERAGE(Assumptions!$D$9,Assumptions!$F$9),(Assumptions!$F$9-Assumptions!$D$9)/3.29)*21</f>
        <v>3963456.3418762903</v>
      </c>
      <c r="I612" s="9">
        <f ca="1">_xlfn.NORM.INV(RAND(),AVERAGE(Assumptions!$D$10,Assumptions!$F$10),(Assumptions!$F$10-Assumptions!$D$10)/3.29)*21</f>
        <v>937213.74385830481</v>
      </c>
      <c r="J612" s="12">
        <f ca="1">NORMINV(RAND(),AVERAGE(Assumptions!$D$11,Assumptions!$F$11),(Assumptions!$F$11-Assumptions!$D$11)/3.29)*44</f>
        <v>2888368.9966268199</v>
      </c>
      <c r="K612" s="15">
        <f ca="1">_xlfn.NORM.INV(RAND(),AVERAGE(Assumptions!$D$12,Assumptions!$F$12),(Assumptions!$F$12-Assumptions!$D$12)/3.29)*44</f>
        <v>6161372.3550527357</v>
      </c>
      <c r="L612" s="3">
        <f ca="1">_xlfn.NORM.INV(RAND(),AVERAGE(Assumptions!$D$13,Assumptions!$F$13),(Assumptions!$F$13-Assumptions!$D$13)/3.29)*44</f>
        <v>18129542.147551358</v>
      </c>
      <c r="M612" s="6">
        <f ca="1">_xlfn.NORM.INV(RAND(),AVERAGE(Assumptions!$D$14,Assumptions!$F$14),(Assumptions!$F$14-Assumptions!$D$14)/3.29)*44</f>
        <v>4831755.2639155295</v>
      </c>
      <c r="N612" s="9">
        <f ca="1">_xlfn.NORM.INV(RAND(),AVERAGE(Assumptions!$D$16,Assumptions!$F$16),(Assumptions!$F$16-Assumptions!$D$16)/3.29)*44</f>
        <v>8727208.262497345</v>
      </c>
      <c r="O612" s="12">
        <f ca="1">_xlfn.NORM.INV(RAND(),AVERAGE(Assumptions!$D$15,Assumptions!$F$15),(Assumptions!$F$15-Assumptions!$D$15)/3.29)*44</f>
        <v>118336557.32485723</v>
      </c>
      <c r="P612" s="15">
        <f>Assumptions!$D$18</f>
        <v>14641750.345627395</v>
      </c>
      <c r="Q612" s="3">
        <f t="shared" ca="1" si="18"/>
        <v>57545065.830100469</v>
      </c>
      <c r="R612" s="6">
        <f t="shared" ca="1" si="19"/>
        <v>72186816.175727859</v>
      </c>
    </row>
    <row r="613" spans="1:18">
      <c r="A613" s="20">
        <v>612</v>
      </c>
      <c r="B613" s="3">
        <f ca="1">_xlfn.NORM.INV(RAND(),AVERAGE(Assumptions!$D$4,Assumptions!$F$4),(Assumptions!$F$4-Assumptions!$D$4)/3.29)*44</f>
        <v>1289481.6412628442</v>
      </c>
      <c r="C613" s="6">
        <f ca="1">_xlfn.NORM.INV(RAND(),AVERAGE(Assumptions!$D$5,Assumptions!$F$5),(Assumptions!$F$5-Assumptions!$D$5)/3.29)*44</f>
        <v>1913420.5742098005</v>
      </c>
      <c r="D613" s="9">
        <f ca="1">_xlfn.NORM.INV(RAND(),AVERAGE(Assumptions!$D$6,Assumptions!$F$6),(Assumptions!$F$6-Assumptions!$D$6)/3.29)*RANDBETWEEN(2,5)</f>
        <v>6477397.4421863109</v>
      </c>
      <c r="E613" s="12">
        <f ca="1">_xlfn.NORM.INV(RAND(),AVERAGE(Assumptions!$D$17,Assumptions!$F$17),(Assumptions!$F$17-Assumptions!$D$17)/3.29)*8</f>
        <v>935282.25823631859</v>
      </c>
      <c r="F613" s="15">
        <f ca="1">_xlfn.NORM.INV(RAND(),AVERAGE(Assumptions!$D$7,Assumptions!$F$7),(Assumptions!$F$7-Assumptions!$D$7)/3.29)*RANDBETWEEN(1,3)</f>
        <v>11496139.954805978</v>
      </c>
      <c r="G613" s="3">
        <f ca="1">_xlfn.NORM.INV(RAND(),AVERAGE(Assumptions!$D$8,Assumptions!$F$8),(Assumptions!$F$8-Assumptions!$D$8)/3.29)*44</f>
        <v>1542889.6330488897</v>
      </c>
      <c r="H613" s="6">
        <f ca="1">_xlfn.NORM.INV(RAND(),AVERAGE(Assumptions!$D$9,Assumptions!$F$9),(Assumptions!$F$9-Assumptions!$D$9)/3.29)*21</f>
        <v>4590228.2679645745</v>
      </c>
      <c r="I613" s="9">
        <f ca="1">_xlfn.NORM.INV(RAND(),AVERAGE(Assumptions!$D$10,Assumptions!$F$10),(Assumptions!$F$10-Assumptions!$D$10)/3.29)*21</f>
        <v>564095.73015820456</v>
      </c>
      <c r="J613" s="12">
        <f ca="1">NORMINV(RAND(),AVERAGE(Assumptions!$D$11,Assumptions!$F$11),(Assumptions!$F$11-Assumptions!$D$11)/3.29)*44</f>
        <v>4078084.2727039079</v>
      </c>
      <c r="K613" s="15">
        <f ca="1">_xlfn.NORM.INV(RAND(),AVERAGE(Assumptions!$D$12,Assumptions!$F$12),(Assumptions!$F$12-Assumptions!$D$12)/3.29)*44</f>
        <v>9285107.6781036928</v>
      </c>
      <c r="L613" s="3">
        <f ca="1">_xlfn.NORM.INV(RAND(),AVERAGE(Assumptions!$D$13,Assumptions!$F$13),(Assumptions!$F$13-Assumptions!$D$13)/3.29)*44</f>
        <v>10637228.045266343</v>
      </c>
      <c r="M613" s="6">
        <f ca="1">_xlfn.NORM.INV(RAND(),AVERAGE(Assumptions!$D$14,Assumptions!$F$14),(Assumptions!$F$14-Assumptions!$D$14)/3.29)*44</f>
        <v>4464423.9212667765</v>
      </c>
      <c r="N613" s="9">
        <f ca="1">_xlfn.NORM.INV(RAND(),AVERAGE(Assumptions!$D$16,Assumptions!$F$16),(Assumptions!$F$16-Assumptions!$D$16)/3.29)*44</f>
        <v>5795340.9420693209</v>
      </c>
      <c r="O613" s="12">
        <f ca="1">_xlfn.NORM.INV(RAND(),AVERAGE(Assumptions!$D$15,Assumptions!$F$15),(Assumptions!$F$15-Assumptions!$D$15)/3.29)*44</f>
        <v>165142279.95782474</v>
      </c>
      <c r="P613" s="15">
        <f>Assumptions!$D$18</f>
        <v>14641750.345627395</v>
      </c>
      <c r="Q613" s="3">
        <f t="shared" ca="1" si="18"/>
        <v>102073159.59654176</v>
      </c>
      <c r="R613" s="6">
        <f t="shared" ca="1" si="19"/>
        <v>116714909.94216916</v>
      </c>
    </row>
    <row r="614" spans="1:18">
      <c r="A614" s="20">
        <v>613</v>
      </c>
      <c r="B614" s="3">
        <f ca="1">_xlfn.NORM.INV(RAND(),AVERAGE(Assumptions!$D$4,Assumptions!$F$4),(Assumptions!$F$4-Assumptions!$D$4)/3.29)*44</f>
        <v>1212865.8588966914</v>
      </c>
      <c r="C614" s="6">
        <f ca="1">_xlfn.NORM.INV(RAND(),AVERAGE(Assumptions!$D$5,Assumptions!$F$5),(Assumptions!$F$5-Assumptions!$D$5)/3.29)*44</f>
        <v>2016157.5187996055</v>
      </c>
      <c r="D614" s="9">
        <f ca="1">_xlfn.NORM.INV(RAND(),AVERAGE(Assumptions!$D$6,Assumptions!$F$6),(Assumptions!$F$6-Assumptions!$D$6)/3.29)*RANDBETWEEN(2,5)</f>
        <v>4902792.0935715185</v>
      </c>
      <c r="E614" s="12">
        <f ca="1">_xlfn.NORM.INV(RAND(),AVERAGE(Assumptions!$D$17,Assumptions!$F$17),(Assumptions!$F$17-Assumptions!$D$17)/3.29)*8</f>
        <v>915619.7475358746</v>
      </c>
      <c r="F614" s="15">
        <f ca="1">_xlfn.NORM.INV(RAND(),AVERAGE(Assumptions!$D$7,Assumptions!$F$7),(Assumptions!$F$7-Assumptions!$D$7)/3.29)*RANDBETWEEN(1,3)</f>
        <v>7083399.7874537315</v>
      </c>
      <c r="G614" s="3">
        <f ca="1">_xlfn.NORM.INV(RAND(),AVERAGE(Assumptions!$D$8,Assumptions!$F$8),(Assumptions!$F$8-Assumptions!$D$8)/3.29)*44</f>
        <v>1711102.9894876066</v>
      </c>
      <c r="H614" s="6">
        <f ca="1">_xlfn.NORM.INV(RAND(),AVERAGE(Assumptions!$D$9,Assumptions!$F$9),(Assumptions!$F$9-Assumptions!$D$9)/3.29)*21</f>
        <v>7530532.5295172222</v>
      </c>
      <c r="I614" s="9">
        <f ca="1">_xlfn.NORM.INV(RAND(),AVERAGE(Assumptions!$D$10,Assumptions!$F$10),(Assumptions!$F$10-Assumptions!$D$10)/3.29)*21</f>
        <v>647081.30176264362</v>
      </c>
      <c r="J614" s="12">
        <f ca="1">NORMINV(RAND(),AVERAGE(Assumptions!$D$11,Assumptions!$F$11),(Assumptions!$F$11-Assumptions!$D$11)/3.29)*44</f>
        <v>3154586.3857838949</v>
      </c>
      <c r="K614" s="15">
        <f ca="1">_xlfn.NORM.INV(RAND(),AVERAGE(Assumptions!$D$12,Assumptions!$F$12),(Assumptions!$F$12-Assumptions!$D$12)/3.29)*44</f>
        <v>7939845.6237085965</v>
      </c>
      <c r="L614" s="3">
        <f ca="1">_xlfn.NORM.INV(RAND(),AVERAGE(Assumptions!$D$13,Assumptions!$F$13),(Assumptions!$F$13-Assumptions!$D$13)/3.29)*44</f>
        <v>7435147.3242341038</v>
      </c>
      <c r="M614" s="6">
        <f ca="1">_xlfn.NORM.INV(RAND(),AVERAGE(Assumptions!$D$14,Assumptions!$F$14),(Assumptions!$F$14-Assumptions!$D$14)/3.29)*44</f>
        <v>4822279.4551772671</v>
      </c>
      <c r="N614" s="9">
        <f ca="1">_xlfn.NORM.INV(RAND(),AVERAGE(Assumptions!$D$16,Assumptions!$F$16),(Assumptions!$F$16-Assumptions!$D$16)/3.29)*44</f>
        <v>6417827.3078197921</v>
      </c>
      <c r="O614" s="12">
        <f ca="1">_xlfn.NORM.INV(RAND(),AVERAGE(Assumptions!$D$15,Assumptions!$F$15),(Assumptions!$F$15-Assumptions!$D$15)/3.29)*44</f>
        <v>96070669.947700024</v>
      </c>
      <c r="P614" s="15">
        <f>Assumptions!$D$18</f>
        <v>14641750.345627395</v>
      </c>
      <c r="Q614" s="3">
        <f t="shared" ca="1" si="18"/>
        <v>40281432.023951471</v>
      </c>
      <c r="R614" s="6">
        <f t="shared" ca="1" si="19"/>
        <v>54923182.369578868</v>
      </c>
    </row>
    <row r="615" spans="1:18">
      <c r="A615" s="20">
        <v>614</v>
      </c>
      <c r="B615" s="3">
        <f ca="1">_xlfn.NORM.INV(RAND(),AVERAGE(Assumptions!$D$4,Assumptions!$F$4),(Assumptions!$F$4-Assumptions!$D$4)/3.29)*44</f>
        <v>1302883.7143679154</v>
      </c>
      <c r="C615" s="6">
        <f ca="1">_xlfn.NORM.INV(RAND(),AVERAGE(Assumptions!$D$5,Assumptions!$F$5),(Assumptions!$F$5-Assumptions!$D$5)/3.29)*44</f>
        <v>1930983.8153507425</v>
      </c>
      <c r="D615" s="9">
        <f ca="1">_xlfn.NORM.INV(RAND(),AVERAGE(Assumptions!$D$6,Assumptions!$F$6),(Assumptions!$F$6-Assumptions!$D$6)/3.29)*RANDBETWEEN(2,5)</f>
        <v>7087088.0206301697</v>
      </c>
      <c r="E615" s="12">
        <f ca="1">_xlfn.NORM.INV(RAND(),AVERAGE(Assumptions!$D$17,Assumptions!$F$17),(Assumptions!$F$17-Assumptions!$D$17)/3.29)*8</f>
        <v>879172.92083681049</v>
      </c>
      <c r="F615" s="15">
        <f ca="1">_xlfn.NORM.INV(RAND(),AVERAGE(Assumptions!$D$7,Assumptions!$F$7),(Assumptions!$F$7-Assumptions!$D$7)/3.29)*RANDBETWEEN(1,3)</f>
        <v>9925810.9086959399</v>
      </c>
      <c r="G615" s="3">
        <f ca="1">_xlfn.NORM.INV(RAND(),AVERAGE(Assumptions!$D$8,Assumptions!$F$8),(Assumptions!$F$8-Assumptions!$D$8)/3.29)*44</f>
        <v>1150122.7776877086</v>
      </c>
      <c r="H615" s="6">
        <f ca="1">_xlfn.NORM.INV(RAND(),AVERAGE(Assumptions!$D$9,Assumptions!$F$9),(Assumptions!$F$9-Assumptions!$D$9)/3.29)*21</f>
        <v>4839032.262689284</v>
      </c>
      <c r="I615" s="9">
        <f ca="1">_xlfn.NORM.INV(RAND(),AVERAGE(Assumptions!$D$10,Assumptions!$F$10),(Assumptions!$F$10-Assumptions!$D$10)/3.29)*21</f>
        <v>957246.93016568839</v>
      </c>
      <c r="J615" s="12">
        <f ca="1">NORMINV(RAND(),AVERAGE(Assumptions!$D$11,Assumptions!$F$11),(Assumptions!$F$11-Assumptions!$D$11)/3.29)*44</f>
        <v>5191136.8127313945</v>
      </c>
      <c r="K615" s="15">
        <f ca="1">_xlfn.NORM.INV(RAND(),AVERAGE(Assumptions!$D$12,Assumptions!$F$12),(Assumptions!$F$12-Assumptions!$D$12)/3.29)*44</f>
        <v>6819580.4241099702</v>
      </c>
      <c r="L615" s="3">
        <f ca="1">_xlfn.NORM.INV(RAND(),AVERAGE(Assumptions!$D$13,Assumptions!$F$13),(Assumptions!$F$13-Assumptions!$D$13)/3.29)*44</f>
        <v>17914856.758446615</v>
      </c>
      <c r="M615" s="6">
        <f ca="1">_xlfn.NORM.INV(RAND(),AVERAGE(Assumptions!$D$14,Assumptions!$F$14),(Assumptions!$F$14-Assumptions!$D$14)/3.29)*44</f>
        <v>5763822.8207147429</v>
      </c>
      <c r="N615" s="9">
        <f ca="1">_xlfn.NORM.INV(RAND(),AVERAGE(Assumptions!$D$16,Assumptions!$F$16),(Assumptions!$F$16-Assumptions!$D$16)/3.29)*44</f>
        <v>9498198.7212089356</v>
      </c>
      <c r="O615" s="12">
        <f ca="1">_xlfn.NORM.INV(RAND(),AVERAGE(Assumptions!$D$15,Assumptions!$F$15),(Assumptions!$F$15-Assumptions!$D$15)/3.29)*44</f>
        <v>81489096.7746346</v>
      </c>
      <c r="P615" s="15">
        <f>Assumptions!$D$18</f>
        <v>14641750.345627395</v>
      </c>
      <c r="Q615" s="3">
        <f t="shared" ca="1" si="18"/>
        <v>8229159.8869986832</v>
      </c>
      <c r="R615" s="6">
        <f t="shared" ca="1" si="19"/>
        <v>22870910.232626081</v>
      </c>
    </row>
    <row r="616" spans="1:18">
      <c r="A616" s="20">
        <v>615</v>
      </c>
      <c r="B616" s="3">
        <f ca="1">_xlfn.NORM.INV(RAND(),AVERAGE(Assumptions!$D$4,Assumptions!$F$4),(Assumptions!$F$4-Assumptions!$D$4)/3.29)*44</f>
        <v>1231198.9528169662</v>
      </c>
      <c r="C616" s="6">
        <f ca="1">_xlfn.NORM.INV(RAND(),AVERAGE(Assumptions!$D$5,Assumptions!$F$5),(Assumptions!$F$5-Assumptions!$D$5)/3.29)*44</f>
        <v>1967013.0266627208</v>
      </c>
      <c r="D616" s="9">
        <f ca="1">_xlfn.NORM.INV(RAND(),AVERAGE(Assumptions!$D$6,Assumptions!$F$6),(Assumptions!$F$6-Assumptions!$D$6)/3.29)*RANDBETWEEN(2,5)</f>
        <v>5875877.3734729281</v>
      </c>
      <c r="E616" s="12">
        <f ca="1">_xlfn.NORM.INV(RAND(),AVERAGE(Assumptions!$D$17,Assumptions!$F$17),(Assumptions!$F$17-Assumptions!$D$17)/3.29)*8</f>
        <v>923597.02727392607</v>
      </c>
      <c r="F616" s="15">
        <f ca="1">_xlfn.NORM.INV(RAND(),AVERAGE(Assumptions!$D$7,Assumptions!$F$7),(Assumptions!$F$7-Assumptions!$D$7)/3.29)*RANDBETWEEN(1,3)</f>
        <v>6976541.0517271813</v>
      </c>
      <c r="G616" s="3">
        <f ca="1">_xlfn.NORM.INV(RAND(),AVERAGE(Assumptions!$D$8,Assumptions!$F$8),(Assumptions!$F$8-Assumptions!$D$8)/3.29)*44</f>
        <v>1084379.9927498021</v>
      </c>
      <c r="H616" s="6">
        <f ca="1">_xlfn.NORM.INV(RAND(),AVERAGE(Assumptions!$D$9,Assumptions!$F$9),(Assumptions!$F$9-Assumptions!$D$9)/3.29)*21</f>
        <v>4704646.3467407869</v>
      </c>
      <c r="I616" s="9">
        <f ca="1">_xlfn.NORM.INV(RAND(),AVERAGE(Assumptions!$D$10,Assumptions!$F$10),(Assumptions!$F$10-Assumptions!$D$10)/3.29)*21</f>
        <v>1396327.3283023008</v>
      </c>
      <c r="J616" s="12">
        <f ca="1">NORMINV(RAND(),AVERAGE(Assumptions!$D$11,Assumptions!$F$11),(Assumptions!$F$11-Assumptions!$D$11)/3.29)*44</f>
        <v>2753945.314170273</v>
      </c>
      <c r="K616" s="15">
        <f ca="1">_xlfn.NORM.INV(RAND(),AVERAGE(Assumptions!$D$12,Assumptions!$F$12),(Assumptions!$F$12-Assumptions!$D$12)/3.29)*44</f>
        <v>7991522.556837569</v>
      </c>
      <c r="L616" s="3">
        <f ca="1">_xlfn.NORM.INV(RAND(),AVERAGE(Assumptions!$D$13,Assumptions!$F$13),(Assumptions!$F$13-Assumptions!$D$13)/3.29)*44</f>
        <v>11475517.871755479</v>
      </c>
      <c r="M616" s="6">
        <f ca="1">_xlfn.NORM.INV(RAND(),AVERAGE(Assumptions!$D$14,Assumptions!$F$14),(Assumptions!$F$14-Assumptions!$D$14)/3.29)*44</f>
        <v>5014771.1323659364</v>
      </c>
      <c r="N616" s="9">
        <f ca="1">_xlfn.NORM.INV(RAND(),AVERAGE(Assumptions!$D$16,Assumptions!$F$16),(Assumptions!$F$16-Assumptions!$D$16)/3.29)*44</f>
        <v>12522479.560148317</v>
      </c>
      <c r="O616" s="12">
        <f ca="1">_xlfn.NORM.INV(RAND(),AVERAGE(Assumptions!$D$15,Assumptions!$F$15),(Assumptions!$F$15-Assumptions!$D$15)/3.29)*44</f>
        <v>56014446.953746796</v>
      </c>
      <c r="P616" s="15">
        <f>Assumptions!$D$18</f>
        <v>14641750.345627395</v>
      </c>
      <c r="Q616" s="3">
        <f t="shared" ca="1" si="18"/>
        <v>-7903370.5812773854</v>
      </c>
      <c r="R616" s="6">
        <f t="shared" ca="1" si="19"/>
        <v>6738379.7643500101</v>
      </c>
    </row>
    <row r="617" spans="1:18">
      <c r="A617" s="20">
        <v>616</v>
      </c>
      <c r="B617" s="3">
        <f ca="1">_xlfn.NORM.INV(RAND(),AVERAGE(Assumptions!$D$4,Assumptions!$F$4),(Assumptions!$F$4-Assumptions!$D$4)/3.29)*44</f>
        <v>1319703.2284874741</v>
      </c>
      <c r="C617" s="6">
        <f ca="1">_xlfn.NORM.INV(RAND(),AVERAGE(Assumptions!$D$5,Assumptions!$F$5),(Assumptions!$F$5-Assumptions!$D$5)/3.29)*44</f>
        <v>1970782.4414721881</v>
      </c>
      <c r="D617" s="9">
        <f ca="1">_xlfn.NORM.INV(RAND(),AVERAGE(Assumptions!$D$6,Assumptions!$F$6),(Assumptions!$F$6-Assumptions!$D$6)/3.29)*RANDBETWEEN(2,5)</f>
        <v>2830583.3729011649</v>
      </c>
      <c r="E617" s="12">
        <f ca="1">_xlfn.NORM.INV(RAND(),AVERAGE(Assumptions!$D$17,Assumptions!$F$17),(Assumptions!$F$17-Assumptions!$D$17)/3.29)*8</f>
        <v>956555.14523983141</v>
      </c>
      <c r="F617" s="15">
        <f ca="1">_xlfn.NORM.INV(RAND(),AVERAGE(Assumptions!$D$7,Assumptions!$F$7),(Assumptions!$F$7-Assumptions!$D$7)/3.29)*RANDBETWEEN(1,3)</f>
        <v>5738582.3063597297</v>
      </c>
      <c r="G617" s="3">
        <f ca="1">_xlfn.NORM.INV(RAND(),AVERAGE(Assumptions!$D$8,Assumptions!$F$8),(Assumptions!$F$8-Assumptions!$D$8)/3.29)*44</f>
        <v>1418141.5041141119</v>
      </c>
      <c r="H617" s="6">
        <f ca="1">_xlfn.NORM.INV(RAND(),AVERAGE(Assumptions!$D$9,Assumptions!$F$9),(Assumptions!$F$9-Assumptions!$D$9)/3.29)*21</f>
        <v>5662793.462954687</v>
      </c>
      <c r="I617" s="9">
        <f ca="1">_xlfn.NORM.INV(RAND(),AVERAGE(Assumptions!$D$10,Assumptions!$F$10),(Assumptions!$F$10-Assumptions!$D$10)/3.29)*21</f>
        <v>699665.88196303265</v>
      </c>
      <c r="J617" s="12">
        <f ca="1">NORMINV(RAND(),AVERAGE(Assumptions!$D$11,Assumptions!$F$11),(Assumptions!$F$11-Assumptions!$D$11)/3.29)*44</f>
        <v>2468639.1334031951</v>
      </c>
      <c r="K617" s="15">
        <f ca="1">_xlfn.NORM.INV(RAND(),AVERAGE(Assumptions!$D$12,Assumptions!$F$12),(Assumptions!$F$12-Assumptions!$D$12)/3.29)*44</f>
        <v>8487090.8838956058</v>
      </c>
      <c r="L617" s="3">
        <f ca="1">_xlfn.NORM.INV(RAND(),AVERAGE(Assumptions!$D$13,Assumptions!$F$13),(Assumptions!$F$13-Assumptions!$D$13)/3.29)*44</f>
        <v>10186931.954429211</v>
      </c>
      <c r="M617" s="6">
        <f ca="1">_xlfn.NORM.INV(RAND(),AVERAGE(Assumptions!$D$14,Assumptions!$F$14),(Assumptions!$F$14-Assumptions!$D$14)/3.29)*44</f>
        <v>4025126.1713692709</v>
      </c>
      <c r="N617" s="9">
        <f ca="1">_xlfn.NORM.INV(RAND(),AVERAGE(Assumptions!$D$16,Assumptions!$F$16),(Assumptions!$F$16-Assumptions!$D$16)/3.29)*44</f>
        <v>8941280.2825065628</v>
      </c>
      <c r="O617" s="12">
        <f ca="1">_xlfn.NORM.INV(RAND(),AVERAGE(Assumptions!$D$15,Assumptions!$F$15),(Assumptions!$F$15-Assumptions!$D$15)/3.29)*44</f>
        <v>23563634.193924949</v>
      </c>
      <c r="P617" s="15">
        <f>Assumptions!$D$18</f>
        <v>14641750.345627395</v>
      </c>
      <c r="Q617" s="3">
        <f t="shared" ca="1" si="18"/>
        <v>-31142241.575171113</v>
      </c>
      <c r="R617" s="6">
        <f t="shared" ca="1" si="19"/>
        <v>-16500491.229543718</v>
      </c>
    </row>
    <row r="618" spans="1:18">
      <c r="A618" s="20">
        <v>617</v>
      </c>
      <c r="B618" s="3">
        <f ca="1">_xlfn.NORM.INV(RAND(),AVERAGE(Assumptions!$D$4,Assumptions!$F$4),(Assumptions!$F$4-Assumptions!$D$4)/3.29)*44</f>
        <v>1121227.4840870649</v>
      </c>
      <c r="C618" s="6">
        <f ca="1">_xlfn.NORM.INV(RAND(),AVERAGE(Assumptions!$D$5,Assumptions!$F$5),(Assumptions!$F$5-Assumptions!$D$5)/3.29)*44</f>
        <v>2029212.6529166333</v>
      </c>
      <c r="D618" s="9">
        <f ca="1">_xlfn.NORM.INV(RAND(),AVERAGE(Assumptions!$D$6,Assumptions!$F$6),(Assumptions!$F$6-Assumptions!$D$6)/3.29)*RANDBETWEEN(2,5)</f>
        <v>3356708.8015148044</v>
      </c>
      <c r="E618" s="12">
        <f ca="1">_xlfn.NORM.INV(RAND(),AVERAGE(Assumptions!$D$17,Assumptions!$F$17),(Assumptions!$F$17-Assumptions!$D$17)/3.29)*8</f>
        <v>722632.23037322843</v>
      </c>
      <c r="F618" s="15">
        <f ca="1">_xlfn.NORM.INV(RAND(),AVERAGE(Assumptions!$D$7,Assumptions!$F$7),(Assumptions!$F$7-Assumptions!$D$7)/3.29)*RANDBETWEEN(1,3)</f>
        <v>5987546.0144948438</v>
      </c>
      <c r="G618" s="3">
        <f ca="1">_xlfn.NORM.INV(RAND(),AVERAGE(Assumptions!$D$8,Assumptions!$F$8),(Assumptions!$F$8-Assumptions!$D$8)/3.29)*44</f>
        <v>1282842.9224020129</v>
      </c>
      <c r="H618" s="6">
        <f ca="1">_xlfn.NORM.INV(RAND(),AVERAGE(Assumptions!$D$9,Assumptions!$F$9),(Assumptions!$F$9-Assumptions!$D$9)/3.29)*21</f>
        <v>3902859.4874764872</v>
      </c>
      <c r="I618" s="9">
        <f ca="1">_xlfn.NORM.INV(RAND(),AVERAGE(Assumptions!$D$10,Assumptions!$F$10),(Assumptions!$F$10-Assumptions!$D$10)/3.29)*21</f>
        <v>1274512.881161466</v>
      </c>
      <c r="J618" s="12">
        <f ca="1">NORMINV(RAND(),AVERAGE(Assumptions!$D$11,Assumptions!$F$11),(Assumptions!$F$11-Assumptions!$D$11)/3.29)*44</f>
        <v>2626839.3382616043</v>
      </c>
      <c r="K618" s="15">
        <f ca="1">_xlfn.NORM.INV(RAND(),AVERAGE(Assumptions!$D$12,Assumptions!$F$12),(Assumptions!$F$12-Assumptions!$D$12)/3.29)*44</f>
        <v>12411302.425371971</v>
      </c>
      <c r="L618" s="3">
        <f ca="1">_xlfn.NORM.INV(RAND(),AVERAGE(Assumptions!$D$13,Assumptions!$F$13),(Assumptions!$F$13-Assumptions!$D$13)/3.29)*44</f>
        <v>10262821.630198911</v>
      </c>
      <c r="M618" s="6">
        <f ca="1">_xlfn.NORM.INV(RAND(),AVERAGE(Assumptions!$D$14,Assumptions!$F$14),(Assumptions!$F$14-Assumptions!$D$14)/3.29)*44</f>
        <v>5660290.5408519767</v>
      </c>
      <c r="N618" s="9">
        <f ca="1">_xlfn.NORM.INV(RAND(),AVERAGE(Assumptions!$D$16,Assumptions!$F$16),(Assumptions!$F$16-Assumptions!$D$16)/3.29)*44</f>
        <v>14420339.745551934</v>
      </c>
      <c r="O618" s="12">
        <f ca="1">_xlfn.NORM.INV(RAND(),AVERAGE(Assumptions!$D$15,Assumptions!$F$15),(Assumptions!$F$15-Assumptions!$D$15)/3.29)*44</f>
        <v>54973045.134689435</v>
      </c>
      <c r="P618" s="15">
        <f>Assumptions!$D$18</f>
        <v>14641750.345627395</v>
      </c>
      <c r="Q618" s="3">
        <f t="shared" ca="1" si="18"/>
        <v>-10086091.019973502</v>
      </c>
      <c r="R618" s="6">
        <f t="shared" ca="1" si="19"/>
        <v>4555659.3256538939</v>
      </c>
    </row>
    <row r="619" spans="1:18">
      <c r="A619" s="20">
        <v>618</v>
      </c>
      <c r="B619" s="3">
        <f ca="1">_xlfn.NORM.INV(RAND(),AVERAGE(Assumptions!$D$4,Assumptions!$F$4),(Assumptions!$F$4-Assumptions!$D$4)/3.29)*44</f>
        <v>1298364.9067471223</v>
      </c>
      <c r="C619" s="6">
        <f ca="1">_xlfn.NORM.INV(RAND(),AVERAGE(Assumptions!$D$5,Assumptions!$F$5),(Assumptions!$F$5-Assumptions!$D$5)/3.29)*44</f>
        <v>1853201.0879049522</v>
      </c>
      <c r="D619" s="9">
        <f ca="1">_xlfn.NORM.INV(RAND(),AVERAGE(Assumptions!$D$6,Assumptions!$F$6),(Assumptions!$F$6-Assumptions!$D$6)/3.29)*RANDBETWEEN(2,5)</f>
        <v>3799231.5936280871</v>
      </c>
      <c r="E619" s="12">
        <f ca="1">_xlfn.NORM.INV(RAND(),AVERAGE(Assumptions!$D$17,Assumptions!$F$17),(Assumptions!$F$17-Assumptions!$D$17)/3.29)*8</f>
        <v>1178148.9761536883</v>
      </c>
      <c r="F619" s="15">
        <f ca="1">_xlfn.NORM.INV(RAND(),AVERAGE(Assumptions!$D$7,Assumptions!$F$7),(Assumptions!$F$7-Assumptions!$D$7)/3.29)*RANDBETWEEN(1,3)</f>
        <v>3416370.9157629032</v>
      </c>
      <c r="G619" s="3">
        <f ca="1">_xlfn.NORM.INV(RAND(),AVERAGE(Assumptions!$D$8,Assumptions!$F$8),(Assumptions!$F$8-Assumptions!$D$8)/3.29)*44</f>
        <v>898940.54761249665</v>
      </c>
      <c r="H619" s="6">
        <f ca="1">_xlfn.NORM.INV(RAND(),AVERAGE(Assumptions!$D$9,Assumptions!$F$9),(Assumptions!$F$9-Assumptions!$D$9)/3.29)*21</f>
        <v>2362774.7552791769</v>
      </c>
      <c r="I619" s="9">
        <f ca="1">_xlfn.NORM.INV(RAND(),AVERAGE(Assumptions!$D$10,Assumptions!$F$10),(Assumptions!$F$10-Assumptions!$D$10)/3.29)*21</f>
        <v>1193135.3241546752</v>
      </c>
      <c r="J619" s="12">
        <f ca="1">NORMINV(RAND(),AVERAGE(Assumptions!$D$11,Assumptions!$F$11),(Assumptions!$F$11-Assumptions!$D$11)/3.29)*44</f>
        <v>5167754.9853220424</v>
      </c>
      <c r="K619" s="15">
        <f ca="1">_xlfn.NORM.INV(RAND(),AVERAGE(Assumptions!$D$12,Assumptions!$F$12),(Assumptions!$F$12-Assumptions!$D$12)/3.29)*44</f>
        <v>9046239.2430169489</v>
      </c>
      <c r="L619" s="3">
        <f ca="1">_xlfn.NORM.INV(RAND(),AVERAGE(Assumptions!$D$13,Assumptions!$F$13),(Assumptions!$F$13-Assumptions!$D$13)/3.29)*44</f>
        <v>7300536.7619953146</v>
      </c>
      <c r="M619" s="6">
        <f ca="1">_xlfn.NORM.INV(RAND(),AVERAGE(Assumptions!$D$14,Assumptions!$F$14),(Assumptions!$F$14-Assumptions!$D$14)/3.29)*44</f>
        <v>5460644.5829476994</v>
      </c>
      <c r="N619" s="9">
        <f ca="1">_xlfn.NORM.INV(RAND(),AVERAGE(Assumptions!$D$16,Assumptions!$F$16),(Assumptions!$F$16-Assumptions!$D$16)/3.29)*44</f>
        <v>5496663.176594005</v>
      </c>
      <c r="O619" s="12">
        <f ca="1">_xlfn.NORM.INV(RAND(),AVERAGE(Assumptions!$D$15,Assumptions!$F$15),(Assumptions!$F$15-Assumptions!$D$15)/3.29)*44</f>
        <v>88276332.811889127</v>
      </c>
      <c r="P619" s="15">
        <f>Assumptions!$D$18</f>
        <v>14641750.345627395</v>
      </c>
      <c r="Q619" s="3">
        <f t="shared" ca="1" si="18"/>
        <v>39804325.954770014</v>
      </c>
      <c r="R619" s="6">
        <f t="shared" ca="1" si="19"/>
        <v>54446076.300397411</v>
      </c>
    </row>
    <row r="620" spans="1:18">
      <c r="A620" s="20">
        <v>619</v>
      </c>
      <c r="B620" s="3">
        <f ca="1">_xlfn.NORM.INV(RAND(),AVERAGE(Assumptions!$D$4,Assumptions!$F$4),(Assumptions!$F$4-Assumptions!$D$4)/3.29)*44</f>
        <v>1179760.313557066</v>
      </c>
      <c r="C620" s="6">
        <f ca="1">_xlfn.NORM.INV(RAND(),AVERAGE(Assumptions!$D$5,Assumptions!$F$5),(Assumptions!$F$5-Assumptions!$D$5)/3.29)*44</f>
        <v>1826712.8351774563</v>
      </c>
      <c r="D620" s="9">
        <f ca="1">_xlfn.NORM.INV(RAND(),AVERAGE(Assumptions!$D$6,Assumptions!$F$6),(Assumptions!$F$6-Assumptions!$D$6)/3.29)*RANDBETWEEN(2,5)</f>
        <v>3097158.3396479138</v>
      </c>
      <c r="E620" s="12">
        <f ca="1">_xlfn.NORM.INV(RAND(),AVERAGE(Assumptions!$D$17,Assumptions!$F$17),(Assumptions!$F$17-Assumptions!$D$17)/3.29)*8</f>
        <v>992452.58683214255</v>
      </c>
      <c r="F620" s="15">
        <f ca="1">_xlfn.NORM.INV(RAND(),AVERAGE(Assumptions!$D$7,Assumptions!$F$7),(Assumptions!$F$7-Assumptions!$D$7)/3.29)*RANDBETWEEN(1,3)</f>
        <v>3629379.4824090628</v>
      </c>
      <c r="G620" s="3">
        <f ca="1">_xlfn.NORM.INV(RAND(),AVERAGE(Assumptions!$D$8,Assumptions!$F$8),(Assumptions!$F$8-Assumptions!$D$8)/3.29)*44</f>
        <v>959098.61027344805</v>
      </c>
      <c r="H620" s="6">
        <f ca="1">_xlfn.NORM.INV(RAND(),AVERAGE(Assumptions!$D$9,Assumptions!$F$9),(Assumptions!$F$9-Assumptions!$D$9)/3.29)*21</f>
        <v>2883392.6886663442</v>
      </c>
      <c r="I620" s="9">
        <f ca="1">_xlfn.NORM.INV(RAND(),AVERAGE(Assumptions!$D$10,Assumptions!$F$10),(Assumptions!$F$10-Assumptions!$D$10)/3.29)*21</f>
        <v>561750.0652757216</v>
      </c>
      <c r="J620" s="12">
        <f ca="1">NORMINV(RAND(),AVERAGE(Assumptions!$D$11,Assumptions!$F$11),(Assumptions!$F$11-Assumptions!$D$11)/3.29)*44</f>
        <v>4004745.6836574296</v>
      </c>
      <c r="K620" s="15">
        <f ca="1">_xlfn.NORM.INV(RAND(),AVERAGE(Assumptions!$D$12,Assumptions!$F$12),(Assumptions!$F$12-Assumptions!$D$12)/3.29)*44</f>
        <v>7389046.2619486097</v>
      </c>
      <c r="L620" s="3">
        <f ca="1">_xlfn.NORM.INV(RAND(),AVERAGE(Assumptions!$D$13,Assumptions!$F$13),(Assumptions!$F$13-Assumptions!$D$13)/3.29)*44</f>
        <v>15090924.818790607</v>
      </c>
      <c r="M620" s="6">
        <f ca="1">_xlfn.NORM.INV(RAND(),AVERAGE(Assumptions!$D$14,Assumptions!$F$14),(Assumptions!$F$14-Assumptions!$D$14)/3.29)*44</f>
        <v>6004679.9103729632</v>
      </c>
      <c r="N620" s="9">
        <f ca="1">_xlfn.NORM.INV(RAND(),AVERAGE(Assumptions!$D$16,Assumptions!$F$16),(Assumptions!$F$16-Assumptions!$D$16)/3.29)*44</f>
        <v>18992695.346823193</v>
      </c>
      <c r="O620" s="12">
        <f ca="1">_xlfn.NORM.INV(RAND(),AVERAGE(Assumptions!$D$15,Assumptions!$F$15),(Assumptions!$F$15-Assumptions!$D$15)/3.29)*44</f>
        <v>137888649.4833605</v>
      </c>
      <c r="P620" s="15">
        <f>Assumptions!$D$18</f>
        <v>14641750.345627395</v>
      </c>
      <c r="Q620" s="3">
        <f t="shared" ca="1" si="18"/>
        <v>71276852.539928541</v>
      </c>
      <c r="R620" s="6">
        <f t="shared" ca="1" si="19"/>
        <v>85918602.885555938</v>
      </c>
    </row>
    <row r="621" spans="1:18">
      <c r="A621" s="20">
        <v>620</v>
      </c>
      <c r="B621" s="3">
        <f ca="1">_xlfn.NORM.INV(RAND(),AVERAGE(Assumptions!$D$4,Assumptions!$F$4),(Assumptions!$F$4-Assumptions!$D$4)/3.29)*44</f>
        <v>1202079.5014830502</v>
      </c>
      <c r="C621" s="6">
        <f ca="1">_xlfn.NORM.INV(RAND(),AVERAGE(Assumptions!$D$5,Assumptions!$F$5),(Assumptions!$F$5-Assumptions!$D$5)/3.29)*44</f>
        <v>1980130.3480815119</v>
      </c>
      <c r="D621" s="9">
        <f ca="1">_xlfn.NORM.INV(RAND(),AVERAGE(Assumptions!$D$6,Assumptions!$F$6),(Assumptions!$F$6-Assumptions!$D$6)/3.29)*RANDBETWEEN(2,5)</f>
        <v>3630217.5577229387</v>
      </c>
      <c r="E621" s="12">
        <f ca="1">_xlfn.NORM.INV(RAND(),AVERAGE(Assumptions!$D$17,Assumptions!$F$17),(Assumptions!$F$17-Assumptions!$D$17)/3.29)*8</f>
        <v>891722.01783168339</v>
      </c>
      <c r="F621" s="15">
        <f ca="1">_xlfn.NORM.INV(RAND(),AVERAGE(Assumptions!$D$7,Assumptions!$F$7),(Assumptions!$F$7-Assumptions!$D$7)/3.29)*RANDBETWEEN(1,3)</f>
        <v>3704921.7181278472</v>
      </c>
      <c r="G621" s="3">
        <f ca="1">_xlfn.NORM.INV(RAND(),AVERAGE(Assumptions!$D$8,Assumptions!$F$8),(Assumptions!$F$8-Assumptions!$D$8)/3.29)*44</f>
        <v>1098938.5382967112</v>
      </c>
      <c r="H621" s="6">
        <f ca="1">_xlfn.NORM.INV(RAND(),AVERAGE(Assumptions!$D$9,Assumptions!$F$9),(Assumptions!$F$9-Assumptions!$D$9)/3.29)*21</f>
        <v>5647472.2542791655</v>
      </c>
      <c r="I621" s="9">
        <f ca="1">_xlfn.NORM.INV(RAND(),AVERAGE(Assumptions!$D$10,Assumptions!$F$10),(Assumptions!$F$10-Assumptions!$D$10)/3.29)*21</f>
        <v>954255.66726445651</v>
      </c>
      <c r="J621" s="12">
        <f ca="1">NORMINV(RAND(),AVERAGE(Assumptions!$D$11,Assumptions!$F$11),(Assumptions!$F$11-Assumptions!$D$11)/3.29)*44</f>
        <v>2207574.5120960153</v>
      </c>
      <c r="K621" s="15">
        <f ca="1">_xlfn.NORM.INV(RAND(),AVERAGE(Assumptions!$D$12,Assumptions!$F$12),(Assumptions!$F$12-Assumptions!$D$12)/3.29)*44</f>
        <v>9164202.4028569888</v>
      </c>
      <c r="L621" s="3">
        <f ca="1">_xlfn.NORM.INV(RAND(),AVERAGE(Assumptions!$D$13,Assumptions!$F$13),(Assumptions!$F$13-Assumptions!$D$13)/3.29)*44</f>
        <v>5326319.9380771285</v>
      </c>
      <c r="M621" s="6">
        <f ca="1">_xlfn.NORM.INV(RAND(),AVERAGE(Assumptions!$D$14,Assumptions!$F$14),(Assumptions!$F$14-Assumptions!$D$14)/3.29)*44</f>
        <v>6594466.842569056</v>
      </c>
      <c r="N621" s="9">
        <f ca="1">_xlfn.NORM.INV(RAND(),AVERAGE(Assumptions!$D$16,Assumptions!$F$16),(Assumptions!$F$16-Assumptions!$D$16)/3.29)*44</f>
        <v>17108153.827912927</v>
      </c>
      <c r="O621" s="12">
        <f ca="1">_xlfn.NORM.INV(RAND(),AVERAGE(Assumptions!$D$15,Assumptions!$F$15),(Assumptions!$F$15-Assumptions!$D$15)/3.29)*44</f>
        <v>58703204.145784788</v>
      </c>
      <c r="P621" s="15">
        <f>Assumptions!$D$18</f>
        <v>14641750.345627395</v>
      </c>
      <c r="Q621" s="3">
        <f t="shared" ca="1" si="18"/>
        <v>-807250.98081468791</v>
      </c>
      <c r="R621" s="6">
        <f t="shared" ca="1" si="19"/>
        <v>13834499.364812708</v>
      </c>
    </row>
    <row r="622" spans="1:18">
      <c r="A622" s="20">
        <v>621</v>
      </c>
      <c r="B622" s="3">
        <f ca="1">_xlfn.NORM.INV(RAND(),AVERAGE(Assumptions!$D$4,Assumptions!$F$4),(Assumptions!$F$4-Assumptions!$D$4)/3.29)*44</f>
        <v>1211377.1349075306</v>
      </c>
      <c r="C622" s="6">
        <f ca="1">_xlfn.NORM.INV(RAND(),AVERAGE(Assumptions!$D$5,Assumptions!$F$5),(Assumptions!$F$5-Assumptions!$D$5)/3.29)*44</f>
        <v>1995766.872844964</v>
      </c>
      <c r="D622" s="9">
        <f ca="1">_xlfn.NORM.INV(RAND(),AVERAGE(Assumptions!$D$6,Assumptions!$F$6),(Assumptions!$F$6-Assumptions!$D$6)/3.29)*RANDBETWEEN(2,5)</f>
        <v>3219281.5485184537</v>
      </c>
      <c r="E622" s="12">
        <f ca="1">_xlfn.NORM.INV(RAND(),AVERAGE(Assumptions!$D$17,Assumptions!$F$17),(Assumptions!$F$17-Assumptions!$D$17)/3.29)*8</f>
        <v>1023612.9307114693</v>
      </c>
      <c r="F622" s="15">
        <f ca="1">_xlfn.NORM.INV(RAND(),AVERAGE(Assumptions!$D$7,Assumptions!$F$7),(Assumptions!$F$7-Assumptions!$D$7)/3.29)*RANDBETWEEN(1,3)</f>
        <v>7607918.3063536994</v>
      </c>
      <c r="G622" s="3">
        <f ca="1">_xlfn.NORM.INV(RAND(),AVERAGE(Assumptions!$D$8,Assumptions!$F$8),(Assumptions!$F$8-Assumptions!$D$8)/3.29)*44</f>
        <v>746784.70951914415</v>
      </c>
      <c r="H622" s="6">
        <f ca="1">_xlfn.NORM.INV(RAND(),AVERAGE(Assumptions!$D$9,Assumptions!$F$9),(Assumptions!$F$9-Assumptions!$D$9)/3.29)*21</f>
        <v>5928319.8519882215</v>
      </c>
      <c r="I622" s="9">
        <f ca="1">_xlfn.NORM.INV(RAND(),AVERAGE(Assumptions!$D$10,Assumptions!$F$10),(Assumptions!$F$10-Assumptions!$D$10)/3.29)*21</f>
        <v>1250483.6061042557</v>
      </c>
      <c r="J622" s="12">
        <f ca="1">NORMINV(RAND(),AVERAGE(Assumptions!$D$11,Assumptions!$F$11),(Assumptions!$F$11-Assumptions!$D$11)/3.29)*44</f>
        <v>-190563.52353665879</v>
      </c>
      <c r="K622" s="15">
        <f ca="1">_xlfn.NORM.INV(RAND(),AVERAGE(Assumptions!$D$12,Assumptions!$F$12),(Assumptions!$F$12-Assumptions!$D$12)/3.29)*44</f>
        <v>7827902.8400690518</v>
      </c>
      <c r="L622" s="3">
        <f ca="1">_xlfn.NORM.INV(RAND(),AVERAGE(Assumptions!$D$13,Assumptions!$F$13),(Assumptions!$F$13-Assumptions!$D$13)/3.29)*44</f>
        <v>13985223.480143987</v>
      </c>
      <c r="M622" s="6">
        <f ca="1">_xlfn.NORM.INV(RAND(),AVERAGE(Assumptions!$D$14,Assumptions!$F$14),(Assumptions!$F$14-Assumptions!$D$14)/3.29)*44</f>
        <v>5338367.4511221349</v>
      </c>
      <c r="N622" s="9">
        <f ca="1">_xlfn.NORM.INV(RAND(),AVERAGE(Assumptions!$D$16,Assumptions!$F$16),(Assumptions!$F$16-Assumptions!$D$16)/3.29)*44</f>
        <v>19632823.571536016</v>
      </c>
      <c r="O622" s="12">
        <f ca="1">_xlfn.NORM.INV(RAND(),AVERAGE(Assumptions!$D$15,Assumptions!$F$15),(Assumptions!$F$15-Assumptions!$D$15)/3.29)*44</f>
        <v>58845062.003096975</v>
      </c>
      <c r="P622" s="15">
        <f>Assumptions!$D$18</f>
        <v>14641750.345627395</v>
      </c>
      <c r="Q622" s="3">
        <f t="shared" ca="1" si="18"/>
        <v>-10732236.777185284</v>
      </c>
      <c r="R622" s="6">
        <f t="shared" ca="1" si="19"/>
        <v>3909513.5684421118</v>
      </c>
    </row>
    <row r="623" spans="1:18">
      <c r="A623" s="20">
        <v>622</v>
      </c>
      <c r="B623" s="3">
        <f ca="1">_xlfn.NORM.INV(RAND(),AVERAGE(Assumptions!$D$4,Assumptions!$F$4),(Assumptions!$F$4-Assumptions!$D$4)/3.29)*44</f>
        <v>1149664.3471056928</v>
      </c>
      <c r="C623" s="6">
        <f ca="1">_xlfn.NORM.INV(RAND(),AVERAGE(Assumptions!$D$5,Assumptions!$F$5),(Assumptions!$F$5-Assumptions!$D$5)/3.29)*44</f>
        <v>1641703.6309005755</v>
      </c>
      <c r="D623" s="9">
        <f ca="1">_xlfn.NORM.INV(RAND(),AVERAGE(Assumptions!$D$6,Assumptions!$F$6),(Assumptions!$F$6-Assumptions!$D$6)/3.29)*RANDBETWEEN(2,5)</f>
        <v>475272.0149224645</v>
      </c>
      <c r="E623" s="12">
        <f ca="1">_xlfn.NORM.INV(RAND(),AVERAGE(Assumptions!$D$17,Assumptions!$F$17),(Assumptions!$F$17-Assumptions!$D$17)/3.29)*8</f>
        <v>860102.49798255006</v>
      </c>
      <c r="F623" s="15">
        <f ca="1">_xlfn.NORM.INV(RAND(),AVERAGE(Assumptions!$D$7,Assumptions!$F$7),(Assumptions!$F$7-Assumptions!$D$7)/3.29)*RANDBETWEEN(1,3)</f>
        <v>7574646.9974127896</v>
      </c>
      <c r="G623" s="3">
        <f ca="1">_xlfn.NORM.INV(RAND(),AVERAGE(Assumptions!$D$8,Assumptions!$F$8),(Assumptions!$F$8-Assumptions!$D$8)/3.29)*44</f>
        <v>875510.88176956947</v>
      </c>
      <c r="H623" s="6">
        <f ca="1">_xlfn.NORM.INV(RAND(),AVERAGE(Assumptions!$D$9,Assumptions!$F$9),(Assumptions!$F$9-Assumptions!$D$9)/3.29)*21</f>
        <v>3491331.3803070839</v>
      </c>
      <c r="I623" s="9">
        <f ca="1">_xlfn.NORM.INV(RAND(),AVERAGE(Assumptions!$D$10,Assumptions!$F$10),(Assumptions!$F$10-Assumptions!$D$10)/3.29)*21</f>
        <v>620162.73173796723</v>
      </c>
      <c r="J623" s="12">
        <f ca="1">NORMINV(RAND(),AVERAGE(Assumptions!$D$11,Assumptions!$F$11),(Assumptions!$F$11-Assumptions!$D$11)/3.29)*44</f>
        <v>3808104.708051485</v>
      </c>
      <c r="K623" s="15">
        <f ca="1">_xlfn.NORM.INV(RAND(),AVERAGE(Assumptions!$D$12,Assumptions!$F$12),(Assumptions!$F$12-Assumptions!$D$12)/3.29)*44</f>
        <v>9678026.7480764128</v>
      </c>
      <c r="L623" s="3">
        <f ca="1">_xlfn.NORM.INV(RAND(),AVERAGE(Assumptions!$D$13,Assumptions!$F$13),(Assumptions!$F$13-Assumptions!$D$13)/3.29)*44</f>
        <v>4470050.8996316874</v>
      </c>
      <c r="M623" s="6">
        <f ca="1">_xlfn.NORM.INV(RAND(),AVERAGE(Assumptions!$D$14,Assumptions!$F$14),(Assumptions!$F$14-Assumptions!$D$14)/3.29)*44</f>
        <v>4989081.9729756406</v>
      </c>
      <c r="N623" s="9">
        <f ca="1">_xlfn.NORM.INV(RAND(),AVERAGE(Assumptions!$D$16,Assumptions!$F$16),(Assumptions!$F$16-Assumptions!$D$16)/3.29)*44</f>
        <v>6075030.3664539494</v>
      </c>
      <c r="O623" s="12">
        <f ca="1">_xlfn.NORM.INV(RAND(),AVERAGE(Assumptions!$D$15,Assumptions!$F$15),(Assumptions!$F$15-Assumptions!$D$15)/3.29)*44</f>
        <v>126180861.24906343</v>
      </c>
      <c r="P623" s="15">
        <f>Assumptions!$D$18</f>
        <v>14641750.345627395</v>
      </c>
      <c r="Q623" s="3">
        <f t="shared" ca="1" si="18"/>
        <v>80472172.071735561</v>
      </c>
      <c r="R623" s="6">
        <f t="shared" ca="1" si="19"/>
        <v>95113922.417362958</v>
      </c>
    </row>
    <row r="624" spans="1:18">
      <c r="A624" s="20">
        <v>623</v>
      </c>
      <c r="B624" s="3">
        <f ca="1">_xlfn.NORM.INV(RAND(),AVERAGE(Assumptions!$D$4,Assumptions!$F$4),(Assumptions!$F$4-Assumptions!$D$4)/3.29)*44</f>
        <v>1231521.06122193</v>
      </c>
      <c r="C624" s="6">
        <f ca="1">_xlfn.NORM.INV(RAND(),AVERAGE(Assumptions!$D$5,Assumptions!$F$5),(Assumptions!$F$5-Assumptions!$D$5)/3.29)*44</f>
        <v>1939206.3410582528</v>
      </c>
      <c r="D624" s="9">
        <f ca="1">_xlfn.NORM.INV(RAND(),AVERAGE(Assumptions!$D$6,Assumptions!$F$6),(Assumptions!$F$6-Assumptions!$D$6)/3.29)*RANDBETWEEN(2,5)</f>
        <v>1838127.5006766506</v>
      </c>
      <c r="E624" s="12">
        <f ca="1">_xlfn.NORM.INV(RAND(),AVERAGE(Assumptions!$D$17,Assumptions!$F$17),(Assumptions!$F$17-Assumptions!$D$17)/3.29)*8</f>
        <v>828973.06174367794</v>
      </c>
      <c r="F624" s="15">
        <f ca="1">_xlfn.NORM.INV(RAND(),AVERAGE(Assumptions!$D$7,Assumptions!$F$7),(Assumptions!$F$7-Assumptions!$D$7)/3.29)*RANDBETWEEN(1,3)</f>
        <v>3415855.1624782109</v>
      </c>
      <c r="G624" s="3">
        <f ca="1">_xlfn.NORM.INV(RAND(),AVERAGE(Assumptions!$D$8,Assumptions!$F$8),(Assumptions!$F$8-Assumptions!$D$8)/3.29)*44</f>
        <v>1088318.2353847842</v>
      </c>
      <c r="H624" s="6">
        <f ca="1">_xlfn.NORM.INV(RAND(),AVERAGE(Assumptions!$D$9,Assumptions!$F$9),(Assumptions!$F$9-Assumptions!$D$9)/3.29)*21</f>
        <v>3987489.5104041649</v>
      </c>
      <c r="I624" s="9">
        <f ca="1">_xlfn.NORM.INV(RAND(),AVERAGE(Assumptions!$D$10,Assumptions!$F$10),(Assumptions!$F$10-Assumptions!$D$10)/3.29)*21</f>
        <v>1098911.2925988503</v>
      </c>
      <c r="J624" s="12">
        <f ca="1">NORMINV(RAND(),AVERAGE(Assumptions!$D$11,Assumptions!$F$11),(Assumptions!$F$11-Assumptions!$D$11)/3.29)*44</f>
        <v>4512738.7647660747</v>
      </c>
      <c r="K624" s="15">
        <f ca="1">_xlfn.NORM.INV(RAND(),AVERAGE(Assumptions!$D$12,Assumptions!$F$12),(Assumptions!$F$12-Assumptions!$D$12)/3.29)*44</f>
        <v>7119203.1793208271</v>
      </c>
      <c r="L624" s="3">
        <f ca="1">_xlfn.NORM.INV(RAND(),AVERAGE(Assumptions!$D$13,Assumptions!$F$13),(Assumptions!$F$13-Assumptions!$D$13)/3.29)*44</f>
        <v>13124400.8950032</v>
      </c>
      <c r="M624" s="6">
        <f ca="1">_xlfn.NORM.INV(RAND(),AVERAGE(Assumptions!$D$14,Assumptions!$F$14),(Assumptions!$F$14-Assumptions!$D$14)/3.29)*44</f>
        <v>4867406.4356324859</v>
      </c>
      <c r="N624" s="9">
        <f ca="1">_xlfn.NORM.INV(RAND(),AVERAGE(Assumptions!$D$16,Assumptions!$F$16),(Assumptions!$F$16-Assumptions!$D$16)/3.29)*44</f>
        <v>9718612.2527285293</v>
      </c>
      <c r="O624" s="12">
        <f ca="1">_xlfn.NORM.INV(RAND(),AVERAGE(Assumptions!$D$15,Assumptions!$F$15),(Assumptions!$F$15-Assumptions!$D$15)/3.29)*44</f>
        <v>117399570.27981856</v>
      </c>
      <c r="P624" s="15">
        <f>Assumptions!$D$18</f>
        <v>14641750.345627395</v>
      </c>
      <c r="Q624" s="3">
        <f t="shared" ca="1" si="18"/>
        <v>62628806.586800925</v>
      </c>
      <c r="R624" s="6">
        <f t="shared" ca="1" si="19"/>
        <v>77270556.932428315</v>
      </c>
    </row>
    <row r="625" spans="1:18">
      <c r="A625" s="20">
        <v>624</v>
      </c>
      <c r="B625" s="3">
        <f ca="1">_xlfn.NORM.INV(RAND(),AVERAGE(Assumptions!$D$4,Assumptions!$F$4),(Assumptions!$F$4-Assumptions!$D$4)/3.29)*44</f>
        <v>1194777.2877616789</v>
      </c>
      <c r="C625" s="6">
        <f ca="1">_xlfn.NORM.INV(RAND(),AVERAGE(Assumptions!$D$5,Assumptions!$F$5),(Assumptions!$F$5-Assumptions!$D$5)/3.29)*44</f>
        <v>1837181.5155074897</v>
      </c>
      <c r="D625" s="9">
        <f ca="1">_xlfn.NORM.INV(RAND(),AVERAGE(Assumptions!$D$6,Assumptions!$F$6),(Assumptions!$F$6-Assumptions!$D$6)/3.29)*RANDBETWEEN(2,5)</f>
        <v>2789301.593919585</v>
      </c>
      <c r="E625" s="12">
        <f ca="1">_xlfn.NORM.INV(RAND(),AVERAGE(Assumptions!$D$17,Assumptions!$F$17),(Assumptions!$F$17-Assumptions!$D$17)/3.29)*8</f>
        <v>825535.16372122907</v>
      </c>
      <c r="F625" s="15">
        <f ca="1">_xlfn.NORM.INV(RAND(),AVERAGE(Assumptions!$D$7,Assumptions!$F$7),(Assumptions!$F$7-Assumptions!$D$7)/3.29)*RANDBETWEEN(1,3)</f>
        <v>3026301.5570009956</v>
      </c>
      <c r="G625" s="3">
        <f ca="1">_xlfn.NORM.INV(RAND(),AVERAGE(Assumptions!$D$8,Assumptions!$F$8),(Assumptions!$F$8-Assumptions!$D$8)/3.29)*44</f>
        <v>1247947.9666124899</v>
      </c>
      <c r="H625" s="6">
        <f ca="1">_xlfn.NORM.INV(RAND(),AVERAGE(Assumptions!$D$9,Assumptions!$F$9),(Assumptions!$F$9-Assumptions!$D$9)/3.29)*21</f>
        <v>4165331.6431122571</v>
      </c>
      <c r="I625" s="9">
        <f ca="1">_xlfn.NORM.INV(RAND(),AVERAGE(Assumptions!$D$10,Assumptions!$F$10),(Assumptions!$F$10-Assumptions!$D$10)/3.29)*21</f>
        <v>309639.28230638895</v>
      </c>
      <c r="J625" s="12">
        <f ca="1">NORMINV(RAND(),AVERAGE(Assumptions!$D$11,Assumptions!$F$11),(Assumptions!$F$11-Assumptions!$D$11)/3.29)*44</f>
        <v>2582670.1628888021</v>
      </c>
      <c r="K625" s="15">
        <f ca="1">_xlfn.NORM.INV(RAND(),AVERAGE(Assumptions!$D$12,Assumptions!$F$12),(Assumptions!$F$12-Assumptions!$D$12)/3.29)*44</f>
        <v>7427757.5686078174</v>
      </c>
      <c r="L625" s="3">
        <f ca="1">_xlfn.NORM.INV(RAND(),AVERAGE(Assumptions!$D$13,Assumptions!$F$13),(Assumptions!$F$13-Assumptions!$D$13)/3.29)*44</f>
        <v>12111198.182328548</v>
      </c>
      <c r="M625" s="6">
        <f ca="1">_xlfn.NORM.INV(RAND(),AVERAGE(Assumptions!$D$14,Assumptions!$F$14),(Assumptions!$F$14-Assumptions!$D$14)/3.29)*44</f>
        <v>6337227.0018286128</v>
      </c>
      <c r="N625" s="9">
        <f ca="1">_xlfn.NORM.INV(RAND(),AVERAGE(Assumptions!$D$16,Assumptions!$F$16),(Assumptions!$F$16-Assumptions!$D$16)/3.29)*44</f>
        <v>12251482.633122144</v>
      </c>
      <c r="O625" s="12">
        <f ca="1">_xlfn.NORM.INV(RAND(),AVERAGE(Assumptions!$D$15,Assumptions!$F$15),(Assumptions!$F$15-Assumptions!$D$15)/3.29)*44</f>
        <v>52847083.178870827</v>
      </c>
      <c r="P625" s="15">
        <f>Assumptions!$D$18</f>
        <v>14641750.345627395</v>
      </c>
      <c r="Q625" s="3">
        <f t="shared" ca="1" si="18"/>
        <v>-3259268.3798472062</v>
      </c>
      <c r="R625" s="6">
        <f t="shared" ca="1" si="19"/>
        <v>11382481.965780189</v>
      </c>
    </row>
    <row r="626" spans="1:18">
      <c r="A626" s="20">
        <v>625</v>
      </c>
      <c r="B626" s="3">
        <f ca="1">_xlfn.NORM.INV(RAND(),AVERAGE(Assumptions!$D$4,Assumptions!$F$4),(Assumptions!$F$4-Assumptions!$D$4)/3.29)*44</f>
        <v>1184948.7527692374</v>
      </c>
      <c r="C626" s="6">
        <f ca="1">_xlfn.NORM.INV(RAND(),AVERAGE(Assumptions!$D$5,Assumptions!$F$5),(Assumptions!$F$5-Assumptions!$D$5)/3.29)*44</f>
        <v>1795772.8029304806</v>
      </c>
      <c r="D626" s="9">
        <f ca="1">_xlfn.NORM.INV(RAND(),AVERAGE(Assumptions!$D$6,Assumptions!$F$6),(Assumptions!$F$6-Assumptions!$D$6)/3.29)*RANDBETWEEN(2,5)</f>
        <v>6065801.6119702803</v>
      </c>
      <c r="E626" s="12">
        <f ca="1">_xlfn.NORM.INV(RAND(),AVERAGE(Assumptions!$D$17,Assumptions!$F$17),(Assumptions!$F$17-Assumptions!$D$17)/3.29)*8</f>
        <v>897410.68711703946</v>
      </c>
      <c r="F626" s="15">
        <f ca="1">_xlfn.NORM.INV(RAND(),AVERAGE(Assumptions!$D$7,Assumptions!$F$7),(Assumptions!$F$7-Assumptions!$D$7)/3.29)*RANDBETWEEN(1,3)</f>
        <v>6939178.9034380289</v>
      </c>
      <c r="G626" s="3">
        <f ca="1">_xlfn.NORM.INV(RAND(),AVERAGE(Assumptions!$D$8,Assumptions!$F$8),(Assumptions!$F$8-Assumptions!$D$8)/3.29)*44</f>
        <v>1068291.8003840346</v>
      </c>
      <c r="H626" s="6">
        <f ca="1">_xlfn.NORM.INV(RAND(),AVERAGE(Assumptions!$D$9,Assumptions!$F$9),(Assumptions!$F$9-Assumptions!$D$9)/3.29)*21</f>
        <v>6956657.8809930757</v>
      </c>
      <c r="I626" s="9">
        <f ca="1">_xlfn.NORM.INV(RAND(),AVERAGE(Assumptions!$D$10,Assumptions!$F$10),(Assumptions!$F$10-Assumptions!$D$10)/3.29)*21</f>
        <v>918864.03186619771</v>
      </c>
      <c r="J626" s="12">
        <f ca="1">NORMINV(RAND(),AVERAGE(Assumptions!$D$11,Assumptions!$F$11),(Assumptions!$F$11-Assumptions!$D$11)/3.29)*44</f>
        <v>2731439.978353464</v>
      </c>
      <c r="K626" s="15">
        <f ca="1">_xlfn.NORM.INV(RAND(),AVERAGE(Assumptions!$D$12,Assumptions!$F$12),(Assumptions!$F$12-Assumptions!$D$12)/3.29)*44</f>
        <v>8579669.1794992127</v>
      </c>
      <c r="L626" s="3">
        <f ca="1">_xlfn.NORM.INV(RAND(),AVERAGE(Assumptions!$D$13,Assumptions!$F$13),(Assumptions!$F$13-Assumptions!$D$13)/3.29)*44</f>
        <v>12348606.474064671</v>
      </c>
      <c r="M626" s="6">
        <f ca="1">_xlfn.NORM.INV(RAND(),AVERAGE(Assumptions!$D$14,Assumptions!$F$14),(Assumptions!$F$14-Assumptions!$D$14)/3.29)*44</f>
        <v>5765801.2844844516</v>
      </c>
      <c r="N626" s="9">
        <f ca="1">_xlfn.NORM.INV(RAND(),AVERAGE(Assumptions!$D$16,Assumptions!$F$16),(Assumptions!$F$16-Assumptions!$D$16)/3.29)*44</f>
        <v>14190410.135770299</v>
      </c>
      <c r="O626" s="12">
        <f ca="1">_xlfn.NORM.INV(RAND(),AVERAGE(Assumptions!$D$15,Assumptions!$F$15),(Assumptions!$F$15-Assumptions!$D$15)/3.29)*44</f>
        <v>65801763.667247906</v>
      </c>
      <c r="P626" s="15">
        <f>Assumptions!$D$18</f>
        <v>14641750.345627395</v>
      </c>
      <c r="Q626" s="3">
        <f t="shared" ca="1" si="18"/>
        <v>-3641089.8563925773</v>
      </c>
      <c r="R626" s="6">
        <f t="shared" ca="1" si="19"/>
        <v>11000660.489234818</v>
      </c>
    </row>
    <row r="627" spans="1:18">
      <c r="A627" s="20">
        <v>626</v>
      </c>
      <c r="B627" s="3">
        <f ca="1">_xlfn.NORM.INV(RAND(),AVERAGE(Assumptions!$D$4,Assumptions!$F$4),(Assumptions!$F$4-Assumptions!$D$4)/3.29)*44</f>
        <v>1176885.8300159231</v>
      </c>
      <c r="C627" s="6">
        <f ca="1">_xlfn.NORM.INV(RAND(),AVERAGE(Assumptions!$D$5,Assumptions!$F$5),(Assumptions!$F$5-Assumptions!$D$5)/3.29)*44</f>
        <v>2019181.4766223328</v>
      </c>
      <c r="D627" s="9">
        <f ca="1">_xlfn.NORM.INV(RAND(),AVERAGE(Assumptions!$D$6,Assumptions!$F$6),(Assumptions!$F$6-Assumptions!$D$6)/3.29)*RANDBETWEEN(2,5)</f>
        <v>2361076.6089229449</v>
      </c>
      <c r="E627" s="12">
        <f ca="1">_xlfn.NORM.INV(RAND(),AVERAGE(Assumptions!$D$17,Assumptions!$F$17),(Assumptions!$F$17-Assumptions!$D$17)/3.29)*8</f>
        <v>736357.45370992017</v>
      </c>
      <c r="F627" s="15">
        <f ca="1">_xlfn.NORM.INV(RAND(),AVERAGE(Assumptions!$D$7,Assumptions!$F$7),(Assumptions!$F$7-Assumptions!$D$7)/3.29)*RANDBETWEEN(1,3)</f>
        <v>4659344.737022087</v>
      </c>
      <c r="G627" s="3">
        <f ca="1">_xlfn.NORM.INV(RAND(),AVERAGE(Assumptions!$D$8,Assumptions!$F$8),(Assumptions!$F$8-Assumptions!$D$8)/3.29)*44</f>
        <v>936735.42533313681</v>
      </c>
      <c r="H627" s="6">
        <f ca="1">_xlfn.NORM.INV(RAND(),AVERAGE(Assumptions!$D$9,Assumptions!$F$9),(Assumptions!$F$9-Assumptions!$D$9)/3.29)*21</f>
        <v>4974263.0501846299</v>
      </c>
      <c r="I627" s="9">
        <f ca="1">_xlfn.NORM.INV(RAND(),AVERAGE(Assumptions!$D$10,Assumptions!$F$10),(Assumptions!$F$10-Assumptions!$D$10)/3.29)*21</f>
        <v>1225265.7286481869</v>
      </c>
      <c r="J627" s="12">
        <f ca="1">NORMINV(RAND(),AVERAGE(Assumptions!$D$11,Assumptions!$F$11),(Assumptions!$F$11-Assumptions!$D$11)/3.29)*44</f>
        <v>2398052.0492944848</v>
      </c>
      <c r="K627" s="15">
        <f ca="1">_xlfn.NORM.INV(RAND(),AVERAGE(Assumptions!$D$12,Assumptions!$F$12),(Assumptions!$F$12-Assumptions!$D$12)/3.29)*44</f>
        <v>6593845.7491183728</v>
      </c>
      <c r="L627" s="3">
        <f ca="1">_xlfn.NORM.INV(RAND(),AVERAGE(Assumptions!$D$13,Assumptions!$F$13),(Assumptions!$F$13-Assumptions!$D$13)/3.29)*44</f>
        <v>21400900.55518198</v>
      </c>
      <c r="M627" s="6">
        <f ca="1">_xlfn.NORM.INV(RAND(),AVERAGE(Assumptions!$D$14,Assumptions!$F$14),(Assumptions!$F$14-Assumptions!$D$14)/3.29)*44</f>
        <v>5535317.9007145474</v>
      </c>
      <c r="N627" s="9">
        <f ca="1">_xlfn.NORM.INV(RAND(),AVERAGE(Assumptions!$D$16,Assumptions!$F$16),(Assumptions!$F$16-Assumptions!$D$16)/3.29)*44</f>
        <v>8319698.4358979864</v>
      </c>
      <c r="O627" s="12">
        <f ca="1">_xlfn.NORM.INV(RAND(),AVERAGE(Assumptions!$D$15,Assumptions!$F$15),(Assumptions!$F$15-Assumptions!$D$15)/3.29)*44</f>
        <v>3116689.1703917701</v>
      </c>
      <c r="P627" s="15">
        <f>Assumptions!$D$18</f>
        <v>14641750.345627395</v>
      </c>
      <c r="Q627" s="3">
        <f t="shared" ca="1" si="18"/>
        <v>-59220235.830274761</v>
      </c>
      <c r="R627" s="6">
        <f t="shared" ca="1" si="19"/>
        <v>-44578485.484647363</v>
      </c>
    </row>
    <row r="628" spans="1:18">
      <c r="A628" s="20">
        <v>627</v>
      </c>
      <c r="B628" s="3">
        <f ca="1">_xlfn.NORM.INV(RAND(),AVERAGE(Assumptions!$D$4,Assumptions!$F$4),(Assumptions!$F$4-Assumptions!$D$4)/3.29)*44</f>
        <v>1132573.9733608877</v>
      </c>
      <c r="C628" s="6">
        <f ca="1">_xlfn.NORM.INV(RAND(),AVERAGE(Assumptions!$D$5,Assumptions!$F$5),(Assumptions!$F$5-Assumptions!$D$5)/3.29)*44</f>
        <v>1550340.0015577776</v>
      </c>
      <c r="D628" s="9">
        <f ca="1">_xlfn.NORM.INV(RAND(),AVERAGE(Assumptions!$D$6,Assumptions!$F$6),(Assumptions!$F$6-Assumptions!$D$6)/3.29)*RANDBETWEEN(2,5)</f>
        <v>3372148.5637028213</v>
      </c>
      <c r="E628" s="12">
        <f ca="1">_xlfn.NORM.INV(RAND(),AVERAGE(Assumptions!$D$17,Assumptions!$F$17),(Assumptions!$F$17-Assumptions!$D$17)/3.29)*8</f>
        <v>955267.62130568549</v>
      </c>
      <c r="F628" s="15">
        <f ca="1">_xlfn.NORM.INV(RAND(),AVERAGE(Assumptions!$D$7,Assumptions!$F$7),(Assumptions!$F$7-Assumptions!$D$7)/3.29)*RANDBETWEEN(1,3)</f>
        <v>10632506.171242371</v>
      </c>
      <c r="G628" s="3">
        <f ca="1">_xlfn.NORM.INV(RAND(),AVERAGE(Assumptions!$D$8,Assumptions!$F$8),(Assumptions!$F$8-Assumptions!$D$8)/3.29)*44</f>
        <v>1202737.3367396905</v>
      </c>
      <c r="H628" s="6">
        <f ca="1">_xlfn.NORM.INV(RAND(),AVERAGE(Assumptions!$D$9,Assumptions!$F$9),(Assumptions!$F$9-Assumptions!$D$9)/3.29)*21</f>
        <v>2636629.9986373144</v>
      </c>
      <c r="I628" s="9">
        <f ca="1">_xlfn.NORM.INV(RAND(),AVERAGE(Assumptions!$D$10,Assumptions!$F$10),(Assumptions!$F$10-Assumptions!$D$10)/3.29)*21</f>
        <v>932540.03486766329</v>
      </c>
      <c r="J628" s="12">
        <f ca="1">NORMINV(RAND(),AVERAGE(Assumptions!$D$11,Assumptions!$F$11),(Assumptions!$F$11-Assumptions!$D$11)/3.29)*44</f>
        <v>2562506.7796220318</v>
      </c>
      <c r="K628" s="15">
        <f ca="1">_xlfn.NORM.INV(RAND(),AVERAGE(Assumptions!$D$12,Assumptions!$F$12),(Assumptions!$F$12-Assumptions!$D$12)/3.29)*44</f>
        <v>11287686.740257353</v>
      </c>
      <c r="L628" s="3">
        <f ca="1">_xlfn.NORM.INV(RAND(),AVERAGE(Assumptions!$D$13,Assumptions!$F$13),(Assumptions!$F$13-Assumptions!$D$13)/3.29)*44</f>
        <v>3695418.6207401794</v>
      </c>
      <c r="M628" s="6">
        <f ca="1">_xlfn.NORM.INV(RAND(),AVERAGE(Assumptions!$D$14,Assumptions!$F$14),(Assumptions!$F$14-Assumptions!$D$14)/3.29)*44</f>
        <v>5534350.2383473171</v>
      </c>
      <c r="N628" s="9">
        <f ca="1">_xlfn.NORM.INV(RAND(),AVERAGE(Assumptions!$D$16,Assumptions!$F$16),(Assumptions!$F$16-Assumptions!$D$16)/3.29)*44</f>
        <v>8493966.7358849142</v>
      </c>
      <c r="O628" s="12">
        <f ca="1">_xlfn.NORM.INV(RAND(),AVERAGE(Assumptions!$D$15,Assumptions!$F$15),(Assumptions!$F$15-Assumptions!$D$15)/3.29)*44</f>
        <v>23936806.771240667</v>
      </c>
      <c r="P628" s="15">
        <f>Assumptions!$D$18</f>
        <v>14641750.345627395</v>
      </c>
      <c r="Q628" s="3">
        <f t="shared" ca="1" si="18"/>
        <v>-30051866.045025334</v>
      </c>
      <c r="R628" s="6">
        <f t="shared" ca="1" si="19"/>
        <v>-15410115.699397938</v>
      </c>
    </row>
    <row r="629" spans="1:18">
      <c r="A629" s="20">
        <v>628</v>
      </c>
      <c r="B629" s="3">
        <f ca="1">_xlfn.NORM.INV(RAND(),AVERAGE(Assumptions!$D$4,Assumptions!$F$4),(Assumptions!$F$4-Assumptions!$D$4)/3.29)*44</f>
        <v>1175210.9660917993</v>
      </c>
      <c r="C629" s="6">
        <f ca="1">_xlfn.NORM.INV(RAND(),AVERAGE(Assumptions!$D$5,Assumptions!$F$5),(Assumptions!$F$5-Assumptions!$D$5)/3.29)*44</f>
        <v>1841209.1002006212</v>
      </c>
      <c r="D629" s="9">
        <f ca="1">_xlfn.NORM.INV(RAND(),AVERAGE(Assumptions!$D$6,Assumptions!$F$6),(Assumptions!$F$6-Assumptions!$D$6)/3.29)*RANDBETWEEN(2,5)</f>
        <v>7339930.4029545253</v>
      </c>
      <c r="E629" s="12">
        <f ca="1">_xlfn.NORM.INV(RAND(),AVERAGE(Assumptions!$D$17,Assumptions!$F$17),(Assumptions!$F$17-Assumptions!$D$17)/3.29)*8</f>
        <v>957470.80324428866</v>
      </c>
      <c r="F629" s="15">
        <f ca="1">_xlfn.NORM.INV(RAND(),AVERAGE(Assumptions!$D$7,Assumptions!$F$7),(Assumptions!$F$7-Assumptions!$D$7)/3.29)*RANDBETWEEN(1,3)</f>
        <v>2673178.1333063063</v>
      </c>
      <c r="G629" s="3">
        <f ca="1">_xlfn.NORM.INV(RAND(),AVERAGE(Assumptions!$D$8,Assumptions!$F$8),(Assumptions!$F$8-Assumptions!$D$8)/3.29)*44</f>
        <v>1058652.9240636879</v>
      </c>
      <c r="H629" s="6">
        <f ca="1">_xlfn.NORM.INV(RAND(),AVERAGE(Assumptions!$D$9,Assumptions!$F$9),(Assumptions!$F$9-Assumptions!$D$9)/3.29)*21</f>
        <v>5199530.6659061816</v>
      </c>
      <c r="I629" s="9">
        <f ca="1">_xlfn.NORM.INV(RAND(),AVERAGE(Assumptions!$D$10,Assumptions!$F$10),(Assumptions!$F$10-Assumptions!$D$10)/3.29)*21</f>
        <v>905526.44876308599</v>
      </c>
      <c r="J629" s="12">
        <f ca="1">NORMINV(RAND(),AVERAGE(Assumptions!$D$11,Assumptions!$F$11),(Assumptions!$F$11-Assumptions!$D$11)/3.29)*44</f>
        <v>4442188.0730520552</v>
      </c>
      <c r="K629" s="15">
        <f ca="1">_xlfn.NORM.INV(RAND(),AVERAGE(Assumptions!$D$12,Assumptions!$F$12),(Assumptions!$F$12-Assumptions!$D$12)/3.29)*44</f>
        <v>10332813.483531615</v>
      </c>
      <c r="L629" s="3">
        <f ca="1">_xlfn.NORM.INV(RAND(),AVERAGE(Assumptions!$D$13,Assumptions!$F$13),(Assumptions!$F$13-Assumptions!$D$13)/3.29)*44</f>
        <v>9865761.0554937366</v>
      </c>
      <c r="M629" s="6">
        <f ca="1">_xlfn.NORM.INV(RAND(),AVERAGE(Assumptions!$D$14,Assumptions!$F$14),(Assumptions!$F$14-Assumptions!$D$14)/3.29)*44</f>
        <v>5731662.7008212721</v>
      </c>
      <c r="N629" s="9">
        <f ca="1">_xlfn.NORM.INV(RAND(),AVERAGE(Assumptions!$D$16,Assumptions!$F$16),(Assumptions!$F$16-Assumptions!$D$16)/3.29)*44</f>
        <v>6812044.8794510253</v>
      </c>
      <c r="O629" s="12">
        <f ca="1">_xlfn.NORM.INV(RAND(),AVERAGE(Assumptions!$D$15,Assumptions!$F$15),(Assumptions!$F$15-Assumptions!$D$15)/3.29)*44</f>
        <v>104458135.18636248</v>
      </c>
      <c r="P629" s="15">
        <f>Assumptions!$D$18</f>
        <v>14641750.345627395</v>
      </c>
      <c r="Q629" s="3">
        <f t="shared" ca="1" si="18"/>
        <v>46122955.549482279</v>
      </c>
      <c r="R629" s="6">
        <f t="shared" ca="1" si="19"/>
        <v>60764705.895109676</v>
      </c>
    </row>
    <row r="630" spans="1:18">
      <c r="A630" s="20">
        <v>629</v>
      </c>
      <c r="B630" s="3">
        <f ca="1">_xlfn.NORM.INV(RAND(),AVERAGE(Assumptions!$D$4,Assumptions!$F$4),(Assumptions!$F$4-Assumptions!$D$4)/3.29)*44</f>
        <v>1326628.0523137525</v>
      </c>
      <c r="C630" s="6">
        <f ca="1">_xlfn.NORM.INV(RAND(),AVERAGE(Assumptions!$D$5,Assumptions!$F$5),(Assumptions!$F$5-Assumptions!$D$5)/3.29)*44</f>
        <v>2129400.8545085252</v>
      </c>
      <c r="D630" s="9">
        <f ca="1">_xlfn.NORM.INV(RAND(),AVERAGE(Assumptions!$D$6,Assumptions!$F$6),(Assumptions!$F$6-Assumptions!$D$6)/3.29)*RANDBETWEEN(2,5)</f>
        <v>4258833.1893274691</v>
      </c>
      <c r="E630" s="12">
        <f ca="1">_xlfn.NORM.INV(RAND(),AVERAGE(Assumptions!$D$17,Assumptions!$F$17),(Assumptions!$F$17-Assumptions!$D$17)/3.29)*8</f>
        <v>741964.82838742365</v>
      </c>
      <c r="F630" s="15">
        <f ca="1">_xlfn.NORM.INV(RAND(),AVERAGE(Assumptions!$D$7,Assumptions!$F$7),(Assumptions!$F$7-Assumptions!$D$7)/3.29)*RANDBETWEEN(1,3)</f>
        <v>2283692.602687045</v>
      </c>
      <c r="G630" s="3">
        <f ca="1">_xlfn.NORM.INV(RAND(),AVERAGE(Assumptions!$D$8,Assumptions!$F$8),(Assumptions!$F$8-Assumptions!$D$8)/3.29)*44</f>
        <v>1295985.3411069573</v>
      </c>
      <c r="H630" s="6">
        <f ca="1">_xlfn.NORM.INV(RAND(),AVERAGE(Assumptions!$D$9,Assumptions!$F$9),(Assumptions!$F$9-Assumptions!$D$9)/3.29)*21</f>
        <v>4051450.5419468246</v>
      </c>
      <c r="I630" s="9">
        <f ca="1">_xlfn.NORM.INV(RAND(),AVERAGE(Assumptions!$D$10,Assumptions!$F$10),(Assumptions!$F$10-Assumptions!$D$10)/3.29)*21</f>
        <v>1007610.4671814244</v>
      </c>
      <c r="J630" s="12">
        <f ca="1">NORMINV(RAND(),AVERAGE(Assumptions!$D$11,Assumptions!$F$11),(Assumptions!$F$11-Assumptions!$D$11)/3.29)*44</f>
        <v>4910676.0492595201</v>
      </c>
      <c r="K630" s="15">
        <f ca="1">_xlfn.NORM.INV(RAND(),AVERAGE(Assumptions!$D$12,Assumptions!$F$12),(Assumptions!$F$12-Assumptions!$D$12)/3.29)*44</f>
        <v>8096733.3227697527</v>
      </c>
      <c r="L630" s="3">
        <f ca="1">_xlfn.NORM.INV(RAND(),AVERAGE(Assumptions!$D$13,Assumptions!$F$13),(Assumptions!$F$13-Assumptions!$D$13)/3.29)*44</f>
        <v>19479470.547664028</v>
      </c>
      <c r="M630" s="6">
        <f ca="1">_xlfn.NORM.INV(RAND(),AVERAGE(Assumptions!$D$14,Assumptions!$F$14),(Assumptions!$F$14-Assumptions!$D$14)/3.29)*44</f>
        <v>7217219.9957752591</v>
      </c>
      <c r="N630" s="9">
        <f ca="1">_xlfn.NORM.INV(RAND(),AVERAGE(Assumptions!$D$16,Assumptions!$F$16),(Assumptions!$F$16-Assumptions!$D$16)/3.29)*44</f>
        <v>12507145.479971148</v>
      </c>
      <c r="O630" s="12">
        <f ca="1">_xlfn.NORM.INV(RAND(),AVERAGE(Assumptions!$D$15,Assumptions!$F$15),(Assumptions!$F$15-Assumptions!$D$15)/3.29)*44</f>
        <v>92528380.184637696</v>
      </c>
      <c r="P630" s="15">
        <f>Assumptions!$D$18</f>
        <v>14641750.345627395</v>
      </c>
      <c r="Q630" s="3">
        <f t="shared" ca="1" si="18"/>
        <v>23221568.91173856</v>
      </c>
      <c r="R630" s="6">
        <f t="shared" ca="1" si="19"/>
        <v>37863319.257365957</v>
      </c>
    </row>
    <row r="631" spans="1:18">
      <c r="A631" s="20">
        <v>630</v>
      </c>
      <c r="B631" s="3">
        <f ca="1">_xlfn.NORM.INV(RAND(),AVERAGE(Assumptions!$D$4,Assumptions!$F$4),(Assumptions!$F$4-Assumptions!$D$4)/3.29)*44</f>
        <v>1232196.4782013316</v>
      </c>
      <c r="C631" s="6">
        <f ca="1">_xlfn.NORM.INV(RAND(),AVERAGE(Assumptions!$D$5,Assumptions!$F$5),(Assumptions!$F$5-Assumptions!$D$5)/3.29)*44</f>
        <v>1940807.2922395079</v>
      </c>
      <c r="D631" s="9">
        <f ca="1">_xlfn.NORM.INV(RAND(),AVERAGE(Assumptions!$D$6,Assumptions!$F$6),(Assumptions!$F$6-Assumptions!$D$6)/3.29)*RANDBETWEEN(2,5)</f>
        <v>3280180.2143333489</v>
      </c>
      <c r="E631" s="12">
        <f ca="1">_xlfn.NORM.INV(RAND(),AVERAGE(Assumptions!$D$17,Assumptions!$F$17),(Assumptions!$F$17-Assumptions!$D$17)/3.29)*8</f>
        <v>1057505.8658413026</v>
      </c>
      <c r="F631" s="15">
        <f ca="1">_xlfn.NORM.INV(RAND(),AVERAGE(Assumptions!$D$7,Assumptions!$F$7),(Assumptions!$F$7-Assumptions!$D$7)/3.29)*RANDBETWEEN(1,3)</f>
        <v>4245838.9754611384</v>
      </c>
      <c r="G631" s="3">
        <f ca="1">_xlfn.NORM.INV(RAND(),AVERAGE(Assumptions!$D$8,Assumptions!$F$8),(Assumptions!$F$8-Assumptions!$D$8)/3.29)*44</f>
        <v>1310465.6315630528</v>
      </c>
      <c r="H631" s="6">
        <f ca="1">_xlfn.NORM.INV(RAND(),AVERAGE(Assumptions!$D$9,Assumptions!$F$9),(Assumptions!$F$9-Assumptions!$D$9)/3.29)*21</f>
        <v>5733160.360479827</v>
      </c>
      <c r="I631" s="9">
        <f ca="1">_xlfn.NORM.INV(RAND(),AVERAGE(Assumptions!$D$10,Assumptions!$F$10),(Assumptions!$F$10-Assumptions!$D$10)/3.29)*21</f>
        <v>1105496.6911981041</v>
      </c>
      <c r="J631" s="12">
        <f ca="1">NORMINV(RAND(),AVERAGE(Assumptions!$D$11,Assumptions!$F$11),(Assumptions!$F$11-Assumptions!$D$11)/3.29)*44</f>
        <v>4554942.4523803964</v>
      </c>
      <c r="K631" s="15">
        <f ca="1">_xlfn.NORM.INV(RAND(),AVERAGE(Assumptions!$D$12,Assumptions!$F$12),(Assumptions!$F$12-Assumptions!$D$12)/3.29)*44</f>
        <v>11926909.54531702</v>
      </c>
      <c r="L631" s="3">
        <f ca="1">_xlfn.NORM.INV(RAND(),AVERAGE(Assumptions!$D$13,Assumptions!$F$13),(Assumptions!$F$13-Assumptions!$D$13)/3.29)*44</f>
        <v>16118660.013210062</v>
      </c>
      <c r="M631" s="6">
        <f ca="1">_xlfn.NORM.INV(RAND(),AVERAGE(Assumptions!$D$14,Assumptions!$F$14),(Assumptions!$F$14-Assumptions!$D$14)/3.29)*44</f>
        <v>4536799.332487789</v>
      </c>
      <c r="N631" s="9">
        <f ca="1">_xlfn.NORM.INV(RAND(),AVERAGE(Assumptions!$D$16,Assumptions!$F$16),(Assumptions!$F$16-Assumptions!$D$16)/3.29)*44</f>
        <v>15249794.311406115</v>
      </c>
      <c r="O631" s="12">
        <f ca="1">_xlfn.NORM.INV(RAND(),AVERAGE(Assumptions!$D$15,Assumptions!$F$15),(Assumptions!$F$15-Assumptions!$D$15)/3.29)*44</f>
        <v>139945203.32476893</v>
      </c>
      <c r="P631" s="15">
        <f>Assumptions!$D$18</f>
        <v>14641750.345627395</v>
      </c>
      <c r="Q631" s="3">
        <f t="shared" ca="1" si="18"/>
        <v>67652446.160649925</v>
      </c>
      <c r="R631" s="6">
        <f t="shared" ca="1" si="19"/>
        <v>82294196.506277323</v>
      </c>
    </row>
    <row r="632" spans="1:18">
      <c r="A632" s="20">
        <v>631</v>
      </c>
      <c r="B632" s="3">
        <f ca="1">_xlfn.NORM.INV(RAND(),AVERAGE(Assumptions!$D$4,Assumptions!$F$4),(Assumptions!$F$4-Assumptions!$D$4)/3.29)*44</f>
        <v>1112534.5607697368</v>
      </c>
      <c r="C632" s="6">
        <f ca="1">_xlfn.NORM.INV(RAND(),AVERAGE(Assumptions!$D$5,Assumptions!$F$5),(Assumptions!$F$5-Assumptions!$D$5)/3.29)*44</f>
        <v>1753517.7856945917</v>
      </c>
      <c r="D632" s="9">
        <f ca="1">_xlfn.NORM.INV(RAND(),AVERAGE(Assumptions!$D$6,Assumptions!$F$6),(Assumptions!$F$6-Assumptions!$D$6)/3.29)*RANDBETWEEN(2,5)</f>
        <v>6306430.6140742153</v>
      </c>
      <c r="E632" s="12">
        <f ca="1">_xlfn.NORM.INV(RAND(),AVERAGE(Assumptions!$D$17,Assumptions!$F$17),(Assumptions!$F$17-Assumptions!$D$17)/3.29)*8</f>
        <v>1041051.9746118942</v>
      </c>
      <c r="F632" s="15">
        <f ca="1">_xlfn.NORM.INV(RAND(),AVERAGE(Assumptions!$D$7,Assumptions!$F$7),(Assumptions!$F$7-Assumptions!$D$7)/3.29)*RANDBETWEEN(1,3)</f>
        <v>4200061.3292846875</v>
      </c>
      <c r="G632" s="3">
        <f ca="1">_xlfn.NORM.INV(RAND(),AVERAGE(Assumptions!$D$8,Assumptions!$F$8),(Assumptions!$F$8-Assumptions!$D$8)/3.29)*44</f>
        <v>824908.99319626659</v>
      </c>
      <c r="H632" s="6">
        <f ca="1">_xlfn.NORM.INV(RAND(),AVERAGE(Assumptions!$D$9,Assumptions!$F$9),(Assumptions!$F$9-Assumptions!$D$9)/3.29)*21</f>
        <v>5780961.440621363</v>
      </c>
      <c r="I632" s="9">
        <f ca="1">_xlfn.NORM.INV(RAND(),AVERAGE(Assumptions!$D$10,Assumptions!$F$10),(Assumptions!$F$10-Assumptions!$D$10)/3.29)*21</f>
        <v>713340.27117830701</v>
      </c>
      <c r="J632" s="12">
        <f ca="1">NORMINV(RAND(),AVERAGE(Assumptions!$D$11,Assumptions!$F$11),(Assumptions!$F$11-Assumptions!$D$11)/3.29)*44</f>
        <v>3785682.0883493321</v>
      </c>
      <c r="K632" s="15">
        <f ca="1">_xlfn.NORM.INV(RAND(),AVERAGE(Assumptions!$D$12,Assumptions!$F$12),(Assumptions!$F$12-Assumptions!$D$12)/3.29)*44</f>
        <v>10484482.321116732</v>
      </c>
      <c r="L632" s="3">
        <f ca="1">_xlfn.NORM.INV(RAND(),AVERAGE(Assumptions!$D$13,Assumptions!$F$13),(Assumptions!$F$13-Assumptions!$D$13)/3.29)*44</f>
        <v>8234264.047213817</v>
      </c>
      <c r="M632" s="6">
        <f ca="1">_xlfn.NORM.INV(RAND(),AVERAGE(Assumptions!$D$14,Assumptions!$F$14),(Assumptions!$F$14-Assumptions!$D$14)/3.29)*44</f>
        <v>8337904.7316451082</v>
      </c>
      <c r="N632" s="9">
        <f ca="1">_xlfn.NORM.INV(RAND(),AVERAGE(Assumptions!$D$16,Assumptions!$F$16),(Assumptions!$F$16-Assumptions!$D$16)/3.29)*44</f>
        <v>9517582.6899929922</v>
      </c>
      <c r="O632" s="12">
        <f ca="1">_xlfn.NORM.INV(RAND(),AVERAGE(Assumptions!$D$15,Assumptions!$F$15),(Assumptions!$F$15-Assumptions!$D$15)/3.29)*44</f>
        <v>156129219.01685673</v>
      </c>
      <c r="P632" s="15">
        <f>Assumptions!$D$18</f>
        <v>14641750.345627395</v>
      </c>
      <c r="Q632" s="3">
        <f t="shared" ca="1" si="18"/>
        <v>94036496.16910769</v>
      </c>
      <c r="R632" s="6">
        <f t="shared" ca="1" si="19"/>
        <v>108678246.51473509</v>
      </c>
    </row>
    <row r="633" spans="1:18">
      <c r="A633" s="20">
        <v>632</v>
      </c>
      <c r="B633" s="3">
        <f ca="1">_xlfn.NORM.INV(RAND(),AVERAGE(Assumptions!$D$4,Assumptions!$F$4),(Assumptions!$F$4-Assumptions!$D$4)/3.29)*44</f>
        <v>1281200.2433141002</v>
      </c>
      <c r="C633" s="6">
        <f ca="1">_xlfn.NORM.INV(RAND(),AVERAGE(Assumptions!$D$5,Assumptions!$F$5),(Assumptions!$F$5-Assumptions!$D$5)/3.29)*44</f>
        <v>1926937.9563222125</v>
      </c>
      <c r="D633" s="9">
        <f ca="1">_xlfn.NORM.INV(RAND(),AVERAGE(Assumptions!$D$6,Assumptions!$F$6),(Assumptions!$F$6-Assumptions!$D$6)/3.29)*RANDBETWEEN(2,5)</f>
        <v>3314263.9129959466</v>
      </c>
      <c r="E633" s="12">
        <f ca="1">_xlfn.NORM.INV(RAND(),AVERAGE(Assumptions!$D$17,Assumptions!$F$17),(Assumptions!$F$17-Assumptions!$D$17)/3.29)*8</f>
        <v>1062384.9166342162</v>
      </c>
      <c r="F633" s="15">
        <f ca="1">_xlfn.NORM.INV(RAND(),AVERAGE(Assumptions!$D$7,Assumptions!$F$7),(Assumptions!$F$7-Assumptions!$D$7)/3.29)*RANDBETWEEN(1,3)</f>
        <v>4207641.7396464273</v>
      </c>
      <c r="G633" s="3">
        <f ca="1">_xlfn.NORM.INV(RAND(),AVERAGE(Assumptions!$D$8,Assumptions!$F$8),(Assumptions!$F$8-Assumptions!$D$8)/3.29)*44</f>
        <v>1405838.1706454291</v>
      </c>
      <c r="H633" s="6">
        <f ca="1">_xlfn.NORM.INV(RAND(),AVERAGE(Assumptions!$D$9,Assumptions!$F$9),(Assumptions!$F$9-Assumptions!$D$9)/3.29)*21</f>
        <v>4745451.2007697951</v>
      </c>
      <c r="I633" s="9">
        <f ca="1">_xlfn.NORM.INV(RAND(),AVERAGE(Assumptions!$D$10,Assumptions!$F$10),(Assumptions!$F$10-Assumptions!$D$10)/3.29)*21</f>
        <v>894751.23289027996</v>
      </c>
      <c r="J633" s="12">
        <f ca="1">NORMINV(RAND(),AVERAGE(Assumptions!$D$11,Assumptions!$F$11),(Assumptions!$F$11-Assumptions!$D$11)/3.29)*44</f>
        <v>3992449.9161351733</v>
      </c>
      <c r="K633" s="15">
        <f ca="1">_xlfn.NORM.INV(RAND(),AVERAGE(Assumptions!$D$12,Assumptions!$F$12),(Assumptions!$F$12-Assumptions!$D$12)/3.29)*44</f>
        <v>8475667.3737887256</v>
      </c>
      <c r="L633" s="3">
        <f ca="1">_xlfn.NORM.INV(RAND(),AVERAGE(Assumptions!$D$13,Assumptions!$F$13),(Assumptions!$F$13-Assumptions!$D$13)/3.29)*44</f>
        <v>15482993.651531843</v>
      </c>
      <c r="M633" s="6">
        <f ca="1">_xlfn.NORM.INV(RAND(),AVERAGE(Assumptions!$D$14,Assumptions!$F$14),(Assumptions!$F$14-Assumptions!$D$14)/3.29)*44</f>
        <v>4048010.2123725172</v>
      </c>
      <c r="N633" s="9">
        <f ca="1">_xlfn.NORM.INV(RAND(),AVERAGE(Assumptions!$D$16,Assumptions!$F$16),(Assumptions!$F$16-Assumptions!$D$16)/3.29)*44</f>
        <v>5844189.8831055984</v>
      </c>
      <c r="O633" s="12">
        <f ca="1">_xlfn.NORM.INV(RAND(),AVERAGE(Assumptions!$D$15,Assumptions!$F$15),(Assumptions!$F$15-Assumptions!$D$15)/3.29)*44</f>
        <v>199779455.0203917</v>
      </c>
      <c r="P633" s="15">
        <f>Assumptions!$D$18</f>
        <v>14641750.345627395</v>
      </c>
      <c r="Q633" s="3">
        <f t="shared" ca="1" si="18"/>
        <v>143097674.61023945</v>
      </c>
      <c r="R633" s="6">
        <f t="shared" ca="1" si="19"/>
        <v>157739424.95586684</v>
      </c>
    </row>
    <row r="634" spans="1:18">
      <c r="A634" s="20">
        <v>633</v>
      </c>
      <c r="B634" s="3">
        <f ca="1">_xlfn.NORM.INV(RAND(),AVERAGE(Assumptions!$D$4,Assumptions!$F$4),(Assumptions!$F$4-Assumptions!$D$4)/3.29)*44</f>
        <v>1192649.7521508215</v>
      </c>
      <c r="C634" s="6">
        <f ca="1">_xlfn.NORM.INV(RAND(),AVERAGE(Assumptions!$D$5,Assumptions!$F$5),(Assumptions!$F$5-Assumptions!$D$5)/3.29)*44</f>
        <v>2072728.7164930962</v>
      </c>
      <c r="D634" s="9">
        <f ca="1">_xlfn.NORM.INV(RAND(),AVERAGE(Assumptions!$D$6,Assumptions!$F$6),(Assumptions!$F$6-Assumptions!$D$6)/3.29)*RANDBETWEEN(2,5)</f>
        <v>573606.78960821894</v>
      </c>
      <c r="E634" s="12">
        <f ca="1">_xlfn.NORM.INV(RAND(),AVERAGE(Assumptions!$D$17,Assumptions!$F$17),(Assumptions!$F$17-Assumptions!$D$17)/3.29)*8</f>
        <v>1040627.9106850959</v>
      </c>
      <c r="F634" s="15">
        <f ca="1">_xlfn.NORM.INV(RAND(),AVERAGE(Assumptions!$D$7,Assumptions!$F$7),(Assumptions!$F$7-Assumptions!$D$7)/3.29)*RANDBETWEEN(1,3)</f>
        <v>5577601.4476685207</v>
      </c>
      <c r="G634" s="3">
        <f ca="1">_xlfn.NORM.INV(RAND(),AVERAGE(Assumptions!$D$8,Assumptions!$F$8),(Assumptions!$F$8-Assumptions!$D$8)/3.29)*44</f>
        <v>1536941.8693917096</v>
      </c>
      <c r="H634" s="6">
        <f ca="1">_xlfn.NORM.INV(RAND(),AVERAGE(Assumptions!$D$9,Assumptions!$F$9),(Assumptions!$F$9-Assumptions!$D$9)/3.29)*21</f>
        <v>5115490.2379741892</v>
      </c>
      <c r="I634" s="9">
        <f ca="1">_xlfn.NORM.INV(RAND(),AVERAGE(Assumptions!$D$10,Assumptions!$F$10),(Assumptions!$F$10-Assumptions!$D$10)/3.29)*21</f>
        <v>588130.87311484083</v>
      </c>
      <c r="J634" s="12">
        <f ca="1">NORMINV(RAND(),AVERAGE(Assumptions!$D$11,Assumptions!$F$11),(Assumptions!$F$11-Assumptions!$D$11)/3.29)*44</f>
        <v>4926768.2695296379</v>
      </c>
      <c r="K634" s="15">
        <f ca="1">_xlfn.NORM.INV(RAND(),AVERAGE(Assumptions!$D$12,Assumptions!$F$12),(Assumptions!$F$12-Assumptions!$D$12)/3.29)*44</f>
        <v>8294343.6184799159</v>
      </c>
      <c r="L634" s="3">
        <f ca="1">_xlfn.NORM.INV(RAND(),AVERAGE(Assumptions!$D$13,Assumptions!$F$13),(Assumptions!$F$13-Assumptions!$D$13)/3.29)*44</f>
        <v>13418824.611787081</v>
      </c>
      <c r="M634" s="6">
        <f ca="1">_xlfn.NORM.INV(RAND(),AVERAGE(Assumptions!$D$14,Assumptions!$F$14),(Assumptions!$F$14-Assumptions!$D$14)/3.29)*44</f>
        <v>7596350.7230269024</v>
      </c>
      <c r="N634" s="9">
        <f ca="1">_xlfn.NORM.INV(RAND(),AVERAGE(Assumptions!$D$16,Assumptions!$F$16),(Assumptions!$F$16-Assumptions!$D$16)/3.29)*44</f>
        <v>10507305.703009518</v>
      </c>
      <c r="O634" s="12">
        <f ca="1">_xlfn.NORM.INV(RAND(),AVERAGE(Assumptions!$D$15,Assumptions!$F$15),(Assumptions!$F$15-Assumptions!$D$15)/3.29)*44</f>
        <v>-38348413.012649104</v>
      </c>
      <c r="P634" s="15">
        <f>Assumptions!$D$18</f>
        <v>14641750.345627395</v>
      </c>
      <c r="Q634" s="3">
        <f t="shared" ca="1" si="18"/>
        <v>-100789783.53556864</v>
      </c>
      <c r="R634" s="6">
        <f t="shared" ca="1" si="19"/>
        <v>-86148033.189941242</v>
      </c>
    </row>
    <row r="635" spans="1:18">
      <c r="A635" s="20">
        <v>634</v>
      </c>
      <c r="B635" s="3">
        <f ca="1">_xlfn.NORM.INV(RAND(),AVERAGE(Assumptions!$D$4,Assumptions!$F$4),(Assumptions!$F$4-Assumptions!$D$4)/3.29)*44</f>
        <v>1154516.2236099439</v>
      </c>
      <c r="C635" s="6">
        <f ca="1">_xlfn.NORM.INV(RAND(),AVERAGE(Assumptions!$D$5,Assumptions!$F$5),(Assumptions!$F$5-Assumptions!$D$5)/3.29)*44</f>
        <v>1760412.3180812076</v>
      </c>
      <c r="D635" s="9">
        <f ca="1">_xlfn.NORM.INV(RAND(),AVERAGE(Assumptions!$D$6,Assumptions!$F$6),(Assumptions!$F$6-Assumptions!$D$6)/3.29)*RANDBETWEEN(2,5)</f>
        <v>1246186.7919675084</v>
      </c>
      <c r="E635" s="12">
        <f ca="1">_xlfn.NORM.INV(RAND(),AVERAGE(Assumptions!$D$17,Assumptions!$F$17),(Assumptions!$F$17-Assumptions!$D$17)/3.29)*8</f>
        <v>954737.97477699223</v>
      </c>
      <c r="F635" s="15">
        <f ca="1">_xlfn.NORM.INV(RAND(),AVERAGE(Assumptions!$D$7,Assumptions!$F$7),(Assumptions!$F$7-Assumptions!$D$7)/3.29)*RANDBETWEEN(1,3)</f>
        <v>7980715.2267211992</v>
      </c>
      <c r="G635" s="3">
        <f ca="1">_xlfn.NORM.INV(RAND(),AVERAGE(Assumptions!$D$8,Assumptions!$F$8),(Assumptions!$F$8-Assumptions!$D$8)/3.29)*44</f>
        <v>783122.32124218752</v>
      </c>
      <c r="H635" s="6">
        <f ca="1">_xlfn.NORM.INV(RAND(),AVERAGE(Assumptions!$D$9,Assumptions!$F$9),(Assumptions!$F$9-Assumptions!$D$9)/3.29)*21</f>
        <v>3481852.2038371479</v>
      </c>
      <c r="I635" s="9">
        <f ca="1">_xlfn.NORM.INV(RAND(),AVERAGE(Assumptions!$D$10,Assumptions!$F$10),(Assumptions!$F$10-Assumptions!$D$10)/3.29)*21</f>
        <v>1251696.7667618839</v>
      </c>
      <c r="J635" s="12">
        <f ca="1">NORMINV(RAND(),AVERAGE(Assumptions!$D$11,Assumptions!$F$11),(Assumptions!$F$11-Assumptions!$D$11)/3.29)*44</f>
        <v>2069467.4414404624</v>
      </c>
      <c r="K635" s="15">
        <f ca="1">_xlfn.NORM.INV(RAND(),AVERAGE(Assumptions!$D$12,Assumptions!$F$12),(Assumptions!$F$12-Assumptions!$D$12)/3.29)*44</f>
        <v>6058776.0183559582</v>
      </c>
      <c r="L635" s="3">
        <f ca="1">_xlfn.NORM.INV(RAND(),AVERAGE(Assumptions!$D$13,Assumptions!$F$13),(Assumptions!$F$13-Assumptions!$D$13)/3.29)*44</f>
        <v>8713904.5709397569</v>
      </c>
      <c r="M635" s="6">
        <f ca="1">_xlfn.NORM.INV(RAND(),AVERAGE(Assumptions!$D$14,Assumptions!$F$14),(Assumptions!$F$14-Assumptions!$D$14)/3.29)*44</f>
        <v>6804713.3865337353</v>
      </c>
      <c r="N635" s="9">
        <f ca="1">_xlfn.NORM.INV(RAND(),AVERAGE(Assumptions!$D$16,Assumptions!$F$16),(Assumptions!$F$16-Assumptions!$D$16)/3.29)*44</f>
        <v>16391353.455797745</v>
      </c>
      <c r="O635" s="12">
        <f ca="1">_xlfn.NORM.INV(RAND(),AVERAGE(Assumptions!$D$15,Assumptions!$F$15),(Assumptions!$F$15-Assumptions!$D$15)/3.29)*44</f>
        <v>169013340.41257539</v>
      </c>
      <c r="P635" s="15">
        <f>Assumptions!$D$18</f>
        <v>14641750.345627395</v>
      </c>
      <c r="Q635" s="3">
        <f t="shared" ca="1" si="18"/>
        <v>110361885.71250966</v>
      </c>
      <c r="R635" s="6">
        <f t="shared" ca="1" si="19"/>
        <v>125003636.05813706</v>
      </c>
    </row>
    <row r="636" spans="1:18">
      <c r="A636" s="20">
        <v>635</v>
      </c>
      <c r="B636" s="3">
        <f ca="1">_xlfn.NORM.INV(RAND(),AVERAGE(Assumptions!$D$4,Assumptions!$F$4),(Assumptions!$F$4-Assumptions!$D$4)/3.29)*44</f>
        <v>1255268.4406979363</v>
      </c>
      <c r="C636" s="6">
        <f ca="1">_xlfn.NORM.INV(RAND(),AVERAGE(Assumptions!$D$5,Assumptions!$F$5),(Assumptions!$F$5-Assumptions!$D$5)/3.29)*44</f>
        <v>1696261.8307671796</v>
      </c>
      <c r="D636" s="9">
        <f ca="1">_xlfn.NORM.INV(RAND(),AVERAGE(Assumptions!$D$6,Assumptions!$F$6),(Assumptions!$F$6-Assumptions!$D$6)/3.29)*RANDBETWEEN(2,5)</f>
        <v>6328844.8960200939</v>
      </c>
      <c r="E636" s="12">
        <f ca="1">_xlfn.NORM.INV(RAND(),AVERAGE(Assumptions!$D$17,Assumptions!$F$17),(Assumptions!$F$17-Assumptions!$D$17)/3.29)*8</f>
        <v>971327.44448473305</v>
      </c>
      <c r="F636" s="15">
        <f ca="1">_xlfn.NORM.INV(RAND(),AVERAGE(Assumptions!$D$7,Assumptions!$F$7),(Assumptions!$F$7-Assumptions!$D$7)/3.29)*RANDBETWEEN(1,3)</f>
        <v>7029139.5887017334</v>
      </c>
      <c r="G636" s="3">
        <f ca="1">_xlfn.NORM.INV(RAND(),AVERAGE(Assumptions!$D$8,Assumptions!$F$8),(Assumptions!$F$8-Assumptions!$D$8)/3.29)*44</f>
        <v>1138796.1316835368</v>
      </c>
      <c r="H636" s="6">
        <f ca="1">_xlfn.NORM.INV(RAND(),AVERAGE(Assumptions!$D$9,Assumptions!$F$9),(Assumptions!$F$9-Assumptions!$D$9)/3.29)*21</f>
        <v>4637504.1317222575</v>
      </c>
      <c r="I636" s="9">
        <f ca="1">_xlfn.NORM.INV(RAND(),AVERAGE(Assumptions!$D$10,Assumptions!$F$10),(Assumptions!$F$10-Assumptions!$D$10)/3.29)*21</f>
        <v>842724.85410303227</v>
      </c>
      <c r="J636" s="12">
        <f ca="1">NORMINV(RAND(),AVERAGE(Assumptions!$D$11,Assumptions!$F$11),(Assumptions!$F$11-Assumptions!$D$11)/3.29)*44</f>
        <v>1975275.8370479036</v>
      </c>
      <c r="K636" s="15">
        <f ca="1">_xlfn.NORM.INV(RAND(),AVERAGE(Assumptions!$D$12,Assumptions!$F$12),(Assumptions!$F$12-Assumptions!$D$12)/3.29)*44</f>
        <v>9787326.1547206324</v>
      </c>
      <c r="L636" s="3">
        <f ca="1">_xlfn.NORM.INV(RAND(),AVERAGE(Assumptions!$D$13,Assumptions!$F$13),(Assumptions!$F$13-Assumptions!$D$13)/3.29)*44</f>
        <v>19476189.885337964</v>
      </c>
      <c r="M636" s="6">
        <f ca="1">_xlfn.NORM.INV(RAND(),AVERAGE(Assumptions!$D$14,Assumptions!$F$14),(Assumptions!$F$14-Assumptions!$D$14)/3.29)*44</f>
        <v>7090425.2014554599</v>
      </c>
      <c r="N636" s="9">
        <f ca="1">_xlfn.NORM.INV(RAND(),AVERAGE(Assumptions!$D$16,Assumptions!$F$16),(Assumptions!$F$16-Assumptions!$D$16)/3.29)*44</f>
        <v>6259525.4558404796</v>
      </c>
      <c r="O636" s="12">
        <f ca="1">_xlfn.NORM.INV(RAND(),AVERAGE(Assumptions!$D$15,Assumptions!$F$15),(Assumptions!$F$15-Assumptions!$D$15)/3.29)*44</f>
        <v>74079553.237715304</v>
      </c>
      <c r="P636" s="15">
        <f>Assumptions!$D$18</f>
        <v>14641750.345627395</v>
      </c>
      <c r="Q636" s="3">
        <f t="shared" ca="1" si="18"/>
        <v>5590943.3851323724</v>
      </c>
      <c r="R636" s="6">
        <f t="shared" ca="1" si="19"/>
        <v>20232693.73075977</v>
      </c>
    </row>
    <row r="637" spans="1:18">
      <c r="A637" s="20">
        <v>636</v>
      </c>
      <c r="B637" s="3">
        <f ca="1">_xlfn.NORM.INV(RAND(),AVERAGE(Assumptions!$D$4,Assumptions!$F$4),(Assumptions!$F$4-Assumptions!$D$4)/3.29)*44</f>
        <v>1158684.4828831332</v>
      </c>
      <c r="C637" s="6">
        <f ca="1">_xlfn.NORM.INV(RAND(),AVERAGE(Assumptions!$D$5,Assumptions!$F$5),(Assumptions!$F$5-Assumptions!$D$5)/3.29)*44</f>
        <v>1416874.3385316622</v>
      </c>
      <c r="D637" s="9">
        <f ca="1">_xlfn.NORM.INV(RAND(),AVERAGE(Assumptions!$D$6,Assumptions!$F$6),(Assumptions!$F$6-Assumptions!$D$6)/3.29)*RANDBETWEEN(2,5)</f>
        <v>3837843.7770115254</v>
      </c>
      <c r="E637" s="12">
        <f ca="1">_xlfn.NORM.INV(RAND(),AVERAGE(Assumptions!$D$17,Assumptions!$F$17),(Assumptions!$F$17-Assumptions!$D$17)/3.29)*8</f>
        <v>1006695.1908031413</v>
      </c>
      <c r="F637" s="15">
        <f ca="1">_xlfn.NORM.INV(RAND(),AVERAGE(Assumptions!$D$7,Assumptions!$F$7),(Assumptions!$F$7-Assumptions!$D$7)/3.29)*RANDBETWEEN(1,3)</f>
        <v>9416246.611022342</v>
      </c>
      <c r="G637" s="3">
        <f ca="1">_xlfn.NORM.INV(RAND(),AVERAGE(Assumptions!$D$8,Assumptions!$F$8),(Assumptions!$F$8-Assumptions!$D$8)/3.29)*44</f>
        <v>1327994.5768994417</v>
      </c>
      <c r="H637" s="6">
        <f ca="1">_xlfn.NORM.INV(RAND(),AVERAGE(Assumptions!$D$9,Assumptions!$F$9),(Assumptions!$F$9-Assumptions!$D$9)/3.29)*21</f>
        <v>2124327.8480533124</v>
      </c>
      <c r="I637" s="9">
        <f ca="1">_xlfn.NORM.INV(RAND(),AVERAGE(Assumptions!$D$10,Assumptions!$F$10),(Assumptions!$F$10-Assumptions!$D$10)/3.29)*21</f>
        <v>788539.1461197068</v>
      </c>
      <c r="J637" s="12">
        <f ca="1">NORMINV(RAND(),AVERAGE(Assumptions!$D$11,Assumptions!$F$11),(Assumptions!$F$11-Assumptions!$D$11)/3.29)*44</f>
        <v>4026426.521044401</v>
      </c>
      <c r="K637" s="15">
        <f ca="1">_xlfn.NORM.INV(RAND(),AVERAGE(Assumptions!$D$12,Assumptions!$F$12),(Assumptions!$F$12-Assumptions!$D$12)/3.29)*44</f>
        <v>8975566.9818090349</v>
      </c>
      <c r="L637" s="3">
        <f ca="1">_xlfn.NORM.INV(RAND(),AVERAGE(Assumptions!$D$13,Assumptions!$F$13),(Assumptions!$F$13-Assumptions!$D$13)/3.29)*44</f>
        <v>8775439.4684004784</v>
      </c>
      <c r="M637" s="6">
        <f ca="1">_xlfn.NORM.INV(RAND(),AVERAGE(Assumptions!$D$14,Assumptions!$F$14),(Assumptions!$F$14-Assumptions!$D$14)/3.29)*44</f>
        <v>7567849.1785181491</v>
      </c>
      <c r="N637" s="9">
        <f ca="1">_xlfn.NORM.INV(RAND(),AVERAGE(Assumptions!$D$16,Assumptions!$F$16),(Assumptions!$F$16-Assumptions!$D$16)/3.29)*44</f>
        <v>10153345.84688941</v>
      </c>
      <c r="O637" s="12">
        <f ca="1">_xlfn.NORM.INV(RAND(),AVERAGE(Assumptions!$D$15,Assumptions!$F$15),(Assumptions!$F$15-Assumptions!$D$15)/3.29)*44</f>
        <v>100185893.14125976</v>
      </c>
      <c r="P637" s="15">
        <f>Assumptions!$D$18</f>
        <v>14641750.345627395</v>
      </c>
      <c r="Q637" s="3">
        <f t="shared" ca="1" si="18"/>
        <v>39610059.173274025</v>
      </c>
      <c r="R637" s="6">
        <f t="shared" ca="1" si="19"/>
        <v>54251809.518901423</v>
      </c>
    </row>
    <row r="638" spans="1:18">
      <c r="A638" s="20">
        <v>637</v>
      </c>
      <c r="B638" s="3">
        <f ca="1">_xlfn.NORM.INV(RAND(),AVERAGE(Assumptions!$D$4,Assumptions!$F$4),(Assumptions!$F$4-Assumptions!$D$4)/3.29)*44</f>
        <v>1218841.2226991788</v>
      </c>
      <c r="C638" s="6">
        <f ca="1">_xlfn.NORM.INV(RAND(),AVERAGE(Assumptions!$D$5,Assumptions!$F$5),(Assumptions!$F$5-Assumptions!$D$5)/3.29)*44</f>
        <v>1899723.539688061</v>
      </c>
      <c r="D638" s="9">
        <f ca="1">_xlfn.NORM.INV(RAND(),AVERAGE(Assumptions!$D$6,Assumptions!$F$6),(Assumptions!$F$6-Assumptions!$D$6)/3.29)*RANDBETWEEN(2,5)</f>
        <v>4356076.157307446</v>
      </c>
      <c r="E638" s="12">
        <f ca="1">_xlfn.NORM.INV(RAND(),AVERAGE(Assumptions!$D$17,Assumptions!$F$17),(Assumptions!$F$17-Assumptions!$D$17)/3.29)*8</f>
        <v>849963.64100323454</v>
      </c>
      <c r="F638" s="15">
        <f ca="1">_xlfn.NORM.INV(RAND(),AVERAGE(Assumptions!$D$7,Assumptions!$F$7),(Assumptions!$F$7-Assumptions!$D$7)/3.29)*RANDBETWEEN(1,3)</f>
        <v>3097420.7901093829</v>
      </c>
      <c r="G638" s="3">
        <f ca="1">_xlfn.NORM.INV(RAND(),AVERAGE(Assumptions!$D$8,Assumptions!$F$8),(Assumptions!$F$8-Assumptions!$D$8)/3.29)*44</f>
        <v>1138020.1952104645</v>
      </c>
      <c r="H638" s="6">
        <f ca="1">_xlfn.NORM.INV(RAND(),AVERAGE(Assumptions!$D$9,Assumptions!$F$9),(Assumptions!$F$9-Assumptions!$D$9)/3.29)*21</f>
        <v>4449556.7096816711</v>
      </c>
      <c r="I638" s="9">
        <f ca="1">_xlfn.NORM.INV(RAND(),AVERAGE(Assumptions!$D$10,Assumptions!$F$10),(Assumptions!$F$10-Assumptions!$D$10)/3.29)*21</f>
        <v>1070948.9369459681</v>
      </c>
      <c r="J638" s="12">
        <f ca="1">NORMINV(RAND(),AVERAGE(Assumptions!$D$11,Assumptions!$F$11),(Assumptions!$F$11-Assumptions!$D$11)/3.29)*44</f>
        <v>3261684.8568485575</v>
      </c>
      <c r="K638" s="15">
        <f ca="1">_xlfn.NORM.INV(RAND(),AVERAGE(Assumptions!$D$12,Assumptions!$F$12),(Assumptions!$F$12-Assumptions!$D$12)/3.29)*44</f>
        <v>7863292.4448866583</v>
      </c>
      <c r="L638" s="3">
        <f ca="1">_xlfn.NORM.INV(RAND(),AVERAGE(Assumptions!$D$13,Assumptions!$F$13),(Assumptions!$F$13-Assumptions!$D$13)/3.29)*44</f>
        <v>19127341.691159729</v>
      </c>
      <c r="M638" s="6">
        <f ca="1">_xlfn.NORM.INV(RAND(),AVERAGE(Assumptions!$D$14,Assumptions!$F$14),(Assumptions!$F$14-Assumptions!$D$14)/3.29)*44</f>
        <v>6933374.9947731895</v>
      </c>
      <c r="N638" s="9">
        <f ca="1">_xlfn.NORM.INV(RAND(),AVERAGE(Assumptions!$D$16,Assumptions!$F$16),(Assumptions!$F$16-Assumptions!$D$16)/3.29)*44</f>
        <v>14992847.629501626</v>
      </c>
      <c r="O638" s="12">
        <f ca="1">_xlfn.NORM.INV(RAND(),AVERAGE(Assumptions!$D$15,Assumptions!$F$15),(Assumptions!$F$15-Assumptions!$D$15)/3.29)*44</f>
        <v>73092794.645961985</v>
      </c>
      <c r="P638" s="15">
        <f>Assumptions!$D$18</f>
        <v>14641750.345627395</v>
      </c>
      <c r="Q638" s="3">
        <f t="shared" ca="1" si="18"/>
        <v>2833701.8361468315</v>
      </c>
      <c r="R638" s="6">
        <f t="shared" ca="1" si="19"/>
        <v>17475452.181774229</v>
      </c>
    </row>
    <row r="639" spans="1:18">
      <c r="A639" s="20">
        <v>638</v>
      </c>
      <c r="B639" s="3">
        <f ca="1">_xlfn.NORM.INV(RAND(),AVERAGE(Assumptions!$D$4,Assumptions!$F$4),(Assumptions!$F$4-Assumptions!$D$4)/3.29)*44</f>
        <v>1161067.3515795029</v>
      </c>
      <c r="C639" s="6">
        <f ca="1">_xlfn.NORM.INV(RAND(),AVERAGE(Assumptions!$D$5,Assumptions!$F$5),(Assumptions!$F$5-Assumptions!$D$5)/3.29)*44</f>
        <v>1790137.7169065152</v>
      </c>
      <c r="D639" s="9">
        <f ca="1">_xlfn.NORM.INV(RAND(),AVERAGE(Assumptions!$D$6,Assumptions!$F$6),(Assumptions!$F$6-Assumptions!$D$6)/3.29)*RANDBETWEEN(2,5)</f>
        <v>3190204.8014893853</v>
      </c>
      <c r="E639" s="12">
        <f ca="1">_xlfn.NORM.INV(RAND(),AVERAGE(Assumptions!$D$17,Assumptions!$F$17),(Assumptions!$F$17-Assumptions!$D$17)/3.29)*8</f>
        <v>1011015.6903707619</v>
      </c>
      <c r="F639" s="15">
        <f ca="1">_xlfn.NORM.INV(RAND(),AVERAGE(Assumptions!$D$7,Assumptions!$F$7),(Assumptions!$F$7-Assumptions!$D$7)/3.29)*RANDBETWEEN(1,3)</f>
        <v>3972347.2117852438</v>
      </c>
      <c r="G639" s="3">
        <f ca="1">_xlfn.NORM.INV(RAND(),AVERAGE(Assumptions!$D$8,Assumptions!$F$8),(Assumptions!$F$8-Assumptions!$D$8)/3.29)*44</f>
        <v>1322419.6219350297</v>
      </c>
      <c r="H639" s="6">
        <f ca="1">_xlfn.NORM.INV(RAND(),AVERAGE(Assumptions!$D$9,Assumptions!$F$9),(Assumptions!$F$9-Assumptions!$D$9)/3.29)*21</f>
        <v>5167405.098789366</v>
      </c>
      <c r="I639" s="9">
        <f ca="1">_xlfn.NORM.INV(RAND(),AVERAGE(Assumptions!$D$10,Assumptions!$F$10),(Assumptions!$F$10-Assumptions!$D$10)/3.29)*21</f>
        <v>567942.15413404035</v>
      </c>
      <c r="J639" s="12">
        <f ca="1">NORMINV(RAND(),AVERAGE(Assumptions!$D$11,Assumptions!$F$11),(Assumptions!$F$11-Assumptions!$D$11)/3.29)*44</f>
        <v>2002028.995931122</v>
      </c>
      <c r="K639" s="15">
        <f ca="1">_xlfn.NORM.INV(RAND(),AVERAGE(Assumptions!$D$12,Assumptions!$F$12),(Assumptions!$F$12-Assumptions!$D$12)/3.29)*44</f>
        <v>10280585.52779364</v>
      </c>
      <c r="L639" s="3">
        <f ca="1">_xlfn.NORM.INV(RAND(),AVERAGE(Assumptions!$D$13,Assumptions!$F$13),(Assumptions!$F$13-Assumptions!$D$13)/3.29)*44</f>
        <v>17529962.032916129</v>
      </c>
      <c r="M639" s="6">
        <f ca="1">_xlfn.NORM.INV(RAND(),AVERAGE(Assumptions!$D$14,Assumptions!$F$14),(Assumptions!$F$14-Assumptions!$D$14)/3.29)*44</f>
        <v>8422431.8282071799</v>
      </c>
      <c r="N639" s="9">
        <f ca="1">_xlfn.NORM.INV(RAND(),AVERAGE(Assumptions!$D$16,Assumptions!$F$16),(Assumptions!$F$16-Assumptions!$D$16)/3.29)*44</f>
        <v>10969702.837817675</v>
      </c>
      <c r="O639" s="12">
        <f ca="1">_xlfn.NORM.INV(RAND(),AVERAGE(Assumptions!$D$15,Assumptions!$F$15),(Assumptions!$F$15-Assumptions!$D$15)/3.29)*44</f>
        <v>129542910.15653528</v>
      </c>
      <c r="P639" s="15">
        <f>Assumptions!$D$18</f>
        <v>14641750.345627395</v>
      </c>
      <c r="Q639" s="3">
        <f t="shared" ca="1" si="18"/>
        <v>62155659.286879689</v>
      </c>
      <c r="R639" s="6">
        <f t="shared" ca="1" si="19"/>
        <v>76797409.632507086</v>
      </c>
    </row>
    <row r="640" spans="1:18">
      <c r="A640" s="20">
        <v>639</v>
      </c>
      <c r="B640" s="3">
        <f ca="1">_xlfn.NORM.INV(RAND(),AVERAGE(Assumptions!$D$4,Assumptions!$F$4),(Assumptions!$F$4-Assumptions!$D$4)/3.29)*44</f>
        <v>1149276.636865953</v>
      </c>
      <c r="C640" s="6">
        <f ca="1">_xlfn.NORM.INV(RAND(),AVERAGE(Assumptions!$D$5,Assumptions!$F$5),(Assumptions!$F$5-Assumptions!$D$5)/3.29)*44</f>
        <v>1730340.9096609794</v>
      </c>
      <c r="D640" s="9">
        <f ca="1">_xlfn.NORM.INV(RAND(),AVERAGE(Assumptions!$D$6,Assumptions!$F$6),(Assumptions!$F$6-Assumptions!$D$6)/3.29)*RANDBETWEEN(2,5)</f>
        <v>4756831.0032632928</v>
      </c>
      <c r="E640" s="12">
        <f ca="1">_xlfn.NORM.INV(RAND(),AVERAGE(Assumptions!$D$17,Assumptions!$F$17),(Assumptions!$F$17-Assumptions!$D$17)/3.29)*8</f>
        <v>1015483.2187620866</v>
      </c>
      <c r="F640" s="15">
        <f ca="1">_xlfn.NORM.INV(RAND(),AVERAGE(Assumptions!$D$7,Assumptions!$F$7),(Assumptions!$F$7-Assumptions!$D$7)/3.29)*RANDBETWEEN(1,3)</f>
        <v>2401113.014412093</v>
      </c>
      <c r="G640" s="3">
        <f ca="1">_xlfn.NORM.INV(RAND(),AVERAGE(Assumptions!$D$8,Assumptions!$F$8),(Assumptions!$F$8-Assumptions!$D$8)/3.29)*44</f>
        <v>1441613.1707177514</v>
      </c>
      <c r="H640" s="6">
        <f ca="1">_xlfn.NORM.INV(RAND(),AVERAGE(Assumptions!$D$9,Assumptions!$F$9),(Assumptions!$F$9-Assumptions!$D$9)/3.29)*21</f>
        <v>2837522.8786348877</v>
      </c>
      <c r="I640" s="9">
        <f ca="1">_xlfn.NORM.INV(RAND(),AVERAGE(Assumptions!$D$10,Assumptions!$F$10),(Assumptions!$F$10-Assumptions!$D$10)/3.29)*21</f>
        <v>891389.35257385939</v>
      </c>
      <c r="J640" s="12">
        <f ca="1">NORMINV(RAND(),AVERAGE(Assumptions!$D$11,Assumptions!$F$11),(Assumptions!$F$11-Assumptions!$D$11)/3.29)*44</f>
        <v>3993830.3932602671</v>
      </c>
      <c r="K640" s="15">
        <f ca="1">_xlfn.NORM.INV(RAND(),AVERAGE(Assumptions!$D$12,Assumptions!$F$12),(Assumptions!$F$12-Assumptions!$D$12)/3.29)*44</f>
        <v>6524152.0764426943</v>
      </c>
      <c r="L640" s="3">
        <f ca="1">_xlfn.NORM.INV(RAND(),AVERAGE(Assumptions!$D$13,Assumptions!$F$13),(Assumptions!$F$13-Assumptions!$D$13)/3.29)*44</f>
        <v>13268971.764702579</v>
      </c>
      <c r="M640" s="6">
        <f ca="1">_xlfn.NORM.INV(RAND(),AVERAGE(Assumptions!$D$14,Assumptions!$F$14),(Assumptions!$F$14-Assumptions!$D$14)/3.29)*44</f>
        <v>6129250.805208317</v>
      </c>
      <c r="N640" s="9">
        <f ca="1">_xlfn.NORM.INV(RAND(),AVERAGE(Assumptions!$D$16,Assumptions!$F$16),(Assumptions!$F$16-Assumptions!$D$16)/3.29)*44</f>
        <v>10323760.439757412</v>
      </c>
      <c r="O640" s="12">
        <f ca="1">_xlfn.NORM.INV(RAND(),AVERAGE(Assumptions!$D$15,Assumptions!$F$15),(Assumptions!$F$15-Assumptions!$D$15)/3.29)*44</f>
        <v>173576614.11965486</v>
      </c>
      <c r="P640" s="15">
        <f>Assumptions!$D$18</f>
        <v>14641750.345627395</v>
      </c>
      <c r="Q640" s="3">
        <f t="shared" ca="1" si="18"/>
        <v>117113078.45539269</v>
      </c>
      <c r="R640" s="6">
        <f t="shared" ca="1" si="19"/>
        <v>131754828.80102009</v>
      </c>
    </row>
    <row r="641" spans="1:18">
      <c r="A641" s="20">
        <v>640</v>
      </c>
      <c r="B641" s="3">
        <f ca="1">_xlfn.NORM.INV(RAND(),AVERAGE(Assumptions!$D$4,Assumptions!$F$4),(Assumptions!$F$4-Assumptions!$D$4)/3.29)*44</f>
        <v>1249679.0022593455</v>
      </c>
      <c r="C641" s="6">
        <f ca="1">_xlfn.NORM.INV(RAND(),AVERAGE(Assumptions!$D$5,Assumptions!$F$5),(Assumptions!$F$5-Assumptions!$D$5)/3.29)*44</f>
        <v>1827909.1865547823</v>
      </c>
      <c r="D641" s="9">
        <f ca="1">_xlfn.NORM.INV(RAND(),AVERAGE(Assumptions!$D$6,Assumptions!$F$6),(Assumptions!$F$6-Assumptions!$D$6)/3.29)*RANDBETWEEN(2,5)</f>
        <v>4033013.8239506576</v>
      </c>
      <c r="E641" s="12">
        <f ca="1">_xlfn.NORM.INV(RAND(),AVERAGE(Assumptions!$D$17,Assumptions!$F$17),(Assumptions!$F$17-Assumptions!$D$17)/3.29)*8</f>
        <v>931172.25552461436</v>
      </c>
      <c r="F641" s="15">
        <f ca="1">_xlfn.NORM.INV(RAND(),AVERAGE(Assumptions!$D$7,Assumptions!$F$7),(Assumptions!$F$7-Assumptions!$D$7)/3.29)*RANDBETWEEN(1,3)</f>
        <v>4330860.0407361798</v>
      </c>
      <c r="G641" s="3">
        <f ca="1">_xlfn.NORM.INV(RAND(),AVERAGE(Assumptions!$D$8,Assumptions!$F$8),(Assumptions!$F$8-Assumptions!$D$8)/3.29)*44</f>
        <v>1240075.9314965161</v>
      </c>
      <c r="H641" s="6">
        <f ca="1">_xlfn.NORM.INV(RAND(),AVERAGE(Assumptions!$D$9,Assumptions!$F$9),(Assumptions!$F$9-Assumptions!$D$9)/3.29)*21</f>
        <v>4352533.5068955254</v>
      </c>
      <c r="I641" s="9">
        <f ca="1">_xlfn.NORM.INV(RAND(),AVERAGE(Assumptions!$D$10,Assumptions!$F$10),(Assumptions!$F$10-Assumptions!$D$10)/3.29)*21</f>
        <v>612033.1368631667</v>
      </c>
      <c r="J641" s="12">
        <f ca="1">NORMINV(RAND(),AVERAGE(Assumptions!$D$11,Assumptions!$F$11),(Assumptions!$F$11-Assumptions!$D$11)/3.29)*44</f>
        <v>3157555.2984000896</v>
      </c>
      <c r="K641" s="15">
        <f ca="1">_xlfn.NORM.INV(RAND(),AVERAGE(Assumptions!$D$12,Assumptions!$F$12),(Assumptions!$F$12-Assumptions!$D$12)/3.29)*44</f>
        <v>5939270.8420868814</v>
      </c>
      <c r="L641" s="3">
        <f ca="1">_xlfn.NORM.INV(RAND(),AVERAGE(Assumptions!$D$13,Assumptions!$F$13),(Assumptions!$F$13-Assumptions!$D$13)/3.29)*44</f>
        <v>14361037.029565975</v>
      </c>
      <c r="M641" s="6">
        <f ca="1">_xlfn.NORM.INV(RAND(),AVERAGE(Assumptions!$D$14,Assumptions!$F$14),(Assumptions!$F$14-Assumptions!$D$14)/3.29)*44</f>
        <v>6441659.1544718063</v>
      </c>
      <c r="N641" s="9">
        <f ca="1">_xlfn.NORM.INV(RAND(),AVERAGE(Assumptions!$D$16,Assumptions!$F$16),(Assumptions!$F$16-Assumptions!$D$16)/3.29)*44</f>
        <v>11041260.237415217</v>
      </c>
      <c r="O641" s="12">
        <f ca="1">_xlfn.NORM.INV(RAND(),AVERAGE(Assumptions!$D$15,Assumptions!$F$15),(Assumptions!$F$15-Assumptions!$D$15)/3.29)*44</f>
        <v>104631906.11030035</v>
      </c>
      <c r="P641" s="15">
        <f>Assumptions!$D$18</f>
        <v>14641750.345627395</v>
      </c>
      <c r="Q641" s="3">
        <f t="shared" ca="1" si="18"/>
        <v>45113846.664079584</v>
      </c>
      <c r="R641" s="6">
        <f t="shared" ca="1" si="19"/>
        <v>59755597.009706981</v>
      </c>
    </row>
    <row r="642" spans="1:18">
      <c r="A642" s="20">
        <v>641</v>
      </c>
      <c r="B642" s="3">
        <f ca="1">_xlfn.NORM.INV(RAND(),AVERAGE(Assumptions!$D$4,Assumptions!$F$4),(Assumptions!$F$4-Assumptions!$D$4)/3.29)*44</f>
        <v>1254169.0804284974</v>
      </c>
      <c r="C642" s="6">
        <f ca="1">_xlfn.NORM.INV(RAND(),AVERAGE(Assumptions!$D$5,Assumptions!$F$5),(Assumptions!$F$5-Assumptions!$D$5)/3.29)*44</f>
        <v>1747895.0878036339</v>
      </c>
      <c r="D642" s="9">
        <f ca="1">_xlfn.NORM.INV(RAND(),AVERAGE(Assumptions!$D$6,Assumptions!$F$6),(Assumptions!$F$6-Assumptions!$D$6)/3.29)*RANDBETWEEN(2,5)</f>
        <v>6645645.520605851</v>
      </c>
      <c r="E642" s="12">
        <f ca="1">_xlfn.NORM.INV(RAND(),AVERAGE(Assumptions!$D$17,Assumptions!$F$17),(Assumptions!$F$17-Assumptions!$D$17)/3.29)*8</f>
        <v>1104970.3227161467</v>
      </c>
      <c r="F642" s="15">
        <f ca="1">_xlfn.NORM.INV(RAND(),AVERAGE(Assumptions!$D$7,Assumptions!$F$7),(Assumptions!$F$7-Assumptions!$D$7)/3.29)*RANDBETWEEN(1,3)</f>
        <v>11433051.744885715</v>
      </c>
      <c r="G642" s="3">
        <f ca="1">_xlfn.NORM.INV(RAND(),AVERAGE(Assumptions!$D$8,Assumptions!$F$8),(Assumptions!$F$8-Assumptions!$D$8)/3.29)*44</f>
        <v>1088101.6862826161</v>
      </c>
      <c r="H642" s="6">
        <f ca="1">_xlfn.NORM.INV(RAND(),AVERAGE(Assumptions!$D$9,Assumptions!$F$9),(Assumptions!$F$9-Assumptions!$D$9)/3.29)*21</f>
        <v>4215277.6668659197</v>
      </c>
      <c r="I642" s="9">
        <f ca="1">_xlfn.NORM.INV(RAND(),AVERAGE(Assumptions!$D$10,Assumptions!$F$10),(Assumptions!$F$10-Assumptions!$D$10)/3.29)*21</f>
        <v>793038.71745512623</v>
      </c>
      <c r="J642" s="12">
        <f ca="1">NORMINV(RAND(),AVERAGE(Assumptions!$D$11,Assumptions!$F$11),(Assumptions!$F$11-Assumptions!$D$11)/3.29)*44</f>
        <v>2645281.8186390009</v>
      </c>
      <c r="K642" s="15">
        <f ca="1">_xlfn.NORM.INV(RAND(),AVERAGE(Assumptions!$D$12,Assumptions!$F$12),(Assumptions!$F$12-Assumptions!$D$12)/3.29)*44</f>
        <v>6715684.5793376677</v>
      </c>
      <c r="L642" s="3">
        <f ca="1">_xlfn.NORM.INV(RAND(),AVERAGE(Assumptions!$D$13,Assumptions!$F$13),(Assumptions!$F$13-Assumptions!$D$13)/3.29)*44</f>
        <v>10256631.082772413</v>
      </c>
      <c r="M642" s="6">
        <f ca="1">_xlfn.NORM.INV(RAND(),AVERAGE(Assumptions!$D$14,Assumptions!$F$14),(Assumptions!$F$14-Assumptions!$D$14)/3.29)*44</f>
        <v>5538136.846057862</v>
      </c>
      <c r="N642" s="9">
        <f ca="1">_xlfn.NORM.INV(RAND(),AVERAGE(Assumptions!$D$16,Assumptions!$F$16),(Assumptions!$F$16-Assumptions!$D$16)/3.29)*44</f>
        <v>8394019.3102766909</v>
      </c>
      <c r="O642" s="12">
        <f ca="1">_xlfn.NORM.INV(RAND(),AVERAGE(Assumptions!$D$15,Assumptions!$F$15),(Assumptions!$F$15-Assumptions!$D$15)/3.29)*44</f>
        <v>72590359.109296069</v>
      </c>
      <c r="P642" s="15">
        <f>Assumptions!$D$18</f>
        <v>14641750.345627395</v>
      </c>
      <c r="Q642" s="3">
        <f t="shared" ca="1" si="18"/>
        <v>10758455.64516893</v>
      </c>
      <c r="R642" s="6">
        <f t="shared" ca="1" si="19"/>
        <v>25400205.990796328</v>
      </c>
    </row>
    <row r="643" spans="1:18">
      <c r="A643" s="20">
        <v>642</v>
      </c>
      <c r="B643" s="3">
        <f ca="1">_xlfn.NORM.INV(RAND(),AVERAGE(Assumptions!$D$4,Assumptions!$F$4),(Assumptions!$F$4-Assumptions!$D$4)/3.29)*44</f>
        <v>1128409.9310378251</v>
      </c>
      <c r="C643" s="6">
        <f ca="1">_xlfn.NORM.INV(RAND(),AVERAGE(Assumptions!$D$5,Assumptions!$F$5),(Assumptions!$F$5-Assumptions!$D$5)/3.29)*44</f>
        <v>1811350.785765328</v>
      </c>
      <c r="D643" s="9">
        <f ca="1">_xlfn.NORM.INV(RAND(),AVERAGE(Assumptions!$D$6,Assumptions!$F$6),(Assumptions!$F$6-Assumptions!$D$6)/3.29)*RANDBETWEEN(2,5)</f>
        <v>3230895.9694997915</v>
      </c>
      <c r="E643" s="12">
        <f ca="1">_xlfn.NORM.INV(RAND(),AVERAGE(Assumptions!$D$17,Assumptions!$F$17),(Assumptions!$F$17-Assumptions!$D$17)/3.29)*8</f>
        <v>964210.31062325602</v>
      </c>
      <c r="F643" s="15">
        <f ca="1">_xlfn.NORM.INV(RAND(),AVERAGE(Assumptions!$D$7,Assumptions!$F$7),(Assumptions!$F$7-Assumptions!$D$7)/3.29)*RANDBETWEEN(1,3)</f>
        <v>7607717.0402926775</v>
      </c>
      <c r="G643" s="3">
        <f ca="1">_xlfn.NORM.INV(RAND(),AVERAGE(Assumptions!$D$8,Assumptions!$F$8),(Assumptions!$F$8-Assumptions!$D$8)/3.29)*44</f>
        <v>1635785.849128227</v>
      </c>
      <c r="H643" s="6">
        <f ca="1">_xlfn.NORM.INV(RAND(),AVERAGE(Assumptions!$D$9,Assumptions!$F$9),(Assumptions!$F$9-Assumptions!$D$9)/3.29)*21</f>
        <v>4505398.2815821078</v>
      </c>
      <c r="I643" s="9">
        <f ca="1">_xlfn.NORM.INV(RAND(),AVERAGE(Assumptions!$D$10,Assumptions!$F$10),(Assumptions!$F$10-Assumptions!$D$10)/3.29)*21</f>
        <v>1056555.688481156</v>
      </c>
      <c r="J643" s="12">
        <f ca="1">NORMINV(RAND(),AVERAGE(Assumptions!$D$11,Assumptions!$F$11),(Assumptions!$F$11-Assumptions!$D$11)/3.29)*44</f>
        <v>3495838.5346361026</v>
      </c>
      <c r="K643" s="15">
        <f ca="1">_xlfn.NORM.INV(RAND(),AVERAGE(Assumptions!$D$12,Assumptions!$F$12),(Assumptions!$F$12-Assumptions!$D$12)/3.29)*44</f>
        <v>8616923.0368983485</v>
      </c>
      <c r="L643" s="3">
        <f ca="1">_xlfn.NORM.INV(RAND(),AVERAGE(Assumptions!$D$13,Assumptions!$F$13),(Assumptions!$F$13-Assumptions!$D$13)/3.29)*44</f>
        <v>12776256.182295777</v>
      </c>
      <c r="M643" s="6">
        <f ca="1">_xlfn.NORM.INV(RAND(),AVERAGE(Assumptions!$D$14,Assumptions!$F$14),(Assumptions!$F$14-Assumptions!$D$14)/3.29)*44</f>
        <v>6291684.9931393033</v>
      </c>
      <c r="N643" s="9">
        <f ca="1">_xlfn.NORM.INV(RAND(),AVERAGE(Assumptions!$D$16,Assumptions!$F$16),(Assumptions!$F$16-Assumptions!$D$16)/3.29)*44</f>
        <v>9899712.7765158676</v>
      </c>
      <c r="O643" s="12">
        <f ca="1">_xlfn.NORM.INV(RAND(),AVERAGE(Assumptions!$D$15,Assumptions!$F$15),(Assumptions!$F$15-Assumptions!$D$15)/3.29)*44</f>
        <v>98738845.910072327</v>
      </c>
      <c r="P643" s="15">
        <f>Assumptions!$D$18</f>
        <v>14641750.345627395</v>
      </c>
      <c r="Q643" s="3">
        <f t="shared" ref="Q643:Q706" ca="1" si="20">O643-(B643+C643+D643+F643+G643+H643+I643+J643+K643+L643+M643+N643+E643)</f>
        <v>35718106.53017655</v>
      </c>
      <c r="R643" s="6">
        <f t="shared" ref="R643:R706" ca="1" si="21">Q643+P643</f>
        <v>50359856.875803947</v>
      </c>
    </row>
    <row r="644" spans="1:18">
      <c r="A644" s="20">
        <v>643</v>
      </c>
      <c r="B644" s="3">
        <f ca="1">_xlfn.NORM.INV(RAND(),AVERAGE(Assumptions!$D$4,Assumptions!$F$4),(Assumptions!$F$4-Assumptions!$D$4)/3.29)*44</f>
        <v>1150427.4759395744</v>
      </c>
      <c r="C644" s="6">
        <f ca="1">_xlfn.NORM.INV(RAND(),AVERAGE(Assumptions!$D$5,Assumptions!$F$5),(Assumptions!$F$5-Assumptions!$D$5)/3.29)*44</f>
        <v>1951067.2643853803</v>
      </c>
      <c r="D644" s="9">
        <f ca="1">_xlfn.NORM.INV(RAND(),AVERAGE(Assumptions!$D$6,Assumptions!$F$6),(Assumptions!$F$6-Assumptions!$D$6)/3.29)*RANDBETWEEN(2,5)</f>
        <v>5278545.9978782348</v>
      </c>
      <c r="E644" s="12">
        <f ca="1">_xlfn.NORM.INV(RAND(),AVERAGE(Assumptions!$D$17,Assumptions!$F$17),(Assumptions!$F$17-Assumptions!$D$17)/3.29)*8</f>
        <v>1083509.0265545158</v>
      </c>
      <c r="F644" s="15">
        <f ca="1">_xlfn.NORM.INV(RAND(),AVERAGE(Assumptions!$D$7,Assumptions!$F$7),(Assumptions!$F$7-Assumptions!$D$7)/3.29)*RANDBETWEEN(1,3)</f>
        <v>8471958.0170251504</v>
      </c>
      <c r="G644" s="3">
        <f ca="1">_xlfn.NORM.INV(RAND(),AVERAGE(Assumptions!$D$8,Assumptions!$F$8),(Assumptions!$F$8-Assumptions!$D$8)/3.29)*44</f>
        <v>1125698.778103492</v>
      </c>
      <c r="H644" s="6">
        <f ca="1">_xlfn.NORM.INV(RAND(),AVERAGE(Assumptions!$D$9,Assumptions!$F$9),(Assumptions!$F$9-Assumptions!$D$9)/3.29)*21</f>
        <v>7336675.9425061587</v>
      </c>
      <c r="I644" s="9">
        <f ca="1">_xlfn.NORM.INV(RAND(),AVERAGE(Assumptions!$D$10,Assumptions!$F$10),(Assumptions!$F$10-Assumptions!$D$10)/3.29)*21</f>
        <v>1194874.9661702893</v>
      </c>
      <c r="J644" s="12">
        <f ca="1">NORMINV(RAND(),AVERAGE(Assumptions!$D$11,Assumptions!$F$11),(Assumptions!$F$11-Assumptions!$D$11)/3.29)*44</f>
        <v>2588930.579130115</v>
      </c>
      <c r="K644" s="15">
        <f ca="1">_xlfn.NORM.INV(RAND(),AVERAGE(Assumptions!$D$12,Assumptions!$F$12),(Assumptions!$F$12-Assumptions!$D$12)/3.29)*44</f>
        <v>10591449.92584414</v>
      </c>
      <c r="L644" s="3">
        <f ca="1">_xlfn.NORM.INV(RAND(),AVERAGE(Assumptions!$D$13,Assumptions!$F$13),(Assumptions!$F$13-Assumptions!$D$13)/3.29)*44</f>
        <v>15393445.236039655</v>
      </c>
      <c r="M644" s="6">
        <f ca="1">_xlfn.NORM.INV(RAND(),AVERAGE(Assumptions!$D$14,Assumptions!$F$14),(Assumptions!$F$14-Assumptions!$D$14)/3.29)*44</f>
        <v>7031015.4745404162</v>
      </c>
      <c r="N644" s="9">
        <f ca="1">_xlfn.NORM.INV(RAND(),AVERAGE(Assumptions!$D$16,Assumptions!$F$16),(Assumptions!$F$16-Assumptions!$D$16)/3.29)*44</f>
        <v>4432512.5359123573</v>
      </c>
      <c r="O644" s="12">
        <f ca="1">_xlfn.NORM.INV(RAND(),AVERAGE(Assumptions!$D$15,Assumptions!$F$15),(Assumptions!$F$15-Assumptions!$D$15)/3.29)*44</f>
        <v>63466196.631283388</v>
      </c>
      <c r="P644" s="15">
        <f>Assumptions!$D$18</f>
        <v>14641750.345627395</v>
      </c>
      <c r="Q644" s="3">
        <f t="shared" ca="1" si="20"/>
        <v>-4163914.5887460858</v>
      </c>
      <c r="R644" s="6">
        <f t="shared" ca="1" si="21"/>
        <v>10477835.75688131</v>
      </c>
    </row>
    <row r="645" spans="1:18">
      <c r="A645" s="20">
        <v>644</v>
      </c>
      <c r="B645" s="3">
        <f ca="1">_xlfn.NORM.INV(RAND(),AVERAGE(Assumptions!$D$4,Assumptions!$F$4),(Assumptions!$F$4-Assumptions!$D$4)/3.29)*44</f>
        <v>1235992.9662121388</v>
      </c>
      <c r="C645" s="6">
        <f ca="1">_xlfn.NORM.INV(RAND(),AVERAGE(Assumptions!$D$5,Assumptions!$F$5),(Assumptions!$F$5-Assumptions!$D$5)/3.29)*44</f>
        <v>1799165.239859316</v>
      </c>
      <c r="D645" s="9">
        <f ca="1">_xlfn.NORM.INV(RAND(),AVERAGE(Assumptions!$D$6,Assumptions!$F$6),(Assumptions!$F$6-Assumptions!$D$6)/3.29)*RANDBETWEEN(2,5)</f>
        <v>4581100.5331146624</v>
      </c>
      <c r="E645" s="12">
        <f ca="1">_xlfn.NORM.INV(RAND(),AVERAGE(Assumptions!$D$17,Assumptions!$F$17),(Assumptions!$F$17-Assumptions!$D$17)/3.29)*8</f>
        <v>766925.7453048185</v>
      </c>
      <c r="F645" s="15">
        <f ca="1">_xlfn.NORM.INV(RAND(),AVERAGE(Assumptions!$D$7,Assumptions!$F$7),(Assumptions!$F$7-Assumptions!$D$7)/3.29)*RANDBETWEEN(1,3)</f>
        <v>5311719.2886108588</v>
      </c>
      <c r="G645" s="3">
        <f ca="1">_xlfn.NORM.INV(RAND(),AVERAGE(Assumptions!$D$8,Assumptions!$F$8),(Assumptions!$F$8-Assumptions!$D$8)/3.29)*44</f>
        <v>1232479.8742908358</v>
      </c>
      <c r="H645" s="6">
        <f ca="1">_xlfn.NORM.INV(RAND(),AVERAGE(Assumptions!$D$9,Assumptions!$F$9),(Assumptions!$F$9-Assumptions!$D$9)/3.29)*21</f>
        <v>3920391.4991712975</v>
      </c>
      <c r="I645" s="9">
        <f ca="1">_xlfn.NORM.INV(RAND(),AVERAGE(Assumptions!$D$10,Assumptions!$F$10),(Assumptions!$F$10-Assumptions!$D$10)/3.29)*21</f>
        <v>1058796.9806813439</v>
      </c>
      <c r="J645" s="12">
        <f ca="1">NORMINV(RAND(),AVERAGE(Assumptions!$D$11,Assumptions!$F$11),(Assumptions!$F$11-Assumptions!$D$11)/3.29)*44</f>
        <v>2776615.0226835804</v>
      </c>
      <c r="K645" s="15">
        <f ca="1">_xlfn.NORM.INV(RAND(),AVERAGE(Assumptions!$D$12,Assumptions!$F$12),(Assumptions!$F$12-Assumptions!$D$12)/3.29)*44</f>
        <v>7036136.910270161</v>
      </c>
      <c r="L645" s="3">
        <f ca="1">_xlfn.NORM.INV(RAND(),AVERAGE(Assumptions!$D$13,Assumptions!$F$13),(Assumptions!$F$13-Assumptions!$D$13)/3.29)*44</f>
        <v>11736385.419504959</v>
      </c>
      <c r="M645" s="6">
        <f ca="1">_xlfn.NORM.INV(RAND(),AVERAGE(Assumptions!$D$14,Assumptions!$F$14),(Assumptions!$F$14-Assumptions!$D$14)/3.29)*44</f>
        <v>5291856.2067615679</v>
      </c>
      <c r="N645" s="9">
        <f ca="1">_xlfn.NORM.INV(RAND(),AVERAGE(Assumptions!$D$16,Assumptions!$F$16),(Assumptions!$F$16-Assumptions!$D$16)/3.29)*44</f>
        <v>8566566.0585934035</v>
      </c>
      <c r="O645" s="12">
        <f ca="1">_xlfn.NORM.INV(RAND(),AVERAGE(Assumptions!$D$15,Assumptions!$F$15),(Assumptions!$F$15-Assumptions!$D$15)/3.29)*44</f>
        <v>138441868.98066217</v>
      </c>
      <c r="P645" s="15">
        <f>Assumptions!$D$18</f>
        <v>14641750.345627395</v>
      </c>
      <c r="Q645" s="3">
        <f t="shared" ca="1" si="20"/>
        <v>83127737.235603213</v>
      </c>
      <c r="R645" s="6">
        <f t="shared" ca="1" si="21"/>
        <v>97769487.581230611</v>
      </c>
    </row>
    <row r="646" spans="1:18">
      <c r="A646" s="20">
        <v>645</v>
      </c>
      <c r="B646" s="3">
        <f ca="1">_xlfn.NORM.INV(RAND(),AVERAGE(Assumptions!$D$4,Assumptions!$F$4),(Assumptions!$F$4-Assumptions!$D$4)/3.29)*44</f>
        <v>1259603.039249657</v>
      </c>
      <c r="C646" s="6">
        <f ca="1">_xlfn.NORM.INV(RAND(),AVERAGE(Assumptions!$D$5,Assumptions!$F$5),(Assumptions!$F$5-Assumptions!$D$5)/3.29)*44</f>
        <v>1849323.2899131279</v>
      </c>
      <c r="D646" s="9">
        <f ca="1">_xlfn.NORM.INV(RAND(),AVERAGE(Assumptions!$D$6,Assumptions!$F$6),(Assumptions!$F$6-Assumptions!$D$6)/3.29)*RANDBETWEEN(2,5)</f>
        <v>6485276.5780361649</v>
      </c>
      <c r="E646" s="12">
        <f ca="1">_xlfn.NORM.INV(RAND(),AVERAGE(Assumptions!$D$17,Assumptions!$F$17),(Assumptions!$F$17-Assumptions!$D$17)/3.29)*8</f>
        <v>1024124.2656623384</v>
      </c>
      <c r="F646" s="15">
        <f ca="1">_xlfn.NORM.INV(RAND(),AVERAGE(Assumptions!$D$7,Assumptions!$F$7),(Assumptions!$F$7-Assumptions!$D$7)/3.29)*RANDBETWEEN(1,3)</f>
        <v>8392145.3527223691</v>
      </c>
      <c r="G646" s="3">
        <f ca="1">_xlfn.NORM.INV(RAND(),AVERAGE(Assumptions!$D$8,Assumptions!$F$8),(Assumptions!$F$8-Assumptions!$D$8)/3.29)*44</f>
        <v>579879.18868400936</v>
      </c>
      <c r="H646" s="6">
        <f ca="1">_xlfn.NORM.INV(RAND(),AVERAGE(Assumptions!$D$9,Assumptions!$F$9),(Assumptions!$F$9-Assumptions!$D$9)/3.29)*21</f>
        <v>4108914.3239898435</v>
      </c>
      <c r="I646" s="9">
        <f ca="1">_xlfn.NORM.INV(RAND(),AVERAGE(Assumptions!$D$10,Assumptions!$F$10),(Assumptions!$F$10-Assumptions!$D$10)/3.29)*21</f>
        <v>701326.06201965199</v>
      </c>
      <c r="J646" s="12">
        <f ca="1">NORMINV(RAND(),AVERAGE(Assumptions!$D$11,Assumptions!$F$11),(Assumptions!$F$11-Assumptions!$D$11)/3.29)*44</f>
        <v>2428451.5521794404</v>
      </c>
      <c r="K646" s="15">
        <f ca="1">_xlfn.NORM.INV(RAND(),AVERAGE(Assumptions!$D$12,Assumptions!$F$12),(Assumptions!$F$12-Assumptions!$D$12)/3.29)*44</f>
        <v>9015939.4757783227</v>
      </c>
      <c r="L646" s="3">
        <f ca="1">_xlfn.NORM.INV(RAND(),AVERAGE(Assumptions!$D$13,Assumptions!$F$13),(Assumptions!$F$13-Assumptions!$D$13)/3.29)*44</f>
        <v>14593108.212420262</v>
      </c>
      <c r="M646" s="6">
        <f ca="1">_xlfn.NORM.INV(RAND(),AVERAGE(Assumptions!$D$14,Assumptions!$F$14),(Assumptions!$F$14-Assumptions!$D$14)/3.29)*44</f>
        <v>6084792.1159724928</v>
      </c>
      <c r="N646" s="9">
        <f ca="1">_xlfn.NORM.INV(RAND(),AVERAGE(Assumptions!$D$16,Assumptions!$F$16),(Assumptions!$F$16-Assumptions!$D$16)/3.29)*44</f>
        <v>5656889.3251872733</v>
      </c>
      <c r="O646" s="12">
        <f ca="1">_xlfn.NORM.INV(RAND(),AVERAGE(Assumptions!$D$15,Assumptions!$F$15),(Assumptions!$F$15-Assumptions!$D$15)/3.29)*44</f>
        <v>129885219.09122753</v>
      </c>
      <c r="P646" s="15">
        <f>Assumptions!$D$18</f>
        <v>14641750.345627395</v>
      </c>
      <c r="Q646" s="3">
        <f t="shared" ca="1" si="20"/>
        <v>67705446.309412584</v>
      </c>
      <c r="R646" s="6">
        <f t="shared" ca="1" si="21"/>
        <v>82347196.655039981</v>
      </c>
    </row>
    <row r="647" spans="1:18">
      <c r="A647" s="20">
        <v>646</v>
      </c>
      <c r="B647" s="3">
        <f ca="1">_xlfn.NORM.INV(RAND(),AVERAGE(Assumptions!$D$4,Assumptions!$F$4),(Assumptions!$F$4-Assumptions!$D$4)/3.29)*44</f>
        <v>1211969.1121110795</v>
      </c>
      <c r="C647" s="6">
        <f ca="1">_xlfn.NORM.INV(RAND(),AVERAGE(Assumptions!$D$5,Assumptions!$F$5),(Assumptions!$F$5-Assumptions!$D$5)/3.29)*44</f>
        <v>1585616.3240679884</v>
      </c>
      <c r="D647" s="9">
        <f ca="1">_xlfn.NORM.INV(RAND(),AVERAGE(Assumptions!$D$6,Assumptions!$F$6),(Assumptions!$F$6-Assumptions!$D$6)/3.29)*RANDBETWEEN(2,5)</f>
        <v>5220500.0287035313</v>
      </c>
      <c r="E647" s="12">
        <f ca="1">_xlfn.NORM.INV(RAND(),AVERAGE(Assumptions!$D$17,Assumptions!$F$17),(Assumptions!$F$17-Assumptions!$D$17)/3.29)*8</f>
        <v>1079211.9352515894</v>
      </c>
      <c r="F647" s="15">
        <f ca="1">_xlfn.NORM.INV(RAND(),AVERAGE(Assumptions!$D$7,Assumptions!$F$7),(Assumptions!$F$7-Assumptions!$D$7)/3.29)*RANDBETWEEN(1,3)</f>
        <v>11411691.449740129</v>
      </c>
      <c r="G647" s="3">
        <f ca="1">_xlfn.NORM.INV(RAND(),AVERAGE(Assumptions!$D$8,Assumptions!$F$8),(Assumptions!$F$8-Assumptions!$D$8)/3.29)*44</f>
        <v>1146950.1325577344</v>
      </c>
      <c r="H647" s="6">
        <f ca="1">_xlfn.NORM.INV(RAND(),AVERAGE(Assumptions!$D$9,Assumptions!$F$9),(Assumptions!$F$9-Assumptions!$D$9)/3.29)*21</f>
        <v>2217144.5180144352</v>
      </c>
      <c r="I647" s="9">
        <f ca="1">_xlfn.NORM.INV(RAND(),AVERAGE(Assumptions!$D$10,Assumptions!$F$10),(Assumptions!$F$10-Assumptions!$D$10)/3.29)*21</f>
        <v>757896.96356608451</v>
      </c>
      <c r="J647" s="12">
        <f ca="1">NORMINV(RAND(),AVERAGE(Assumptions!$D$11,Assumptions!$F$11),(Assumptions!$F$11-Assumptions!$D$11)/3.29)*44</f>
        <v>1403551.6120942212</v>
      </c>
      <c r="K647" s="15">
        <f ca="1">_xlfn.NORM.INV(RAND(),AVERAGE(Assumptions!$D$12,Assumptions!$F$12),(Assumptions!$F$12-Assumptions!$D$12)/3.29)*44</f>
        <v>7050786.2891939748</v>
      </c>
      <c r="L647" s="3">
        <f ca="1">_xlfn.NORM.INV(RAND(),AVERAGE(Assumptions!$D$13,Assumptions!$F$13),(Assumptions!$F$13-Assumptions!$D$13)/3.29)*44</f>
        <v>20190763.654855132</v>
      </c>
      <c r="M647" s="6">
        <f ca="1">_xlfn.NORM.INV(RAND(),AVERAGE(Assumptions!$D$14,Assumptions!$F$14),(Assumptions!$F$14-Assumptions!$D$14)/3.29)*44</f>
        <v>5698898.4813079247</v>
      </c>
      <c r="N647" s="9">
        <f ca="1">_xlfn.NORM.INV(RAND(),AVERAGE(Assumptions!$D$16,Assumptions!$F$16),(Assumptions!$F$16-Assumptions!$D$16)/3.29)*44</f>
        <v>11567357.132534493</v>
      </c>
      <c r="O647" s="12">
        <f ca="1">_xlfn.NORM.INV(RAND(),AVERAGE(Assumptions!$D$15,Assumptions!$F$15),(Assumptions!$F$15-Assumptions!$D$15)/3.29)*44</f>
        <v>48372694.113347068</v>
      </c>
      <c r="P647" s="15">
        <f>Assumptions!$D$18</f>
        <v>14641750.345627395</v>
      </c>
      <c r="Q647" s="3">
        <f t="shared" ca="1" si="20"/>
        <v>-22169643.520651251</v>
      </c>
      <c r="R647" s="6">
        <f t="shared" ca="1" si="21"/>
        <v>-7527893.1750238556</v>
      </c>
    </row>
    <row r="648" spans="1:18">
      <c r="A648" s="20">
        <v>647</v>
      </c>
      <c r="B648" s="3">
        <f ca="1">_xlfn.NORM.INV(RAND(),AVERAGE(Assumptions!$D$4,Assumptions!$F$4),(Assumptions!$F$4-Assumptions!$D$4)/3.29)*44</f>
        <v>1223593.3686343487</v>
      </c>
      <c r="C648" s="6">
        <f ca="1">_xlfn.NORM.INV(RAND(),AVERAGE(Assumptions!$D$5,Assumptions!$F$5),(Assumptions!$F$5-Assumptions!$D$5)/3.29)*44</f>
        <v>1848035.591877596</v>
      </c>
      <c r="D648" s="9">
        <f ca="1">_xlfn.NORM.INV(RAND(),AVERAGE(Assumptions!$D$6,Assumptions!$F$6),(Assumptions!$F$6-Assumptions!$D$6)/3.29)*RANDBETWEEN(2,5)</f>
        <v>1530312.267944186</v>
      </c>
      <c r="E648" s="12">
        <f ca="1">_xlfn.NORM.INV(RAND(),AVERAGE(Assumptions!$D$17,Assumptions!$F$17),(Assumptions!$F$17-Assumptions!$D$17)/3.29)*8</f>
        <v>1017707.1670459153</v>
      </c>
      <c r="F648" s="15">
        <f ca="1">_xlfn.NORM.INV(RAND(),AVERAGE(Assumptions!$D$7,Assumptions!$F$7),(Assumptions!$F$7-Assumptions!$D$7)/3.29)*RANDBETWEEN(1,3)</f>
        <v>8261164.1518568527</v>
      </c>
      <c r="G648" s="3">
        <f ca="1">_xlfn.NORM.INV(RAND(),AVERAGE(Assumptions!$D$8,Assumptions!$F$8),(Assumptions!$F$8-Assumptions!$D$8)/3.29)*44</f>
        <v>1309596.2754539279</v>
      </c>
      <c r="H648" s="6">
        <f ca="1">_xlfn.NORM.INV(RAND(),AVERAGE(Assumptions!$D$9,Assumptions!$F$9),(Assumptions!$F$9-Assumptions!$D$9)/3.29)*21</f>
        <v>4265345.1822500508</v>
      </c>
      <c r="I648" s="9">
        <f ca="1">_xlfn.NORM.INV(RAND(),AVERAGE(Assumptions!$D$10,Assumptions!$F$10),(Assumptions!$F$10-Assumptions!$D$10)/3.29)*21</f>
        <v>354394.05361011665</v>
      </c>
      <c r="J648" s="12">
        <f ca="1">NORMINV(RAND(),AVERAGE(Assumptions!$D$11,Assumptions!$F$11),(Assumptions!$F$11-Assumptions!$D$11)/3.29)*44</f>
        <v>3292958.8062861697</v>
      </c>
      <c r="K648" s="15">
        <f ca="1">_xlfn.NORM.INV(RAND(),AVERAGE(Assumptions!$D$12,Assumptions!$F$12),(Assumptions!$F$12-Assumptions!$D$12)/3.29)*44</f>
        <v>8018244.787923214</v>
      </c>
      <c r="L648" s="3">
        <f ca="1">_xlfn.NORM.INV(RAND(),AVERAGE(Assumptions!$D$13,Assumptions!$F$13),(Assumptions!$F$13-Assumptions!$D$13)/3.29)*44</f>
        <v>14161695.412146753</v>
      </c>
      <c r="M648" s="6">
        <f ca="1">_xlfn.NORM.INV(RAND(),AVERAGE(Assumptions!$D$14,Assumptions!$F$14),(Assumptions!$F$14-Assumptions!$D$14)/3.29)*44</f>
        <v>6090284.641784016</v>
      </c>
      <c r="N648" s="9">
        <f ca="1">_xlfn.NORM.INV(RAND(),AVERAGE(Assumptions!$D$16,Assumptions!$F$16),(Assumptions!$F$16-Assumptions!$D$16)/3.29)*44</f>
        <v>1199594.24014006</v>
      </c>
      <c r="O648" s="12">
        <f ca="1">_xlfn.NORM.INV(RAND(),AVERAGE(Assumptions!$D$15,Assumptions!$F$15),(Assumptions!$F$15-Assumptions!$D$15)/3.29)*44</f>
        <v>161271910.62993988</v>
      </c>
      <c r="P648" s="15">
        <f>Assumptions!$D$18</f>
        <v>14641750.345627395</v>
      </c>
      <c r="Q648" s="3">
        <f t="shared" ca="1" si="20"/>
        <v>108698984.68298668</v>
      </c>
      <c r="R648" s="6">
        <f t="shared" ca="1" si="21"/>
        <v>123340735.02861407</v>
      </c>
    </row>
    <row r="649" spans="1:18">
      <c r="A649" s="20">
        <v>648</v>
      </c>
      <c r="B649" s="3">
        <f ca="1">_xlfn.NORM.INV(RAND(),AVERAGE(Assumptions!$D$4,Assumptions!$F$4),(Assumptions!$F$4-Assumptions!$D$4)/3.29)*44</f>
        <v>1166911.5371341144</v>
      </c>
      <c r="C649" s="6">
        <f ca="1">_xlfn.NORM.INV(RAND(),AVERAGE(Assumptions!$D$5,Assumptions!$F$5),(Assumptions!$F$5-Assumptions!$D$5)/3.29)*44</f>
        <v>1831142.4223878738</v>
      </c>
      <c r="D649" s="9">
        <f ca="1">_xlfn.NORM.INV(RAND(),AVERAGE(Assumptions!$D$6,Assumptions!$F$6),(Assumptions!$F$6-Assumptions!$D$6)/3.29)*RANDBETWEEN(2,5)</f>
        <v>5599111.3250429034</v>
      </c>
      <c r="E649" s="12">
        <f ca="1">_xlfn.NORM.INV(RAND(),AVERAGE(Assumptions!$D$17,Assumptions!$F$17),(Assumptions!$F$17-Assumptions!$D$17)/3.29)*8</f>
        <v>774805.47871960851</v>
      </c>
      <c r="F649" s="15">
        <f ca="1">_xlfn.NORM.INV(RAND(),AVERAGE(Assumptions!$D$7,Assumptions!$F$7),(Assumptions!$F$7-Assumptions!$D$7)/3.29)*RANDBETWEEN(1,3)</f>
        <v>3484853.0275429655</v>
      </c>
      <c r="G649" s="3">
        <f ca="1">_xlfn.NORM.INV(RAND(),AVERAGE(Assumptions!$D$8,Assumptions!$F$8),(Assumptions!$F$8-Assumptions!$D$8)/3.29)*44</f>
        <v>1516045.0089638657</v>
      </c>
      <c r="H649" s="6">
        <f ca="1">_xlfn.NORM.INV(RAND(),AVERAGE(Assumptions!$D$9,Assumptions!$F$9),(Assumptions!$F$9-Assumptions!$D$9)/3.29)*21</f>
        <v>3373485.1621745192</v>
      </c>
      <c r="I649" s="9">
        <f ca="1">_xlfn.NORM.INV(RAND(),AVERAGE(Assumptions!$D$10,Assumptions!$F$10),(Assumptions!$F$10-Assumptions!$D$10)/3.29)*21</f>
        <v>661457.39012134471</v>
      </c>
      <c r="J649" s="12">
        <f ca="1">NORMINV(RAND(),AVERAGE(Assumptions!$D$11,Assumptions!$F$11),(Assumptions!$F$11-Assumptions!$D$11)/3.29)*44</f>
        <v>3029236.5917637274</v>
      </c>
      <c r="K649" s="15">
        <f ca="1">_xlfn.NORM.INV(RAND(),AVERAGE(Assumptions!$D$12,Assumptions!$F$12),(Assumptions!$F$12-Assumptions!$D$12)/3.29)*44</f>
        <v>8650199.509323528</v>
      </c>
      <c r="L649" s="3">
        <f ca="1">_xlfn.NORM.INV(RAND(),AVERAGE(Assumptions!$D$13,Assumptions!$F$13),(Assumptions!$F$13-Assumptions!$D$13)/3.29)*44</f>
        <v>11152331.957511108</v>
      </c>
      <c r="M649" s="6">
        <f ca="1">_xlfn.NORM.INV(RAND(),AVERAGE(Assumptions!$D$14,Assumptions!$F$14),(Assumptions!$F$14-Assumptions!$D$14)/3.29)*44</f>
        <v>6620974.7758812327</v>
      </c>
      <c r="N649" s="9">
        <f ca="1">_xlfn.NORM.INV(RAND(),AVERAGE(Assumptions!$D$16,Assumptions!$F$16),(Assumptions!$F$16-Assumptions!$D$16)/3.29)*44</f>
        <v>17589898.005557548</v>
      </c>
      <c r="O649" s="12">
        <f ca="1">_xlfn.NORM.INV(RAND(),AVERAGE(Assumptions!$D$15,Assumptions!$F$15),(Assumptions!$F$15-Assumptions!$D$15)/3.29)*44</f>
        <v>38234100.5942683</v>
      </c>
      <c r="P649" s="15">
        <f>Assumptions!$D$18</f>
        <v>14641750.345627395</v>
      </c>
      <c r="Q649" s="3">
        <f t="shared" ca="1" si="20"/>
        <v>-27216351.597856037</v>
      </c>
      <c r="R649" s="6">
        <f t="shared" ca="1" si="21"/>
        <v>-12574601.252228642</v>
      </c>
    </row>
    <row r="650" spans="1:18">
      <c r="A650" s="20">
        <v>649</v>
      </c>
      <c r="B650" s="3">
        <f ca="1">_xlfn.NORM.INV(RAND(),AVERAGE(Assumptions!$D$4,Assumptions!$F$4),(Assumptions!$F$4-Assumptions!$D$4)/3.29)*44</f>
        <v>1101823.7752850214</v>
      </c>
      <c r="C650" s="6">
        <f ca="1">_xlfn.NORM.INV(RAND(),AVERAGE(Assumptions!$D$5,Assumptions!$F$5),(Assumptions!$F$5-Assumptions!$D$5)/3.29)*44</f>
        <v>1682043.1449353746</v>
      </c>
      <c r="D650" s="9">
        <f ca="1">_xlfn.NORM.INV(RAND(),AVERAGE(Assumptions!$D$6,Assumptions!$F$6),(Assumptions!$F$6-Assumptions!$D$6)/3.29)*RANDBETWEEN(2,5)</f>
        <v>4240948.6979504358</v>
      </c>
      <c r="E650" s="12">
        <f ca="1">_xlfn.NORM.INV(RAND(),AVERAGE(Assumptions!$D$17,Assumptions!$F$17),(Assumptions!$F$17-Assumptions!$D$17)/3.29)*8</f>
        <v>1047514.5525355863</v>
      </c>
      <c r="F650" s="15">
        <f ca="1">_xlfn.NORM.INV(RAND(),AVERAGE(Assumptions!$D$7,Assumptions!$F$7),(Assumptions!$F$7-Assumptions!$D$7)/3.29)*RANDBETWEEN(1,3)</f>
        <v>4746076.030669733</v>
      </c>
      <c r="G650" s="3">
        <f ca="1">_xlfn.NORM.INV(RAND(),AVERAGE(Assumptions!$D$8,Assumptions!$F$8),(Assumptions!$F$8-Assumptions!$D$8)/3.29)*44</f>
        <v>1270212.4281734962</v>
      </c>
      <c r="H650" s="6">
        <f ca="1">_xlfn.NORM.INV(RAND(),AVERAGE(Assumptions!$D$9,Assumptions!$F$9),(Assumptions!$F$9-Assumptions!$D$9)/3.29)*21</f>
        <v>3275347.1347298305</v>
      </c>
      <c r="I650" s="9">
        <f ca="1">_xlfn.NORM.INV(RAND(),AVERAGE(Assumptions!$D$10,Assumptions!$F$10),(Assumptions!$F$10-Assumptions!$D$10)/3.29)*21</f>
        <v>909346.67931363033</v>
      </c>
      <c r="J650" s="12">
        <f ca="1">NORMINV(RAND(),AVERAGE(Assumptions!$D$11,Assumptions!$F$11),(Assumptions!$F$11-Assumptions!$D$11)/3.29)*44</f>
        <v>1406881.1003241248</v>
      </c>
      <c r="K650" s="15">
        <f ca="1">_xlfn.NORM.INV(RAND(),AVERAGE(Assumptions!$D$12,Assumptions!$F$12),(Assumptions!$F$12-Assumptions!$D$12)/3.29)*44</f>
        <v>7370746.4325042842</v>
      </c>
      <c r="L650" s="3">
        <f ca="1">_xlfn.NORM.INV(RAND(),AVERAGE(Assumptions!$D$13,Assumptions!$F$13),(Assumptions!$F$13-Assumptions!$D$13)/3.29)*44</f>
        <v>21936638.760492519</v>
      </c>
      <c r="M650" s="6">
        <f ca="1">_xlfn.NORM.INV(RAND(),AVERAGE(Assumptions!$D$14,Assumptions!$F$14),(Assumptions!$F$14-Assumptions!$D$14)/3.29)*44</f>
        <v>3201230.70066632</v>
      </c>
      <c r="N650" s="9">
        <f ca="1">_xlfn.NORM.INV(RAND(),AVERAGE(Assumptions!$D$16,Assumptions!$F$16),(Assumptions!$F$16-Assumptions!$D$16)/3.29)*44</f>
        <v>7949232.0634456174</v>
      </c>
      <c r="O650" s="12">
        <f ca="1">_xlfn.NORM.INV(RAND(),AVERAGE(Assumptions!$D$15,Assumptions!$F$15),(Assumptions!$F$15-Assumptions!$D$15)/3.29)*44</f>
        <v>94011037.800167695</v>
      </c>
      <c r="P650" s="15">
        <f>Assumptions!$D$18</f>
        <v>14641750.345627395</v>
      </c>
      <c r="Q650" s="3">
        <f t="shared" ca="1" si="20"/>
        <v>33872996.29914172</v>
      </c>
      <c r="R650" s="6">
        <f t="shared" ca="1" si="21"/>
        <v>48514746.644769117</v>
      </c>
    </row>
    <row r="651" spans="1:18">
      <c r="A651" s="20">
        <v>650</v>
      </c>
      <c r="B651" s="3">
        <f ca="1">_xlfn.NORM.INV(RAND(),AVERAGE(Assumptions!$D$4,Assumptions!$F$4),(Assumptions!$F$4-Assumptions!$D$4)/3.29)*44</f>
        <v>1327802.7644758411</v>
      </c>
      <c r="C651" s="6">
        <f ca="1">_xlfn.NORM.INV(RAND(),AVERAGE(Assumptions!$D$5,Assumptions!$F$5),(Assumptions!$F$5-Assumptions!$D$5)/3.29)*44</f>
        <v>1553912.7893259898</v>
      </c>
      <c r="D651" s="9">
        <f ca="1">_xlfn.NORM.INV(RAND(),AVERAGE(Assumptions!$D$6,Assumptions!$F$6),(Assumptions!$F$6-Assumptions!$D$6)/3.29)*RANDBETWEEN(2,5)</f>
        <v>6445947.3589968514</v>
      </c>
      <c r="E651" s="12">
        <f ca="1">_xlfn.NORM.INV(RAND(),AVERAGE(Assumptions!$D$17,Assumptions!$F$17),(Assumptions!$F$17-Assumptions!$D$17)/3.29)*8</f>
        <v>941029.10147611715</v>
      </c>
      <c r="F651" s="15">
        <f ca="1">_xlfn.NORM.INV(RAND(),AVERAGE(Assumptions!$D$7,Assumptions!$F$7),(Assumptions!$F$7-Assumptions!$D$7)/3.29)*RANDBETWEEN(1,3)</f>
        <v>4874444.3644839535</v>
      </c>
      <c r="G651" s="3">
        <f ca="1">_xlfn.NORM.INV(RAND(),AVERAGE(Assumptions!$D$8,Assumptions!$F$8),(Assumptions!$F$8-Assumptions!$D$8)/3.29)*44</f>
        <v>1278178.6731621795</v>
      </c>
      <c r="H651" s="6">
        <f ca="1">_xlfn.NORM.INV(RAND(),AVERAGE(Assumptions!$D$9,Assumptions!$F$9),(Assumptions!$F$9-Assumptions!$D$9)/3.29)*21</f>
        <v>4881684.94416497</v>
      </c>
      <c r="I651" s="9">
        <f ca="1">_xlfn.NORM.INV(RAND(),AVERAGE(Assumptions!$D$10,Assumptions!$F$10),(Assumptions!$F$10-Assumptions!$D$10)/3.29)*21</f>
        <v>848718.80530067638</v>
      </c>
      <c r="J651" s="12">
        <f ca="1">NORMINV(RAND(),AVERAGE(Assumptions!$D$11,Assumptions!$F$11),(Assumptions!$F$11-Assumptions!$D$11)/3.29)*44</f>
        <v>5127161.0568142291</v>
      </c>
      <c r="K651" s="15">
        <f ca="1">_xlfn.NORM.INV(RAND(),AVERAGE(Assumptions!$D$12,Assumptions!$F$12),(Assumptions!$F$12-Assumptions!$D$12)/3.29)*44</f>
        <v>8860506.8139368892</v>
      </c>
      <c r="L651" s="3">
        <f ca="1">_xlfn.NORM.INV(RAND(),AVERAGE(Assumptions!$D$13,Assumptions!$F$13),(Assumptions!$F$13-Assumptions!$D$13)/3.29)*44</f>
        <v>19851885.286344353</v>
      </c>
      <c r="M651" s="6">
        <f ca="1">_xlfn.NORM.INV(RAND(),AVERAGE(Assumptions!$D$14,Assumptions!$F$14),(Assumptions!$F$14-Assumptions!$D$14)/3.29)*44</f>
        <v>6423644.8001821768</v>
      </c>
      <c r="N651" s="9">
        <f ca="1">_xlfn.NORM.INV(RAND(),AVERAGE(Assumptions!$D$16,Assumptions!$F$16),(Assumptions!$F$16-Assumptions!$D$16)/3.29)*44</f>
        <v>13545315.704589166</v>
      </c>
      <c r="O651" s="12">
        <f ca="1">_xlfn.NORM.INV(RAND(),AVERAGE(Assumptions!$D$15,Assumptions!$F$15),(Assumptions!$F$15-Assumptions!$D$15)/3.29)*44</f>
        <v>77430038.206275672</v>
      </c>
      <c r="P651" s="15">
        <f>Assumptions!$D$18</f>
        <v>14641750.345627395</v>
      </c>
      <c r="Q651" s="3">
        <f t="shared" ca="1" si="20"/>
        <v>1469805.743022278</v>
      </c>
      <c r="R651" s="6">
        <f t="shared" ca="1" si="21"/>
        <v>16111556.088649673</v>
      </c>
    </row>
    <row r="652" spans="1:18">
      <c r="A652" s="20">
        <v>651</v>
      </c>
      <c r="B652" s="3">
        <f ca="1">_xlfn.NORM.INV(RAND(),AVERAGE(Assumptions!$D$4,Assumptions!$F$4),(Assumptions!$F$4-Assumptions!$D$4)/3.29)*44</f>
        <v>1223976.2399399171</v>
      </c>
      <c r="C652" s="6">
        <f ca="1">_xlfn.NORM.INV(RAND(),AVERAGE(Assumptions!$D$5,Assumptions!$F$5),(Assumptions!$F$5-Assumptions!$D$5)/3.29)*44</f>
        <v>1915350.879348686</v>
      </c>
      <c r="D652" s="9">
        <f ca="1">_xlfn.NORM.INV(RAND(),AVERAGE(Assumptions!$D$6,Assumptions!$F$6),(Assumptions!$F$6-Assumptions!$D$6)/3.29)*RANDBETWEEN(2,5)</f>
        <v>1014075.8890830623</v>
      </c>
      <c r="E652" s="12">
        <f ca="1">_xlfn.NORM.INV(RAND(),AVERAGE(Assumptions!$D$17,Assumptions!$F$17),(Assumptions!$F$17-Assumptions!$D$17)/3.29)*8</f>
        <v>733352.18842982699</v>
      </c>
      <c r="F652" s="15">
        <f ca="1">_xlfn.NORM.INV(RAND(),AVERAGE(Assumptions!$D$7,Assumptions!$F$7),(Assumptions!$F$7-Assumptions!$D$7)/3.29)*RANDBETWEEN(1,3)</f>
        <v>2558599.4314585887</v>
      </c>
      <c r="G652" s="3">
        <f ca="1">_xlfn.NORM.INV(RAND(),AVERAGE(Assumptions!$D$8,Assumptions!$F$8),(Assumptions!$F$8-Assumptions!$D$8)/3.29)*44</f>
        <v>1235637.7427935808</v>
      </c>
      <c r="H652" s="6">
        <f ca="1">_xlfn.NORM.INV(RAND(),AVERAGE(Assumptions!$D$9,Assumptions!$F$9),(Assumptions!$F$9-Assumptions!$D$9)/3.29)*21</f>
        <v>5034656.4261479033</v>
      </c>
      <c r="I652" s="9">
        <f ca="1">_xlfn.NORM.INV(RAND(),AVERAGE(Assumptions!$D$10,Assumptions!$F$10),(Assumptions!$F$10-Assumptions!$D$10)/3.29)*21</f>
        <v>555710.76362134959</v>
      </c>
      <c r="J652" s="12">
        <f ca="1">NORMINV(RAND(),AVERAGE(Assumptions!$D$11,Assumptions!$F$11),(Assumptions!$F$11-Assumptions!$D$11)/3.29)*44</f>
        <v>3042795.6831829855</v>
      </c>
      <c r="K652" s="15">
        <f ca="1">_xlfn.NORM.INV(RAND(),AVERAGE(Assumptions!$D$12,Assumptions!$F$12),(Assumptions!$F$12-Assumptions!$D$12)/3.29)*44</f>
        <v>8675207.4702702779</v>
      </c>
      <c r="L652" s="3">
        <f ca="1">_xlfn.NORM.INV(RAND(),AVERAGE(Assumptions!$D$13,Assumptions!$F$13),(Assumptions!$F$13-Assumptions!$D$13)/3.29)*44</f>
        <v>20493035.015137427</v>
      </c>
      <c r="M652" s="6">
        <f ca="1">_xlfn.NORM.INV(RAND(),AVERAGE(Assumptions!$D$14,Assumptions!$F$14),(Assumptions!$F$14-Assumptions!$D$14)/3.29)*44</f>
        <v>6042383.480734149</v>
      </c>
      <c r="N652" s="9">
        <f ca="1">_xlfn.NORM.INV(RAND(),AVERAGE(Assumptions!$D$16,Assumptions!$F$16),(Assumptions!$F$16-Assumptions!$D$16)/3.29)*44</f>
        <v>11543304.005191719</v>
      </c>
      <c r="O652" s="12">
        <f ca="1">_xlfn.NORM.INV(RAND(),AVERAGE(Assumptions!$D$15,Assumptions!$F$15),(Assumptions!$F$15-Assumptions!$D$15)/3.29)*44</f>
        <v>110818332.71252188</v>
      </c>
      <c r="P652" s="15">
        <f>Assumptions!$D$18</f>
        <v>14641750.345627395</v>
      </c>
      <c r="Q652" s="3">
        <f t="shared" ca="1" si="20"/>
        <v>46750247.497182414</v>
      </c>
      <c r="R652" s="6">
        <f t="shared" ca="1" si="21"/>
        <v>61391997.842809811</v>
      </c>
    </row>
    <row r="653" spans="1:18">
      <c r="A653" s="20">
        <v>652</v>
      </c>
      <c r="B653" s="3">
        <f ca="1">_xlfn.NORM.INV(RAND(),AVERAGE(Assumptions!$D$4,Assumptions!$F$4),(Assumptions!$F$4-Assumptions!$D$4)/3.29)*44</f>
        <v>1214100.0563521264</v>
      </c>
      <c r="C653" s="6">
        <f ca="1">_xlfn.NORM.INV(RAND(),AVERAGE(Assumptions!$D$5,Assumptions!$F$5),(Assumptions!$F$5-Assumptions!$D$5)/3.29)*44</f>
        <v>1780177.776207309</v>
      </c>
      <c r="D653" s="9">
        <f ca="1">_xlfn.NORM.INV(RAND(),AVERAGE(Assumptions!$D$6,Assumptions!$F$6),(Assumptions!$F$6-Assumptions!$D$6)/3.29)*RANDBETWEEN(2,5)</f>
        <v>5833094.3751064269</v>
      </c>
      <c r="E653" s="12">
        <f ca="1">_xlfn.NORM.INV(RAND(),AVERAGE(Assumptions!$D$17,Assumptions!$F$17),(Assumptions!$F$17-Assumptions!$D$17)/3.29)*8</f>
        <v>889856.5640863243</v>
      </c>
      <c r="F653" s="15">
        <f ca="1">_xlfn.NORM.INV(RAND(),AVERAGE(Assumptions!$D$7,Assumptions!$F$7),(Assumptions!$F$7-Assumptions!$D$7)/3.29)*RANDBETWEEN(1,3)</f>
        <v>6850829.9439211478</v>
      </c>
      <c r="G653" s="3">
        <f ca="1">_xlfn.NORM.INV(RAND(),AVERAGE(Assumptions!$D$8,Assumptions!$F$8),(Assumptions!$F$8-Assumptions!$D$8)/3.29)*44</f>
        <v>1402115.6954755548</v>
      </c>
      <c r="H653" s="6">
        <f ca="1">_xlfn.NORM.INV(RAND(),AVERAGE(Assumptions!$D$9,Assumptions!$F$9),(Assumptions!$F$9-Assumptions!$D$9)/3.29)*21</f>
        <v>4813226.9854544541</v>
      </c>
      <c r="I653" s="9">
        <f ca="1">_xlfn.NORM.INV(RAND(),AVERAGE(Assumptions!$D$10,Assumptions!$F$10),(Assumptions!$F$10-Assumptions!$D$10)/3.29)*21</f>
        <v>1144701.6456413413</v>
      </c>
      <c r="J653" s="12">
        <f ca="1">NORMINV(RAND(),AVERAGE(Assumptions!$D$11,Assumptions!$F$11),(Assumptions!$F$11-Assumptions!$D$11)/3.29)*44</f>
        <v>3940156.5051647411</v>
      </c>
      <c r="K653" s="15">
        <f ca="1">_xlfn.NORM.INV(RAND(),AVERAGE(Assumptions!$D$12,Assumptions!$F$12),(Assumptions!$F$12-Assumptions!$D$12)/3.29)*44</f>
        <v>9588470.6950190794</v>
      </c>
      <c r="L653" s="3">
        <f ca="1">_xlfn.NORM.INV(RAND(),AVERAGE(Assumptions!$D$13,Assumptions!$F$13),(Assumptions!$F$13-Assumptions!$D$13)/3.29)*44</f>
        <v>16836591.390766393</v>
      </c>
      <c r="M653" s="6">
        <f ca="1">_xlfn.NORM.INV(RAND(),AVERAGE(Assumptions!$D$14,Assumptions!$F$14),(Assumptions!$F$14-Assumptions!$D$14)/3.29)*44</f>
        <v>6619847.9088108987</v>
      </c>
      <c r="N653" s="9">
        <f ca="1">_xlfn.NORM.INV(RAND(),AVERAGE(Assumptions!$D$16,Assumptions!$F$16),(Assumptions!$F$16-Assumptions!$D$16)/3.29)*44</f>
        <v>11268968.309239311</v>
      </c>
      <c r="O653" s="12">
        <f ca="1">_xlfn.NORM.INV(RAND(),AVERAGE(Assumptions!$D$15,Assumptions!$F$15),(Assumptions!$F$15-Assumptions!$D$15)/3.29)*44</f>
        <v>100691071.75935794</v>
      </c>
      <c r="P653" s="15">
        <f>Assumptions!$D$18</f>
        <v>14641750.345627395</v>
      </c>
      <c r="Q653" s="3">
        <f t="shared" ca="1" si="20"/>
        <v>28508933.908112839</v>
      </c>
      <c r="R653" s="6">
        <f t="shared" ca="1" si="21"/>
        <v>43150684.253740236</v>
      </c>
    </row>
    <row r="654" spans="1:18">
      <c r="A654" s="20">
        <v>653</v>
      </c>
      <c r="B654" s="3">
        <f ca="1">_xlfn.NORM.INV(RAND(),AVERAGE(Assumptions!$D$4,Assumptions!$F$4),(Assumptions!$F$4-Assumptions!$D$4)/3.29)*44</f>
        <v>1232200.3213064601</v>
      </c>
      <c r="C654" s="6">
        <f ca="1">_xlfn.NORM.INV(RAND(),AVERAGE(Assumptions!$D$5,Assumptions!$F$5),(Assumptions!$F$5-Assumptions!$D$5)/3.29)*44</f>
        <v>1869666.5252475084</v>
      </c>
      <c r="D654" s="9">
        <f ca="1">_xlfn.NORM.INV(RAND(),AVERAGE(Assumptions!$D$6,Assumptions!$F$6),(Assumptions!$F$6-Assumptions!$D$6)/3.29)*RANDBETWEEN(2,5)</f>
        <v>1933351.1559783034</v>
      </c>
      <c r="E654" s="12">
        <f ca="1">_xlfn.NORM.INV(RAND(),AVERAGE(Assumptions!$D$17,Assumptions!$F$17),(Assumptions!$F$17-Assumptions!$D$17)/3.29)*8</f>
        <v>1047476.141434968</v>
      </c>
      <c r="F654" s="15">
        <f ca="1">_xlfn.NORM.INV(RAND(),AVERAGE(Assumptions!$D$7,Assumptions!$F$7),(Assumptions!$F$7-Assumptions!$D$7)/3.29)*RANDBETWEEN(1,3)</f>
        <v>7815857.2349165343</v>
      </c>
      <c r="G654" s="3">
        <f ca="1">_xlfn.NORM.INV(RAND(),AVERAGE(Assumptions!$D$8,Assumptions!$F$8),(Assumptions!$F$8-Assumptions!$D$8)/3.29)*44</f>
        <v>1363468.80192573</v>
      </c>
      <c r="H654" s="6">
        <f ca="1">_xlfn.NORM.INV(RAND(),AVERAGE(Assumptions!$D$9,Assumptions!$F$9),(Assumptions!$F$9-Assumptions!$D$9)/3.29)*21</f>
        <v>4955264.8299433542</v>
      </c>
      <c r="I654" s="9">
        <f ca="1">_xlfn.NORM.INV(RAND(),AVERAGE(Assumptions!$D$10,Assumptions!$F$10),(Assumptions!$F$10-Assumptions!$D$10)/3.29)*21</f>
        <v>947198.29961365019</v>
      </c>
      <c r="J654" s="12">
        <f ca="1">NORMINV(RAND(),AVERAGE(Assumptions!$D$11,Assumptions!$F$11),(Assumptions!$F$11-Assumptions!$D$11)/3.29)*44</f>
        <v>3537587.0355070652</v>
      </c>
      <c r="K654" s="15">
        <f ca="1">_xlfn.NORM.INV(RAND(),AVERAGE(Assumptions!$D$12,Assumptions!$F$12),(Assumptions!$F$12-Assumptions!$D$12)/3.29)*44</f>
        <v>7180640.414448292</v>
      </c>
      <c r="L654" s="3">
        <f ca="1">_xlfn.NORM.INV(RAND(),AVERAGE(Assumptions!$D$13,Assumptions!$F$13),(Assumptions!$F$13-Assumptions!$D$13)/3.29)*44</f>
        <v>12377826.157811213</v>
      </c>
      <c r="M654" s="6">
        <f ca="1">_xlfn.NORM.INV(RAND(),AVERAGE(Assumptions!$D$14,Assumptions!$F$14),(Assumptions!$F$14-Assumptions!$D$14)/3.29)*44</f>
        <v>6988258.7577105593</v>
      </c>
      <c r="N654" s="9">
        <f ca="1">_xlfn.NORM.INV(RAND(),AVERAGE(Assumptions!$D$16,Assumptions!$F$16),(Assumptions!$F$16-Assumptions!$D$16)/3.29)*44</f>
        <v>5256595.3027045345</v>
      </c>
      <c r="O654" s="12">
        <f ca="1">_xlfn.NORM.INV(RAND(),AVERAGE(Assumptions!$D$15,Assumptions!$F$15),(Assumptions!$F$15-Assumptions!$D$15)/3.29)*44</f>
        <v>102479162.53760885</v>
      </c>
      <c r="P654" s="15">
        <f>Assumptions!$D$18</f>
        <v>14641750.345627395</v>
      </c>
      <c r="Q654" s="3">
        <f t="shared" ca="1" si="20"/>
        <v>45973771.55906067</v>
      </c>
      <c r="R654" s="6">
        <f t="shared" ca="1" si="21"/>
        <v>60615521.904688068</v>
      </c>
    </row>
    <row r="655" spans="1:18">
      <c r="A655" s="20">
        <v>654</v>
      </c>
      <c r="B655" s="3">
        <f ca="1">_xlfn.NORM.INV(RAND(),AVERAGE(Assumptions!$D$4,Assumptions!$F$4),(Assumptions!$F$4-Assumptions!$D$4)/3.29)*44</f>
        <v>1121128.7460643323</v>
      </c>
      <c r="C655" s="6">
        <f ca="1">_xlfn.NORM.INV(RAND(),AVERAGE(Assumptions!$D$5,Assumptions!$F$5),(Assumptions!$F$5-Assumptions!$D$5)/3.29)*44</f>
        <v>1823652.5117303203</v>
      </c>
      <c r="D655" s="9">
        <f ca="1">_xlfn.NORM.INV(RAND(),AVERAGE(Assumptions!$D$6,Assumptions!$F$6),(Assumptions!$F$6-Assumptions!$D$6)/3.29)*RANDBETWEEN(2,5)</f>
        <v>6324330.6648162995</v>
      </c>
      <c r="E655" s="12">
        <f ca="1">_xlfn.NORM.INV(RAND(),AVERAGE(Assumptions!$D$17,Assumptions!$F$17),(Assumptions!$F$17-Assumptions!$D$17)/3.29)*8</f>
        <v>1247513.0338967466</v>
      </c>
      <c r="F655" s="15">
        <f ca="1">_xlfn.NORM.INV(RAND(),AVERAGE(Assumptions!$D$7,Assumptions!$F$7),(Assumptions!$F$7-Assumptions!$D$7)/3.29)*RANDBETWEEN(1,3)</f>
        <v>6470488.4637577357</v>
      </c>
      <c r="G655" s="3">
        <f ca="1">_xlfn.NORM.INV(RAND(),AVERAGE(Assumptions!$D$8,Assumptions!$F$8),(Assumptions!$F$8-Assumptions!$D$8)/3.29)*44</f>
        <v>1475986.8274092921</v>
      </c>
      <c r="H655" s="6">
        <f ca="1">_xlfn.NORM.INV(RAND(),AVERAGE(Assumptions!$D$9,Assumptions!$F$9),(Assumptions!$F$9-Assumptions!$D$9)/3.29)*21</f>
        <v>3581856.9718323601</v>
      </c>
      <c r="I655" s="9">
        <f ca="1">_xlfn.NORM.INV(RAND(),AVERAGE(Assumptions!$D$10,Assumptions!$F$10),(Assumptions!$F$10-Assumptions!$D$10)/3.29)*21</f>
        <v>856016.63110970787</v>
      </c>
      <c r="J655" s="12">
        <f ca="1">NORMINV(RAND(),AVERAGE(Assumptions!$D$11,Assumptions!$F$11),(Assumptions!$F$11-Assumptions!$D$11)/3.29)*44</f>
        <v>4691699.3778751325</v>
      </c>
      <c r="K655" s="15">
        <f ca="1">_xlfn.NORM.INV(RAND(),AVERAGE(Assumptions!$D$12,Assumptions!$F$12),(Assumptions!$F$12-Assumptions!$D$12)/3.29)*44</f>
        <v>11650843.722149419</v>
      </c>
      <c r="L655" s="3">
        <f ca="1">_xlfn.NORM.INV(RAND(),AVERAGE(Assumptions!$D$13,Assumptions!$F$13),(Assumptions!$F$13-Assumptions!$D$13)/3.29)*44</f>
        <v>14528193.199308043</v>
      </c>
      <c r="M655" s="6">
        <f ca="1">_xlfn.NORM.INV(RAND(),AVERAGE(Assumptions!$D$14,Assumptions!$F$14),(Assumptions!$F$14-Assumptions!$D$14)/3.29)*44</f>
        <v>5805548.4421835262</v>
      </c>
      <c r="N655" s="9">
        <f ca="1">_xlfn.NORM.INV(RAND(),AVERAGE(Assumptions!$D$16,Assumptions!$F$16),(Assumptions!$F$16-Assumptions!$D$16)/3.29)*44</f>
        <v>9160824.0255161431</v>
      </c>
      <c r="O655" s="12">
        <f ca="1">_xlfn.NORM.INV(RAND(),AVERAGE(Assumptions!$D$15,Assumptions!$F$15),(Assumptions!$F$15-Assumptions!$D$15)/3.29)*44</f>
        <v>60918498.885134064</v>
      </c>
      <c r="P655" s="15">
        <f>Assumptions!$D$18</f>
        <v>14641750.345627395</v>
      </c>
      <c r="Q655" s="3">
        <f t="shared" ca="1" si="20"/>
        <v>-7819583.7325149849</v>
      </c>
      <c r="R655" s="6">
        <f t="shared" ca="1" si="21"/>
        <v>6822166.6131124105</v>
      </c>
    </row>
    <row r="656" spans="1:18">
      <c r="A656" s="20">
        <v>655</v>
      </c>
      <c r="B656" s="3">
        <f ca="1">_xlfn.NORM.INV(RAND(),AVERAGE(Assumptions!$D$4,Assumptions!$F$4),(Assumptions!$F$4-Assumptions!$D$4)/3.29)*44</f>
        <v>1196572.0498683022</v>
      </c>
      <c r="C656" s="6">
        <f ca="1">_xlfn.NORM.INV(RAND(),AVERAGE(Assumptions!$D$5,Assumptions!$F$5),(Assumptions!$F$5-Assumptions!$D$5)/3.29)*44</f>
        <v>1805778.9368550812</v>
      </c>
      <c r="D656" s="9">
        <f ca="1">_xlfn.NORM.INV(RAND(),AVERAGE(Assumptions!$D$6,Assumptions!$F$6),(Assumptions!$F$6-Assumptions!$D$6)/3.29)*RANDBETWEEN(2,5)</f>
        <v>1931164.8790616584</v>
      </c>
      <c r="E656" s="12">
        <f ca="1">_xlfn.NORM.INV(RAND(),AVERAGE(Assumptions!$D$17,Assumptions!$F$17),(Assumptions!$F$17-Assumptions!$D$17)/3.29)*8</f>
        <v>979932.10612904455</v>
      </c>
      <c r="F656" s="15">
        <f ca="1">_xlfn.NORM.INV(RAND(),AVERAGE(Assumptions!$D$7,Assumptions!$F$7),(Assumptions!$F$7-Assumptions!$D$7)/3.29)*RANDBETWEEN(1,3)</f>
        <v>6297896.7183737224</v>
      </c>
      <c r="G656" s="3">
        <f ca="1">_xlfn.NORM.INV(RAND(),AVERAGE(Assumptions!$D$8,Assumptions!$F$8),(Assumptions!$F$8-Assumptions!$D$8)/3.29)*44</f>
        <v>941875.89313492412</v>
      </c>
      <c r="H656" s="6">
        <f ca="1">_xlfn.NORM.INV(RAND(),AVERAGE(Assumptions!$D$9,Assumptions!$F$9),(Assumptions!$F$9-Assumptions!$D$9)/3.29)*21</f>
        <v>4956701.8900536997</v>
      </c>
      <c r="I656" s="9">
        <f ca="1">_xlfn.NORM.INV(RAND(),AVERAGE(Assumptions!$D$10,Assumptions!$F$10),(Assumptions!$F$10-Assumptions!$D$10)/3.29)*21</f>
        <v>327534.21490036382</v>
      </c>
      <c r="J656" s="12">
        <f ca="1">NORMINV(RAND(),AVERAGE(Assumptions!$D$11,Assumptions!$F$11),(Assumptions!$F$11-Assumptions!$D$11)/3.29)*44</f>
        <v>3040745.33311023</v>
      </c>
      <c r="K656" s="15">
        <f ca="1">_xlfn.NORM.INV(RAND(),AVERAGE(Assumptions!$D$12,Assumptions!$F$12),(Assumptions!$F$12-Assumptions!$D$12)/3.29)*44</f>
        <v>7276318.5850600125</v>
      </c>
      <c r="L656" s="3">
        <f ca="1">_xlfn.NORM.INV(RAND(),AVERAGE(Assumptions!$D$13,Assumptions!$F$13),(Assumptions!$F$13-Assumptions!$D$13)/3.29)*44</f>
        <v>18490337.706505846</v>
      </c>
      <c r="M656" s="6">
        <f ca="1">_xlfn.NORM.INV(RAND(),AVERAGE(Assumptions!$D$14,Assumptions!$F$14),(Assumptions!$F$14-Assumptions!$D$14)/3.29)*44</f>
        <v>3774069.0697781723</v>
      </c>
      <c r="N656" s="9">
        <f ca="1">_xlfn.NORM.INV(RAND(),AVERAGE(Assumptions!$D$16,Assumptions!$F$16),(Assumptions!$F$16-Assumptions!$D$16)/3.29)*44</f>
        <v>891708.53958480246</v>
      </c>
      <c r="O656" s="12">
        <f ca="1">_xlfn.NORM.INV(RAND(),AVERAGE(Assumptions!$D$15,Assumptions!$F$15),(Assumptions!$F$15-Assumptions!$D$15)/3.29)*44</f>
        <v>134878173.78654081</v>
      </c>
      <c r="P656" s="15">
        <f>Assumptions!$D$18</f>
        <v>14641750.345627395</v>
      </c>
      <c r="Q656" s="3">
        <f t="shared" ca="1" si="20"/>
        <v>82967537.864124954</v>
      </c>
      <c r="R656" s="6">
        <f t="shared" ca="1" si="21"/>
        <v>97609288.209752351</v>
      </c>
    </row>
    <row r="657" spans="1:18">
      <c r="A657" s="20">
        <v>656</v>
      </c>
      <c r="B657" s="3">
        <f ca="1">_xlfn.NORM.INV(RAND(),AVERAGE(Assumptions!$D$4,Assumptions!$F$4),(Assumptions!$F$4-Assumptions!$D$4)/3.29)*44</f>
        <v>1277953.6767635657</v>
      </c>
      <c r="C657" s="6">
        <f ca="1">_xlfn.NORM.INV(RAND(),AVERAGE(Assumptions!$D$5,Assumptions!$F$5),(Assumptions!$F$5-Assumptions!$D$5)/3.29)*44</f>
        <v>2058179.2972889147</v>
      </c>
      <c r="D657" s="9">
        <f ca="1">_xlfn.NORM.INV(RAND(),AVERAGE(Assumptions!$D$6,Assumptions!$F$6),(Assumptions!$F$6-Assumptions!$D$6)/3.29)*RANDBETWEEN(2,5)</f>
        <v>2806221.7749022143</v>
      </c>
      <c r="E657" s="12">
        <f ca="1">_xlfn.NORM.INV(RAND(),AVERAGE(Assumptions!$D$17,Assumptions!$F$17),(Assumptions!$F$17-Assumptions!$D$17)/3.29)*8</f>
        <v>834454.36908096774</v>
      </c>
      <c r="F657" s="15">
        <f ca="1">_xlfn.NORM.INV(RAND(),AVERAGE(Assumptions!$D$7,Assumptions!$F$7),(Assumptions!$F$7-Assumptions!$D$7)/3.29)*RANDBETWEEN(1,3)</f>
        <v>5490877.52042027</v>
      </c>
      <c r="G657" s="3">
        <f ca="1">_xlfn.NORM.INV(RAND(),AVERAGE(Assumptions!$D$8,Assumptions!$F$8),(Assumptions!$F$8-Assumptions!$D$8)/3.29)*44</f>
        <v>1147435.7188361054</v>
      </c>
      <c r="H657" s="6">
        <f ca="1">_xlfn.NORM.INV(RAND(),AVERAGE(Assumptions!$D$9,Assumptions!$F$9),(Assumptions!$F$9-Assumptions!$D$9)/3.29)*21</f>
        <v>5086071.2639137302</v>
      </c>
      <c r="I657" s="9">
        <f ca="1">_xlfn.NORM.INV(RAND(),AVERAGE(Assumptions!$D$10,Assumptions!$F$10),(Assumptions!$F$10-Assumptions!$D$10)/3.29)*21</f>
        <v>974374.17373866262</v>
      </c>
      <c r="J657" s="12">
        <f ca="1">NORMINV(RAND(),AVERAGE(Assumptions!$D$11,Assumptions!$F$11),(Assumptions!$F$11-Assumptions!$D$11)/3.29)*44</f>
        <v>5639022.7883391492</v>
      </c>
      <c r="K657" s="15">
        <f ca="1">_xlfn.NORM.INV(RAND(),AVERAGE(Assumptions!$D$12,Assumptions!$F$12),(Assumptions!$F$12-Assumptions!$D$12)/3.29)*44</f>
        <v>11282972.407991383</v>
      </c>
      <c r="L657" s="3">
        <f ca="1">_xlfn.NORM.INV(RAND(),AVERAGE(Assumptions!$D$13,Assumptions!$F$13),(Assumptions!$F$13-Assumptions!$D$13)/3.29)*44</f>
        <v>15360054.190060996</v>
      </c>
      <c r="M657" s="6">
        <f ca="1">_xlfn.NORM.INV(RAND(),AVERAGE(Assumptions!$D$14,Assumptions!$F$14),(Assumptions!$F$14-Assumptions!$D$14)/3.29)*44</f>
        <v>4710726.7675801739</v>
      </c>
      <c r="N657" s="9">
        <f ca="1">_xlfn.NORM.INV(RAND(),AVERAGE(Assumptions!$D$16,Assumptions!$F$16),(Assumptions!$F$16-Assumptions!$D$16)/3.29)*44</f>
        <v>10283928.03102879</v>
      </c>
      <c r="O657" s="12">
        <f ca="1">_xlfn.NORM.INV(RAND(),AVERAGE(Assumptions!$D$15,Assumptions!$F$15),(Assumptions!$F$15-Assumptions!$D$15)/3.29)*44</f>
        <v>121526938.80679175</v>
      </c>
      <c r="P657" s="15">
        <f>Assumptions!$D$18</f>
        <v>14641750.345627395</v>
      </c>
      <c r="Q657" s="3">
        <f t="shared" ca="1" si="20"/>
        <v>54574666.826846831</v>
      </c>
      <c r="R657" s="6">
        <f t="shared" ca="1" si="21"/>
        <v>69216417.17247422</v>
      </c>
    </row>
    <row r="658" spans="1:18">
      <c r="A658" s="20">
        <v>657</v>
      </c>
      <c r="B658" s="3">
        <f ca="1">_xlfn.NORM.INV(RAND(),AVERAGE(Assumptions!$D$4,Assumptions!$F$4),(Assumptions!$F$4-Assumptions!$D$4)/3.29)*44</f>
        <v>1180330.3645405318</v>
      </c>
      <c r="C658" s="6">
        <f ca="1">_xlfn.NORM.INV(RAND(),AVERAGE(Assumptions!$D$5,Assumptions!$F$5),(Assumptions!$F$5-Assumptions!$D$5)/3.29)*44</f>
        <v>1890420.3904076477</v>
      </c>
      <c r="D658" s="9">
        <f ca="1">_xlfn.NORM.INV(RAND(),AVERAGE(Assumptions!$D$6,Assumptions!$F$6),(Assumptions!$F$6-Assumptions!$D$6)/3.29)*RANDBETWEEN(2,5)</f>
        <v>4860761.6448605927</v>
      </c>
      <c r="E658" s="12">
        <f ca="1">_xlfn.NORM.INV(RAND(),AVERAGE(Assumptions!$D$17,Assumptions!$F$17),(Assumptions!$F$17-Assumptions!$D$17)/3.29)*8</f>
        <v>1012883.2858502596</v>
      </c>
      <c r="F658" s="15">
        <f ca="1">_xlfn.NORM.INV(RAND(),AVERAGE(Assumptions!$D$7,Assumptions!$F$7),(Assumptions!$F$7-Assumptions!$D$7)/3.29)*RANDBETWEEN(1,3)</f>
        <v>2603374.431366778</v>
      </c>
      <c r="G658" s="3">
        <f ca="1">_xlfn.NORM.INV(RAND(),AVERAGE(Assumptions!$D$8,Assumptions!$F$8),(Assumptions!$F$8-Assumptions!$D$8)/3.29)*44</f>
        <v>1312318.6182471626</v>
      </c>
      <c r="H658" s="6">
        <f ca="1">_xlfn.NORM.INV(RAND(),AVERAGE(Assumptions!$D$9,Assumptions!$F$9),(Assumptions!$F$9-Assumptions!$D$9)/3.29)*21</f>
        <v>3028008.0213847272</v>
      </c>
      <c r="I658" s="9">
        <f ca="1">_xlfn.NORM.INV(RAND(),AVERAGE(Assumptions!$D$10,Assumptions!$F$10),(Assumptions!$F$10-Assumptions!$D$10)/3.29)*21</f>
        <v>1120775.2464393741</v>
      </c>
      <c r="J658" s="12">
        <f ca="1">NORMINV(RAND(),AVERAGE(Assumptions!$D$11,Assumptions!$F$11),(Assumptions!$F$11-Assumptions!$D$11)/3.29)*44</f>
        <v>5201888.9391583931</v>
      </c>
      <c r="K658" s="15">
        <f ca="1">_xlfn.NORM.INV(RAND(),AVERAGE(Assumptions!$D$12,Assumptions!$F$12),(Assumptions!$F$12-Assumptions!$D$12)/3.29)*44</f>
        <v>6140106.9868449569</v>
      </c>
      <c r="L658" s="3">
        <f ca="1">_xlfn.NORM.INV(RAND(),AVERAGE(Assumptions!$D$13,Assumptions!$F$13),(Assumptions!$F$13-Assumptions!$D$13)/3.29)*44</f>
        <v>7968534.0570232132</v>
      </c>
      <c r="M658" s="6">
        <f ca="1">_xlfn.NORM.INV(RAND(),AVERAGE(Assumptions!$D$14,Assumptions!$F$14),(Assumptions!$F$14-Assumptions!$D$14)/3.29)*44</f>
        <v>5160334.6610862594</v>
      </c>
      <c r="N658" s="9">
        <f ca="1">_xlfn.NORM.INV(RAND(),AVERAGE(Assumptions!$D$16,Assumptions!$F$16),(Assumptions!$F$16-Assumptions!$D$16)/3.29)*44</f>
        <v>9526187.1948472485</v>
      </c>
      <c r="O658" s="12">
        <f ca="1">_xlfn.NORM.INV(RAND(),AVERAGE(Assumptions!$D$15,Assumptions!$F$15),(Assumptions!$F$15-Assumptions!$D$15)/3.29)*44</f>
        <v>88691329.699447751</v>
      </c>
      <c r="P658" s="15">
        <f>Assumptions!$D$18</f>
        <v>14641750.345627395</v>
      </c>
      <c r="Q658" s="3">
        <f t="shared" ca="1" si="20"/>
        <v>37685405.857390605</v>
      </c>
      <c r="R658" s="6">
        <f t="shared" ca="1" si="21"/>
        <v>52327156.203018002</v>
      </c>
    </row>
    <row r="659" spans="1:18">
      <c r="A659" s="20">
        <v>658</v>
      </c>
      <c r="B659" s="3">
        <f ca="1">_xlfn.NORM.INV(RAND(),AVERAGE(Assumptions!$D$4,Assumptions!$F$4),(Assumptions!$F$4-Assumptions!$D$4)/3.29)*44</f>
        <v>1309522.7026485174</v>
      </c>
      <c r="C659" s="6">
        <f ca="1">_xlfn.NORM.INV(RAND(),AVERAGE(Assumptions!$D$5,Assumptions!$F$5),(Assumptions!$F$5-Assumptions!$D$5)/3.29)*44</f>
        <v>1889896.1519650731</v>
      </c>
      <c r="D659" s="9">
        <f ca="1">_xlfn.NORM.INV(RAND(),AVERAGE(Assumptions!$D$6,Assumptions!$F$6),(Assumptions!$F$6-Assumptions!$D$6)/3.29)*RANDBETWEEN(2,5)</f>
        <v>4251514.5252813995</v>
      </c>
      <c r="E659" s="12">
        <f ca="1">_xlfn.NORM.INV(RAND(),AVERAGE(Assumptions!$D$17,Assumptions!$F$17),(Assumptions!$F$17-Assumptions!$D$17)/3.29)*8</f>
        <v>871379.81950156868</v>
      </c>
      <c r="F659" s="15">
        <f ca="1">_xlfn.NORM.INV(RAND(),AVERAGE(Assumptions!$D$7,Assumptions!$F$7),(Assumptions!$F$7-Assumptions!$D$7)/3.29)*RANDBETWEEN(1,3)</f>
        <v>5377897.8081899751</v>
      </c>
      <c r="G659" s="3">
        <f ca="1">_xlfn.NORM.INV(RAND(),AVERAGE(Assumptions!$D$8,Assumptions!$F$8),(Assumptions!$F$8-Assumptions!$D$8)/3.29)*44</f>
        <v>1146068.2320375461</v>
      </c>
      <c r="H659" s="6">
        <f ca="1">_xlfn.NORM.INV(RAND(),AVERAGE(Assumptions!$D$9,Assumptions!$F$9),(Assumptions!$F$9-Assumptions!$D$9)/3.29)*21</f>
        <v>1203650.0702466953</v>
      </c>
      <c r="I659" s="9">
        <f ca="1">_xlfn.NORM.INV(RAND(),AVERAGE(Assumptions!$D$10,Assumptions!$F$10),(Assumptions!$F$10-Assumptions!$D$10)/3.29)*21</f>
        <v>884953.21143694071</v>
      </c>
      <c r="J659" s="12">
        <f ca="1">NORMINV(RAND(),AVERAGE(Assumptions!$D$11,Assumptions!$F$11),(Assumptions!$F$11-Assumptions!$D$11)/3.29)*44</f>
        <v>1151791.1765104891</v>
      </c>
      <c r="K659" s="15">
        <f ca="1">_xlfn.NORM.INV(RAND(),AVERAGE(Assumptions!$D$12,Assumptions!$F$12),(Assumptions!$F$12-Assumptions!$D$12)/3.29)*44</f>
        <v>9303485.9753096122</v>
      </c>
      <c r="L659" s="3">
        <f ca="1">_xlfn.NORM.INV(RAND(),AVERAGE(Assumptions!$D$13,Assumptions!$F$13),(Assumptions!$F$13-Assumptions!$D$13)/3.29)*44</f>
        <v>12744819.441007586</v>
      </c>
      <c r="M659" s="6">
        <f ca="1">_xlfn.NORM.INV(RAND(),AVERAGE(Assumptions!$D$14,Assumptions!$F$14),(Assumptions!$F$14-Assumptions!$D$14)/3.29)*44</f>
        <v>5370856.2287133038</v>
      </c>
      <c r="N659" s="9">
        <f ca="1">_xlfn.NORM.INV(RAND(),AVERAGE(Assumptions!$D$16,Assumptions!$F$16),(Assumptions!$F$16-Assumptions!$D$16)/3.29)*44</f>
        <v>7705625.1684055431</v>
      </c>
      <c r="O659" s="12">
        <f ca="1">_xlfn.NORM.INV(RAND(),AVERAGE(Assumptions!$D$15,Assumptions!$F$15),(Assumptions!$F$15-Assumptions!$D$15)/3.29)*44</f>
        <v>135026031.08907464</v>
      </c>
      <c r="P659" s="15">
        <f>Assumptions!$D$18</f>
        <v>14641750.345627395</v>
      </c>
      <c r="Q659" s="3">
        <f t="shared" ca="1" si="20"/>
        <v>81814570.57782039</v>
      </c>
      <c r="R659" s="6">
        <f t="shared" ca="1" si="21"/>
        <v>96456320.923447788</v>
      </c>
    </row>
    <row r="660" spans="1:18">
      <c r="A660" s="20">
        <v>659</v>
      </c>
      <c r="B660" s="3">
        <f ca="1">_xlfn.NORM.INV(RAND(),AVERAGE(Assumptions!$D$4,Assumptions!$F$4),(Assumptions!$F$4-Assumptions!$D$4)/3.29)*44</f>
        <v>1161231.6359802769</v>
      </c>
      <c r="C660" s="6">
        <f ca="1">_xlfn.NORM.INV(RAND(),AVERAGE(Assumptions!$D$5,Assumptions!$F$5),(Assumptions!$F$5-Assumptions!$D$5)/3.29)*44</f>
        <v>1954192.5175535635</v>
      </c>
      <c r="D660" s="9">
        <f ca="1">_xlfn.NORM.INV(RAND(),AVERAGE(Assumptions!$D$6,Assumptions!$F$6),(Assumptions!$F$6-Assumptions!$D$6)/3.29)*RANDBETWEEN(2,5)</f>
        <v>4804992.969092763</v>
      </c>
      <c r="E660" s="12">
        <f ca="1">_xlfn.NORM.INV(RAND(),AVERAGE(Assumptions!$D$17,Assumptions!$F$17),(Assumptions!$F$17-Assumptions!$D$17)/3.29)*8</f>
        <v>979932.22305229481</v>
      </c>
      <c r="F660" s="15">
        <f ca="1">_xlfn.NORM.INV(RAND(),AVERAGE(Assumptions!$D$7,Assumptions!$F$7),(Assumptions!$F$7-Assumptions!$D$7)/3.29)*RANDBETWEEN(1,3)</f>
        <v>7478015.3948521595</v>
      </c>
      <c r="G660" s="3">
        <f ca="1">_xlfn.NORM.INV(RAND(),AVERAGE(Assumptions!$D$8,Assumptions!$F$8),(Assumptions!$F$8-Assumptions!$D$8)/3.29)*44</f>
        <v>1253103.2213582075</v>
      </c>
      <c r="H660" s="6">
        <f ca="1">_xlfn.NORM.INV(RAND(),AVERAGE(Assumptions!$D$9,Assumptions!$F$9),(Assumptions!$F$9-Assumptions!$D$9)/3.29)*21</f>
        <v>3716657.5470306515</v>
      </c>
      <c r="I660" s="9">
        <f ca="1">_xlfn.NORM.INV(RAND(),AVERAGE(Assumptions!$D$10,Assumptions!$F$10),(Assumptions!$F$10-Assumptions!$D$10)/3.29)*21</f>
        <v>809205.86383625958</v>
      </c>
      <c r="J660" s="12">
        <f ca="1">NORMINV(RAND(),AVERAGE(Assumptions!$D$11,Assumptions!$F$11),(Assumptions!$F$11-Assumptions!$D$11)/3.29)*44</f>
        <v>3105855.1863029613</v>
      </c>
      <c r="K660" s="15">
        <f ca="1">_xlfn.NORM.INV(RAND(),AVERAGE(Assumptions!$D$12,Assumptions!$F$12),(Assumptions!$F$12-Assumptions!$D$12)/3.29)*44</f>
        <v>8114255.7150781164</v>
      </c>
      <c r="L660" s="3">
        <f ca="1">_xlfn.NORM.INV(RAND(),AVERAGE(Assumptions!$D$13,Assumptions!$F$13),(Assumptions!$F$13-Assumptions!$D$13)/3.29)*44</f>
        <v>15628714.95604795</v>
      </c>
      <c r="M660" s="6">
        <f ca="1">_xlfn.NORM.INV(RAND(),AVERAGE(Assumptions!$D$14,Assumptions!$F$14),(Assumptions!$F$14-Assumptions!$D$14)/3.29)*44</f>
        <v>4971787.5190313477</v>
      </c>
      <c r="N660" s="9">
        <f ca="1">_xlfn.NORM.INV(RAND(),AVERAGE(Assumptions!$D$16,Assumptions!$F$16),(Assumptions!$F$16-Assumptions!$D$16)/3.29)*44</f>
        <v>11411067.983694104</v>
      </c>
      <c r="O660" s="12">
        <f ca="1">_xlfn.NORM.INV(RAND(),AVERAGE(Assumptions!$D$15,Assumptions!$F$15),(Assumptions!$F$15-Assumptions!$D$15)/3.29)*44</f>
        <v>182216016.76701629</v>
      </c>
      <c r="P660" s="15">
        <f>Assumptions!$D$18</f>
        <v>14641750.345627395</v>
      </c>
      <c r="Q660" s="3">
        <f t="shared" ca="1" si="20"/>
        <v>116827004.03410563</v>
      </c>
      <c r="R660" s="6">
        <f t="shared" ca="1" si="21"/>
        <v>131468754.37973303</v>
      </c>
    </row>
    <row r="661" spans="1:18">
      <c r="A661" s="20">
        <v>660</v>
      </c>
      <c r="B661" s="3">
        <f ca="1">_xlfn.NORM.INV(RAND(),AVERAGE(Assumptions!$D$4,Assumptions!$F$4),(Assumptions!$F$4-Assumptions!$D$4)/3.29)*44</f>
        <v>1277962.021401617</v>
      </c>
      <c r="C661" s="6">
        <f ca="1">_xlfn.NORM.INV(RAND(),AVERAGE(Assumptions!$D$5,Assumptions!$F$5),(Assumptions!$F$5-Assumptions!$D$5)/3.29)*44</f>
        <v>2006806.4937841303</v>
      </c>
      <c r="D661" s="9">
        <f ca="1">_xlfn.NORM.INV(RAND(),AVERAGE(Assumptions!$D$6,Assumptions!$F$6),(Assumptions!$F$6-Assumptions!$D$6)/3.29)*RANDBETWEEN(2,5)</f>
        <v>7405394.5388439754</v>
      </c>
      <c r="E661" s="12">
        <f ca="1">_xlfn.NORM.INV(RAND(),AVERAGE(Assumptions!$D$17,Assumptions!$F$17),(Assumptions!$F$17-Assumptions!$D$17)/3.29)*8</f>
        <v>848680.59887306229</v>
      </c>
      <c r="F661" s="15">
        <f ca="1">_xlfn.NORM.INV(RAND(),AVERAGE(Assumptions!$D$7,Assumptions!$F$7),(Assumptions!$F$7-Assumptions!$D$7)/3.29)*RANDBETWEEN(1,3)</f>
        <v>4164992.3696611682</v>
      </c>
      <c r="G661" s="3">
        <f ca="1">_xlfn.NORM.INV(RAND(),AVERAGE(Assumptions!$D$8,Assumptions!$F$8),(Assumptions!$F$8-Assumptions!$D$8)/3.29)*44</f>
        <v>1017602.1957580154</v>
      </c>
      <c r="H661" s="6">
        <f ca="1">_xlfn.NORM.INV(RAND(),AVERAGE(Assumptions!$D$9,Assumptions!$F$9),(Assumptions!$F$9-Assumptions!$D$9)/3.29)*21</f>
        <v>4944775.7860513767</v>
      </c>
      <c r="I661" s="9">
        <f ca="1">_xlfn.NORM.INV(RAND(),AVERAGE(Assumptions!$D$10,Assumptions!$F$10),(Assumptions!$F$10-Assumptions!$D$10)/3.29)*21</f>
        <v>1000694.5716101681</v>
      </c>
      <c r="J661" s="12">
        <f ca="1">NORMINV(RAND(),AVERAGE(Assumptions!$D$11,Assumptions!$F$11),(Assumptions!$F$11-Assumptions!$D$11)/3.29)*44</f>
        <v>4144058.8322727811</v>
      </c>
      <c r="K661" s="15">
        <f ca="1">_xlfn.NORM.INV(RAND(),AVERAGE(Assumptions!$D$12,Assumptions!$F$12),(Assumptions!$F$12-Assumptions!$D$12)/3.29)*44</f>
        <v>4377786.8985025175</v>
      </c>
      <c r="L661" s="3">
        <f ca="1">_xlfn.NORM.INV(RAND(),AVERAGE(Assumptions!$D$13,Assumptions!$F$13),(Assumptions!$F$13-Assumptions!$D$13)/3.29)*44</f>
        <v>9066804.2782838773</v>
      </c>
      <c r="M661" s="6">
        <f ca="1">_xlfn.NORM.INV(RAND(),AVERAGE(Assumptions!$D$14,Assumptions!$F$14),(Assumptions!$F$14-Assumptions!$D$14)/3.29)*44</f>
        <v>6412380.3811426023</v>
      </c>
      <c r="N661" s="9">
        <f ca="1">_xlfn.NORM.INV(RAND(),AVERAGE(Assumptions!$D$16,Assumptions!$F$16),(Assumptions!$F$16-Assumptions!$D$16)/3.29)*44</f>
        <v>19249630.925997764</v>
      </c>
      <c r="O661" s="12">
        <f ca="1">_xlfn.NORM.INV(RAND(),AVERAGE(Assumptions!$D$15,Assumptions!$F$15),(Assumptions!$F$15-Assumptions!$D$15)/3.29)*44</f>
        <v>59726503.585645758</v>
      </c>
      <c r="P661" s="15">
        <f>Assumptions!$D$18</f>
        <v>14641750.345627395</v>
      </c>
      <c r="Q661" s="3">
        <f t="shared" ca="1" si="20"/>
        <v>-6191066.3065372929</v>
      </c>
      <c r="R661" s="6">
        <f t="shared" ca="1" si="21"/>
        <v>8450684.0390901025</v>
      </c>
    </row>
    <row r="662" spans="1:18">
      <c r="A662" s="20">
        <v>661</v>
      </c>
      <c r="B662" s="3">
        <f ca="1">_xlfn.NORM.INV(RAND(),AVERAGE(Assumptions!$D$4,Assumptions!$F$4),(Assumptions!$F$4-Assumptions!$D$4)/3.29)*44</f>
        <v>1242507.5576794995</v>
      </c>
      <c r="C662" s="6">
        <f ca="1">_xlfn.NORM.INV(RAND(),AVERAGE(Assumptions!$D$5,Assumptions!$F$5),(Assumptions!$F$5-Assumptions!$D$5)/3.29)*44</f>
        <v>1969032.2139580313</v>
      </c>
      <c r="D662" s="9">
        <f ca="1">_xlfn.NORM.INV(RAND(),AVERAGE(Assumptions!$D$6,Assumptions!$F$6),(Assumptions!$F$6-Assumptions!$D$6)/3.29)*RANDBETWEEN(2,5)</f>
        <v>5044426.904485492</v>
      </c>
      <c r="E662" s="12">
        <f ca="1">_xlfn.NORM.INV(RAND(),AVERAGE(Assumptions!$D$17,Assumptions!$F$17),(Assumptions!$F$17-Assumptions!$D$17)/3.29)*8</f>
        <v>933340.63733092381</v>
      </c>
      <c r="F662" s="15">
        <f ca="1">_xlfn.NORM.INV(RAND(),AVERAGE(Assumptions!$D$7,Assumptions!$F$7),(Assumptions!$F$7-Assumptions!$D$7)/3.29)*RANDBETWEEN(1,3)</f>
        <v>6732381.442200141</v>
      </c>
      <c r="G662" s="3">
        <f ca="1">_xlfn.NORM.INV(RAND(),AVERAGE(Assumptions!$D$8,Assumptions!$F$8),(Assumptions!$F$8-Assumptions!$D$8)/3.29)*44</f>
        <v>1444710.8529589039</v>
      </c>
      <c r="H662" s="6">
        <f ca="1">_xlfn.NORM.INV(RAND(),AVERAGE(Assumptions!$D$9,Assumptions!$F$9),(Assumptions!$F$9-Assumptions!$D$9)/3.29)*21</f>
        <v>4597317.0606990596</v>
      </c>
      <c r="I662" s="9">
        <f ca="1">_xlfn.NORM.INV(RAND(),AVERAGE(Assumptions!$D$10,Assumptions!$F$10),(Assumptions!$F$10-Assumptions!$D$10)/3.29)*21</f>
        <v>511120.26079123415</v>
      </c>
      <c r="J662" s="12">
        <f ca="1">NORMINV(RAND(),AVERAGE(Assumptions!$D$11,Assumptions!$F$11),(Assumptions!$F$11-Assumptions!$D$11)/3.29)*44</f>
        <v>3987736.8189668432</v>
      </c>
      <c r="K662" s="15">
        <f ca="1">_xlfn.NORM.INV(RAND(),AVERAGE(Assumptions!$D$12,Assumptions!$F$12),(Assumptions!$F$12-Assumptions!$D$12)/3.29)*44</f>
        <v>8871108.5799614992</v>
      </c>
      <c r="L662" s="3">
        <f ca="1">_xlfn.NORM.INV(RAND(),AVERAGE(Assumptions!$D$13,Assumptions!$F$13),(Assumptions!$F$13-Assumptions!$D$13)/3.29)*44</f>
        <v>14382551.901561664</v>
      </c>
      <c r="M662" s="6">
        <f ca="1">_xlfn.NORM.INV(RAND(),AVERAGE(Assumptions!$D$14,Assumptions!$F$14),(Assumptions!$F$14-Assumptions!$D$14)/3.29)*44</f>
        <v>3822929.334510216</v>
      </c>
      <c r="N662" s="9">
        <f ca="1">_xlfn.NORM.INV(RAND(),AVERAGE(Assumptions!$D$16,Assumptions!$F$16),(Assumptions!$F$16-Assumptions!$D$16)/3.29)*44</f>
        <v>5016969.3902189909</v>
      </c>
      <c r="O662" s="12">
        <f ca="1">_xlfn.NORM.INV(RAND(),AVERAGE(Assumptions!$D$15,Assumptions!$F$15),(Assumptions!$F$15-Assumptions!$D$15)/3.29)*44</f>
        <v>119040404.99812955</v>
      </c>
      <c r="P662" s="15">
        <f>Assumptions!$D$18</f>
        <v>14641750.345627395</v>
      </c>
      <c r="Q662" s="3">
        <f t="shared" ca="1" si="20"/>
        <v>60484272.04280705</v>
      </c>
      <c r="R662" s="6">
        <f t="shared" ca="1" si="21"/>
        <v>75126022.38843444</v>
      </c>
    </row>
    <row r="663" spans="1:18">
      <c r="A663" s="20">
        <v>662</v>
      </c>
      <c r="B663" s="3">
        <f ca="1">_xlfn.NORM.INV(RAND(),AVERAGE(Assumptions!$D$4,Assumptions!$F$4),(Assumptions!$F$4-Assumptions!$D$4)/3.29)*44</f>
        <v>1203571.4215880947</v>
      </c>
      <c r="C663" s="6">
        <f ca="1">_xlfn.NORM.INV(RAND(),AVERAGE(Assumptions!$D$5,Assumptions!$F$5),(Assumptions!$F$5-Assumptions!$D$5)/3.29)*44</f>
        <v>1733632.6309238463</v>
      </c>
      <c r="D663" s="9">
        <f ca="1">_xlfn.NORM.INV(RAND(),AVERAGE(Assumptions!$D$6,Assumptions!$F$6),(Assumptions!$F$6-Assumptions!$D$6)/3.29)*RANDBETWEEN(2,5)</f>
        <v>616541.1775128271</v>
      </c>
      <c r="E663" s="12">
        <f ca="1">_xlfn.NORM.INV(RAND(),AVERAGE(Assumptions!$D$17,Assumptions!$F$17),(Assumptions!$F$17-Assumptions!$D$17)/3.29)*8</f>
        <v>825171.11774944409</v>
      </c>
      <c r="F663" s="15">
        <f ca="1">_xlfn.NORM.INV(RAND(),AVERAGE(Assumptions!$D$7,Assumptions!$F$7),(Assumptions!$F$7-Assumptions!$D$7)/3.29)*RANDBETWEEN(1,3)</f>
        <v>2903547.8768509682</v>
      </c>
      <c r="G663" s="3">
        <f ca="1">_xlfn.NORM.INV(RAND(),AVERAGE(Assumptions!$D$8,Assumptions!$F$8),(Assumptions!$F$8-Assumptions!$D$8)/3.29)*44</f>
        <v>1620971.8162259988</v>
      </c>
      <c r="H663" s="6">
        <f ca="1">_xlfn.NORM.INV(RAND(),AVERAGE(Assumptions!$D$9,Assumptions!$F$9),(Assumptions!$F$9-Assumptions!$D$9)/3.29)*21</f>
        <v>2787532.4924384477</v>
      </c>
      <c r="I663" s="9">
        <f ca="1">_xlfn.NORM.INV(RAND(),AVERAGE(Assumptions!$D$10,Assumptions!$F$10),(Assumptions!$F$10-Assumptions!$D$10)/3.29)*21</f>
        <v>593664.87751611078</v>
      </c>
      <c r="J663" s="12">
        <f ca="1">NORMINV(RAND(),AVERAGE(Assumptions!$D$11,Assumptions!$F$11),(Assumptions!$F$11-Assumptions!$D$11)/3.29)*44</f>
        <v>2592087.2289720383</v>
      </c>
      <c r="K663" s="15">
        <f ca="1">_xlfn.NORM.INV(RAND(),AVERAGE(Assumptions!$D$12,Assumptions!$F$12),(Assumptions!$F$12-Assumptions!$D$12)/3.29)*44</f>
        <v>7333563.4405451305</v>
      </c>
      <c r="L663" s="3">
        <f ca="1">_xlfn.NORM.INV(RAND(),AVERAGE(Assumptions!$D$13,Assumptions!$F$13),(Assumptions!$F$13-Assumptions!$D$13)/3.29)*44</f>
        <v>14010027.811209349</v>
      </c>
      <c r="M663" s="6">
        <f ca="1">_xlfn.NORM.INV(RAND(),AVERAGE(Assumptions!$D$14,Assumptions!$F$14),(Assumptions!$F$14-Assumptions!$D$14)/3.29)*44</f>
        <v>5263480.1168538304</v>
      </c>
      <c r="N663" s="9">
        <f ca="1">_xlfn.NORM.INV(RAND(),AVERAGE(Assumptions!$D$16,Assumptions!$F$16),(Assumptions!$F$16-Assumptions!$D$16)/3.29)*44</f>
        <v>17478769.355605233</v>
      </c>
      <c r="O663" s="12">
        <f ca="1">_xlfn.NORM.INV(RAND(),AVERAGE(Assumptions!$D$15,Assumptions!$F$15),(Assumptions!$F$15-Assumptions!$D$15)/3.29)*44</f>
        <v>37532020.034427747</v>
      </c>
      <c r="P663" s="15">
        <f>Assumptions!$D$18</f>
        <v>14641750.345627395</v>
      </c>
      <c r="Q663" s="3">
        <f t="shared" ca="1" si="20"/>
        <v>-21430541.32956358</v>
      </c>
      <c r="R663" s="6">
        <f t="shared" ca="1" si="21"/>
        <v>-6788790.983936185</v>
      </c>
    </row>
    <row r="664" spans="1:18">
      <c r="A664" s="20">
        <v>663</v>
      </c>
      <c r="B664" s="3">
        <f ca="1">_xlfn.NORM.INV(RAND(),AVERAGE(Assumptions!$D$4,Assumptions!$F$4),(Assumptions!$F$4-Assumptions!$D$4)/3.29)*44</f>
        <v>1233083.6953115626</v>
      </c>
      <c r="C664" s="6">
        <f ca="1">_xlfn.NORM.INV(RAND(),AVERAGE(Assumptions!$D$5,Assumptions!$F$5),(Assumptions!$F$5-Assumptions!$D$5)/3.29)*44</f>
        <v>1625507.7593877481</v>
      </c>
      <c r="D664" s="9">
        <f ca="1">_xlfn.NORM.INV(RAND(),AVERAGE(Assumptions!$D$6,Assumptions!$F$6),(Assumptions!$F$6-Assumptions!$D$6)/3.29)*RANDBETWEEN(2,5)</f>
        <v>2749769.615249923</v>
      </c>
      <c r="E664" s="12">
        <f ca="1">_xlfn.NORM.INV(RAND(),AVERAGE(Assumptions!$D$17,Assumptions!$F$17),(Assumptions!$F$17-Assumptions!$D$17)/3.29)*8</f>
        <v>1070438.4054540112</v>
      </c>
      <c r="F664" s="15">
        <f ca="1">_xlfn.NORM.INV(RAND(),AVERAGE(Assumptions!$D$7,Assumptions!$F$7),(Assumptions!$F$7-Assumptions!$D$7)/3.29)*RANDBETWEEN(1,3)</f>
        <v>3195853.3069911934</v>
      </c>
      <c r="G664" s="3">
        <f ca="1">_xlfn.NORM.INV(RAND(),AVERAGE(Assumptions!$D$8,Assumptions!$F$8),(Assumptions!$F$8-Assumptions!$D$8)/3.29)*44</f>
        <v>1075445.5223123257</v>
      </c>
      <c r="H664" s="6">
        <f ca="1">_xlfn.NORM.INV(RAND(),AVERAGE(Assumptions!$D$9,Assumptions!$F$9),(Assumptions!$F$9-Assumptions!$D$9)/3.29)*21</f>
        <v>6861473.5028676167</v>
      </c>
      <c r="I664" s="9">
        <f ca="1">_xlfn.NORM.INV(RAND(),AVERAGE(Assumptions!$D$10,Assumptions!$F$10),(Assumptions!$F$10-Assumptions!$D$10)/3.29)*21</f>
        <v>1006056.1253488048</v>
      </c>
      <c r="J664" s="12">
        <f ca="1">NORMINV(RAND(),AVERAGE(Assumptions!$D$11,Assumptions!$F$11),(Assumptions!$F$11-Assumptions!$D$11)/3.29)*44</f>
        <v>4702011.6692831768</v>
      </c>
      <c r="K664" s="15">
        <f ca="1">_xlfn.NORM.INV(RAND(),AVERAGE(Assumptions!$D$12,Assumptions!$F$12),(Assumptions!$F$12-Assumptions!$D$12)/3.29)*44</f>
        <v>8703434.2544977721</v>
      </c>
      <c r="L664" s="3">
        <f ca="1">_xlfn.NORM.INV(RAND(),AVERAGE(Assumptions!$D$13,Assumptions!$F$13),(Assumptions!$F$13-Assumptions!$D$13)/3.29)*44</f>
        <v>16214538.598471213</v>
      </c>
      <c r="M664" s="6">
        <f ca="1">_xlfn.NORM.INV(RAND(),AVERAGE(Assumptions!$D$14,Assumptions!$F$14),(Assumptions!$F$14-Assumptions!$D$14)/3.29)*44</f>
        <v>5290867.5410303632</v>
      </c>
      <c r="N664" s="9">
        <f ca="1">_xlfn.NORM.INV(RAND(),AVERAGE(Assumptions!$D$16,Assumptions!$F$16),(Assumptions!$F$16-Assumptions!$D$16)/3.29)*44</f>
        <v>10772775.386636585</v>
      </c>
      <c r="O664" s="12">
        <f ca="1">_xlfn.NORM.INV(RAND(),AVERAGE(Assumptions!$D$15,Assumptions!$F$15),(Assumptions!$F$15-Assumptions!$D$15)/3.29)*44</f>
        <v>18516977.145611241</v>
      </c>
      <c r="P664" s="15">
        <f>Assumptions!$D$18</f>
        <v>14641750.345627395</v>
      </c>
      <c r="Q664" s="3">
        <f t="shared" ca="1" si="20"/>
        <v>-45984278.237231061</v>
      </c>
      <c r="R664" s="6">
        <f t="shared" ca="1" si="21"/>
        <v>-31342527.891603664</v>
      </c>
    </row>
    <row r="665" spans="1:18">
      <c r="A665" s="20">
        <v>664</v>
      </c>
      <c r="B665" s="3">
        <f ca="1">_xlfn.NORM.INV(RAND(),AVERAGE(Assumptions!$D$4,Assumptions!$F$4),(Assumptions!$F$4-Assumptions!$D$4)/3.29)*44</f>
        <v>1095109.9418664661</v>
      </c>
      <c r="C665" s="6">
        <f ca="1">_xlfn.NORM.INV(RAND(),AVERAGE(Assumptions!$D$5,Assumptions!$F$5),(Assumptions!$F$5-Assumptions!$D$5)/3.29)*44</f>
        <v>1636048.4669693289</v>
      </c>
      <c r="D665" s="9">
        <f ca="1">_xlfn.NORM.INV(RAND(),AVERAGE(Assumptions!$D$6,Assumptions!$F$6),(Assumptions!$F$6-Assumptions!$D$6)/3.29)*RANDBETWEEN(2,5)</f>
        <v>1942172.1785824983</v>
      </c>
      <c r="E665" s="12">
        <f ca="1">_xlfn.NORM.INV(RAND(),AVERAGE(Assumptions!$D$17,Assumptions!$F$17),(Assumptions!$F$17-Assumptions!$D$17)/3.29)*8</f>
        <v>1101249.4066920057</v>
      </c>
      <c r="F665" s="15">
        <f ca="1">_xlfn.NORM.INV(RAND(),AVERAGE(Assumptions!$D$7,Assumptions!$F$7),(Assumptions!$F$7-Assumptions!$D$7)/3.29)*RANDBETWEEN(1,3)</f>
        <v>10689452.225263663</v>
      </c>
      <c r="G665" s="3">
        <f ca="1">_xlfn.NORM.INV(RAND(),AVERAGE(Assumptions!$D$8,Assumptions!$F$8),(Assumptions!$F$8-Assumptions!$D$8)/3.29)*44</f>
        <v>1333287.6978222078</v>
      </c>
      <c r="H665" s="6">
        <f ca="1">_xlfn.NORM.INV(RAND(),AVERAGE(Assumptions!$D$9,Assumptions!$F$9),(Assumptions!$F$9-Assumptions!$D$9)/3.29)*21</f>
        <v>3522599.433213938</v>
      </c>
      <c r="I665" s="9">
        <f ca="1">_xlfn.NORM.INV(RAND(),AVERAGE(Assumptions!$D$10,Assumptions!$F$10),(Assumptions!$F$10-Assumptions!$D$10)/3.29)*21</f>
        <v>744463.88908912893</v>
      </c>
      <c r="J665" s="12">
        <f ca="1">NORMINV(RAND(),AVERAGE(Assumptions!$D$11,Assumptions!$F$11),(Assumptions!$F$11-Assumptions!$D$11)/3.29)*44</f>
        <v>3594496.730469719</v>
      </c>
      <c r="K665" s="15">
        <f ca="1">_xlfn.NORM.INV(RAND(),AVERAGE(Assumptions!$D$12,Assumptions!$F$12),(Assumptions!$F$12-Assumptions!$D$12)/3.29)*44</f>
        <v>7248716.2623024099</v>
      </c>
      <c r="L665" s="3">
        <f ca="1">_xlfn.NORM.INV(RAND(),AVERAGE(Assumptions!$D$13,Assumptions!$F$13),(Assumptions!$F$13-Assumptions!$D$13)/3.29)*44</f>
        <v>15349018.19446964</v>
      </c>
      <c r="M665" s="6">
        <f ca="1">_xlfn.NORM.INV(RAND(),AVERAGE(Assumptions!$D$14,Assumptions!$F$14),(Assumptions!$F$14-Assumptions!$D$14)/3.29)*44</f>
        <v>6387763.3309236672</v>
      </c>
      <c r="N665" s="9">
        <f ca="1">_xlfn.NORM.INV(RAND(),AVERAGE(Assumptions!$D$16,Assumptions!$F$16),(Assumptions!$F$16-Assumptions!$D$16)/3.29)*44</f>
        <v>11308748.534536202</v>
      </c>
      <c r="O665" s="12">
        <f ca="1">_xlfn.NORM.INV(RAND(),AVERAGE(Assumptions!$D$15,Assumptions!$F$15),(Assumptions!$F$15-Assumptions!$D$15)/3.29)*44</f>
        <v>108901887.25439626</v>
      </c>
      <c r="P665" s="15">
        <f>Assumptions!$D$18</f>
        <v>14641750.345627395</v>
      </c>
      <c r="Q665" s="3">
        <f t="shared" ca="1" si="20"/>
        <v>42948760.962195389</v>
      </c>
      <c r="R665" s="6">
        <f t="shared" ca="1" si="21"/>
        <v>57590511.307822786</v>
      </c>
    </row>
    <row r="666" spans="1:18">
      <c r="A666" s="20">
        <v>665</v>
      </c>
      <c r="B666" s="3">
        <f ca="1">_xlfn.NORM.INV(RAND(),AVERAGE(Assumptions!$D$4,Assumptions!$F$4),(Assumptions!$F$4-Assumptions!$D$4)/3.29)*44</f>
        <v>1310930.6122809495</v>
      </c>
      <c r="C666" s="6">
        <f ca="1">_xlfn.NORM.INV(RAND(),AVERAGE(Assumptions!$D$5,Assumptions!$F$5),(Assumptions!$F$5-Assumptions!$D$5)/3.29)*44</f>
        <v>2184159.7312997677</v>
      </c>
      <c r="D666" s="9">
        <f ca="1">_xlfn.NORM.INV(RAND(),AVERAGE(Assumptions!$D$6,Assumptions!$F$6),(Assumptions!$F$6-Assumptions!$D$6)/3.29)*RANDBETWEEN(2,5)</f>
        <v>2478940.0499206721</v>
      </c>
      <c r="E666" s="12">
        <f ca="1">_xlfn.NORM.INV(RAND(),AVERAGE(Assumptions!$D$17,Assumptions!$F$17),(Assumptions!$F$17-Assumptions!$D$17)/3.29)*8</f>
        <v>1047887.3233887143</v>
      </c>
      <c r="F666" s="15">
        <f ca="1">_xlfn.NORM.INV(RAND(),AVERAGE(Assumptions!$D$7,Assumptions!$F$7),(Assumptions!$F$7-Assumptions!$D$7)/3.29)*RANDBETWEEN(1,3)</f>
        <v>6114404.1908579068</v>
      </c>
      <c r="G666" s="3">
        <f ca="1">_xlfn.NORM.INV(RAND(),AVERAGE(Assumptions!$D$8,Assumptions!$F$8),(Assumptions!$F$8-Assumptions!$D$8)/3.29)*44</f>
        <v>1266645.8758341523</v>
      </c>
      <c r="H666" s="6">
        <f ca="1">_xlfn.NORM.INV(RAND(),AVERAGE(Assumptions!$D$9,Assumptions!$F$9),(Assumptions!$F$9-Assumptions!$D$9)/3.29)*21</f>
        <v>6043675.3426600229</v>
      </c>
      <c r="I666" s="9">
        <f ca="1">_xlfn.NORM.INV(RAND(),AVERAGE(Assumptions!$D$10,Assumptions!$F$10),(Assumptions!$F$10-Assumptions!$D$10)/3.29)*21</f>
        <v>1365266.9983605857</v>
      </c>
      <c r="J666" s="12">
        <f ca="1">NORMINV(RAND(),AVERAGE(Assumptions!$D$11,Assumptions!$F$11),(Assumptions!$F$11-Assumptions!$D$11)/3.29)*44</f>
        <v>1611852.9116936531</v>
      </c>
      <c r="K666" s="15">
        <f ca="1">_xlfn.NORM.INV(RAND(),AVERAGE(Assumptions!$D$12,Assumptions!$F$12),(Assumptions!$F$12-Assumptions!$D$12)/3.29)*44</f>
        <v>6953190.0061131399</v>
      </c>
      <c r="L666" s="3">
        <f ca="1">_xlfn.NORM.INV(RAND(),AVERAGE(Assumptions!$D$13,Assumptions!$F$13),(Assumptions!$F$13-Assumptions!$D$13)/3.29)*44</f>
        <v>24740264.216109537</v>
      </c>
      <c r="M666" s="6">
        <f ca="1">_xlfn.NORM.INV(RAND(),AVERAGE(Assumptions!$D$14,Assumptions!$F$14),(Assumptions!$F$14-Assumptions!$D$14)/3.29)*44</f>
        <v>7328691.5054108277</v>
      </c>
      <c r="N666" s="9">
        <f ca="1">_xlfn.NORM.INV(RAND(),AVERAGE(Assumptions!$D$16,Assumptions!$F$16),(Assumptions!$F$16-Assumptions!$D$16)/3.29)*44</f>
        <v>17334703.360989816</v>
      </c>
      <c r="O666" s="12">
        <f ca="1">_xlfn.NORM.INV(RAND(),AVERAGE(Assumptions!$D$15,Assumptions!$F$15),(Assumptions!$F$15-Assumptions!$D$15)/3.29)*44</f>
        <v>161904005.71988279</v>
      </c>
      <c r="P666" s="15">
        <f>Assumptions!$D$18</f>
        <v>14641750.345627395</v>
      </c>
      <c r="Q666" s="3">
        <f t="shared" ca="1" si="20"/>
        <v>82123393.594963044</v>
      </c>
      <c r="R666" s="6">
        <f t="shared" ca="1" si="21"/>
        <v>96765143.940590441</v>
      </c>
    </row>
    <row r="667" spans="1:18">
      <c r="A667" s="20">
        <v>666</v>
      </c>
      <c r="B667" s="3">
        <f ca="1">_xlfn.NORM.INV(RAND(),AVERAGE(Assumptions!$D$4,Assumptions!$F$4),(Assumptions!$F$4-Assumptions!$D$4)/3.29)*44</f>
        <v>1221927.4794209031</v>
      </c>
      <c r="C667" s="6">
        <f ca="1">_xlfn.NORM.INV(RAND(),AVERAGE(Assumptions!$D$5,Assumptions!$F$5),(Assumptions!$F$5-Assumptions!$D$5)/3.29)*44</f>
        <v>1765719.3758077689</v>
      </c>
      <c r="D667" s="9">
        <f ca="1">_xlfn.NORM.INV(RAND(),AVERAGE(Assumptions!$D$6,Assumptions!$F$6),(Assumptions!$F$6-Assumptions!$D$6)/3.29)*RANDBETWEEN(2,5)</f>
        <v>5018140.2207722608</v>
      </c>
      <c r="E667" s="12">
        <f ca="1">_xlfn.NORM.INV(RAND(),AVERAGE(Assumptions!$D$17,Assumptions!$F$17),(Assumptions!$F$17-Assumptions!$D$17)/3.29)*8</f>
        <v>907999.65488858474</v>
      </c>
      <c r="F667" s="15">
        <f ca="1">_xlfn.NORM.INV(RAND(),AVERAGE(Assumptions!$D$7,Assumptions!$F$7),(Assumptions!$F$7-Assumptions!$D$7)/3.29)*RANDBETWEEN(1,3)</f>
        <v>3413739.5446908344</v>
      </c>
      <c r="G667" s="3">
        <f ca="1">_xlfn.NORM.INV(RAND(),AVERAGE(Assumptions!$D$8,Assumptions!$F$8),(Assumptions!$F$8-Assumptions!$D$8)/3.29)*44</f>
        <v>1228906.2652347237</v>
      </c>
      <c r="H667" s="6">
        <f ca="1">_xlfn.NORM.INV(RAND(),AVERAGE(Assumptions!$D$9,Assumptions!$F$9),(Assumptions!$F$9-Assumptions!$D$9)/3.29)*21</f>
        <v>4255351.12142077</v>
      </c>
      <c r="I667" s="9">
        <f ca="1">_xlfn.NORM.INV(RAND(),AVERAGE(Assumptions!$D$10,Assumptions!$F$10),(Assumptions!$F$10-Assumptions!$D$10)/3.29)*21</f>
        <v>1119386.3976826097</v>
      </c>
      <c r="J667" s="12">
        <f ca="1">NORMINV(RAND(),AVERAGE(Assumptions!$D$11,Assumptions!$F$11),(Assumptions!$F$11-Assumptions!$D$11)/3.29)*44</f>
        <v>6014769.9763734164</v>
      </c>
      <c r="K667" s="15">
        <f ca="1">_xlfn.NORM.INV(RAND(),AVERAGE(Assumptions!$D$12,Assumptions!$F$12),(Assumptions!$F$12-Assumptions!$D$12)/3.29)*44</f>
        <v>9019433.4784442671</v>
      </c>
      <c r="L667" s="3">
        <f ca="1">_xlfn.NORM.INV(RAND(),AVERAGE(Assumptions!$D$13,Assumptions!$F$13),(Assumptions!$F$13-Assumptions!$D$13)/3.29)*44</f>
        <v>19902516.123062339</v>
      </c>
      <c r="M667" s="6">
        <f ca="1">_xlfn.NORM.INV(RAND(),AVERAGE(Assumptions!$D$14,Assumptions!$F$14),(Assumptions!$F$14-Assumptions!$D$14)/3.29)*44</f>
        <v>4915809.4907373115</v>
      </c>
      <c r="N667" s="9">
        <f ca="1">_xlfn.NORM.INV(RAND(),AVERAGE(Assumptions!$D$16,Assumptions!$F$16),(Assumptions!$F$16-Assumptions!$D$16)/3.29)*44</f>
        <v>10273696.527439751</v>
      </c>
      <c r="O667" s="12">
        <f ca="1">_xlfn.NORM.INV(RAND(),AVERAGE(Assumptions!$D$15,Assumptions!$F$15),(Assumptions!$F$15-Assumptions!$D$15)/3.29)*44</f>
        <v>58122544.786532044</v>
      </c>
      <c r="P667" s="15">
        <f>Assumptions!$D$18</f>
        <v>14641750.345627395</v>
      </c>
      <c r="Q667" s="3">
        <f t="shared" ca="1" si="20"/>
        <v>-10934850.869443491</v>
      </c>
      <c r="R667" s="6">
        <f t="shared" ca="1" si="21"/>
        <v>3706899.4761839043</v>
      </c>
    </row>
    <row r="668" spans="1:18">
      <c r="A668" s="20">
        <v>667</v>
      </c>
      <c r="B668" s="3">
        <f ca="1">_xlfn.NORM.INV(RAND(),AVERAGE(Assumptions!$D$4,Assumptions!$F$4),(Assumptions!$F$4-Assumptions!$D$4)/3.29)*44</f>
        <v>1324160.7547096647</v>
      </c>
      <c r="C668" s="6">
        <f ca="1">_xlfn.NORM.INV(RAND(),AVERAGE(Assumptions!$D$5,Assumptions!$F$5),(Assumptions!$F$5-Assumptions!$D$5)/3.29)*44</f>
        <v>2003111.9131073172</v>
      </c>
      <c r="D668" s="9">
        <f ca="1">_xlfn.NORM.INV(RAND(),AVERAGE(Assumptions!$D$6,Assumptions!$F$6),(Assumptions!$F$6-Assumptions!$D$6)/3.29)*RANDBETWEEN(2,5)</f>
        <v>4806426.2892821869</v>
      </c>
      <c r="E668" s="12">
        <f ca="1">_xlfn.NORM.INV(RAND(),AVERAGE(Assumptions!$D$17,Assumptions!$F$17),(Assumptions!$F$17-Assumptions!$D$17)/3.29)*8</f>
        <v>925919.72748925537</v>
      </c>
      <c r="F668" s="15">
        <f ca="1">_xlfn.NORM.INV(RAND(),AVERAGE(Assumptions!$D$7,Assumptions!$F$7),(Assumptions!$F$7-Assumptions!$D$7)/3.29)*RANDBETWEEN(1,3)</f>
        <v>9329036.0071435142</v>
      </c>
      <c r="G668" s="3">
        <f ca="1">_xlfn.NORM.INV(RAND(),AVERAGE(Assumptions!$D$8,Assumptions!$F$8),(Assumptions!$F$8-Assumptions!$D$8)/3.29)*44</f>
        <v>1864887.7453249758</v>
      </c>
      <c r="H668" s="6">
        <f ca="1">_xlfn.NORM.INV(RAND(),AVERAGE(Assumptions!$D$9,Assumptions!$F$9),(Assumptions!$F$9-Assumptions!$D$9)/3.29)*21</f>
        <v>1979314.2608470004</v>
      </c>
      <c r="I668" s="9">
        <f ca="1">_xlfn.NORM.INV(RAND(),AVERAGE(Assumptions!$D$10,Assumptions!$F$10),(Assumptions!$F$10-Assumptions!$D$10)/3.29)*21</f>
        <v>1149199.9754830566</v>
      </c>
      <c r="J668" s="12">
        <f ca="1">NORMINV(RAND(),AVERAGE(Assumptions!$D$11,Assumptions!$F$11),(Assumptions!$F$11-Assumptions!$D$11)/3.29)*44</f>
        <v>4534592.6819273299</v>
      </c>
      <c r="K668" s="15">
        <f ca="1">_xlfn.NORM.INV(RAND(),AVERAGE(Assumptions!$D$12,Assumptions!$F$12),(Assumptions!$F$12-Assumptions!$D$12)/3.29)*44</f>
        <v>5681922.5786991641</v>
      </c>
      <c r="L668" s="3">
        <f ca="1">_xlfn.NORM.INV(RAND(),AVERAGE(Assumptions!$D$13,Assumptions!$F$13),(Assumptions!$F$13-Assumptions!$D$13)/3.29)*44</f>
        <v>13226703.482557669</v>
      </c>
      <c r="M668" s="6">
        <f ca="1">_xlfn.NORM.INV(RAND(),AVERAGE(Assumptions!$D$14,Assumptions!$F$14),(Assumptions!$F$14-Assumptions!$D$14)/3.29)*44</f>
        <v>6934132.9555552891</v>
      </c>
      <c r="N668" s="9">
        <f ca="1">_xlfn.NORM.INV(RAND(),AVERAGE(Assumptions!$D$16,Assumptions!$F$16),(Assumptions!$F$16-Assumptions!$D$16)/3.29)*44</f>
        <v>11557407.915340152</v>
      </c>
      <c r="O668" s="12">
        <f ca="1">_xlfn.NORM.INV(RAND(),AVERAGE(Assumptions!$D$15,Assumptions!$F$15),(Assumptions!$F$15-Assumptions!$D$15)/3.29)*44</f>
        <v>104146458.85752438</v>
      </c>
      <c r="P668" s="15">
        <f>Assumptions!$D$18</f>
        <v>14641750.345627395</v>
      </c>
      <c r="Q668" s="3">
        <f t="shared" ca="1" si="20"/>
        <v>38829642.570057802</v>
      </c>
      <c r="R668" s="6">
        <f t="shared" ca="1" si="21"/>
        <v>53471392.915685199</v>
      </c>
    </row>
    <row r="669" spans="1:18">
      <c r="A669" s="20">
        <v>668</v>
      </c>
      <c r="B669" s="3">
        <f ca="1">_xlfn.NORM.INV(RAND(),AVERAGE(Assumptions!$D$4,Assumptions!$F$4),(Assumptions!$F$4-Assumptions!$D$4)/3.29)*44</f>
        <v>1259541.9229300434</v>
      </c>
      <c r="C669" s="6">
        <f ca="1">_xlfn.NORM.INV(RAND(),AVERAGE(Assumptions!$D$5,Assumptions!$F$5),(Assumptions!$F$5-Assumptions!$D$5)/3.29)*44</f>
        <v>1828849.6362380739</v>
      </c>
      <c r="D669" s="9">
        <f ca="1">_xlfn.NORM.INV(RAND(),AVERAGE(Assumptions!$D$6,Assumptions!$F$6),(Assumptions!$F$6-Assumptions!$D$6)/3.29)*RANDBETWEEN(2,5)</f>
        <v>2074842.0054596735</v>
      </c>
      <c r="E669" s="12">
        <f ca="1">_xlfn.NORM.INV(RAND(),AVERAGE(Assumptions!$D$17,Assumptions!$F$17),(Assumptions!$F$17-Assumptions!$D$17)/3.29)*8</f>
        <v>872824.91136475548</v>
      </c>
      <c r="F669" s="15">
        <f ca="1">_xlfn.NORM.INV(RAND(),AVERAGE(Assumptions!$D$7,Assumptions!$F$7),(Assumptions!$F$7-Assumptions!$D$7)/3.29)*RANDBETWEEN(1,3)</f>
        <v>2687332.1245834506</v>
      </c>
      <c r="G669" s="3">
        <f ca="1">_xlfn.NORM.INV(RAND(),AVERAGE(Assumptions!$D$8,Assumptions!$F$8),(Assumptions!$F$8-Assumptions!$D$8)/3.29)*44</f>
        <v>1658717.2502348942</v>
      </c>
      <c r="H669" s="6">
        <f ca="1">_xlfn.NORM.INV(RAND(),AVERAGE(Assumptions!$D$9,Assumptions!$F$9),(Assumptions!$F$9-Assumptions!$D$9)/3.29)*21</f>
        <v>4174028.9651903114</v>
      </c>
      <c r="I669" s="9">
        <f ca="1">_xlfn.NORM.INV(RAND(),AVERAGE(Assumptions!$D$10,Assumptions!$F$10),(Assumptions!$F$10-Assumptions!$D$10)/3.29)*21</f>
        <v>754210.32339921466</v>
      </c>
      <c r="J669" s="12">
        <f ca="1">NORMINV(RAND(),AVERAGE(Assumptions!$D$11,Assumptions!$F$11),(Assumptions!$F$11-Assumptions!$D$11)/3.29)*44</f>
        <v>2926435.4085058086</v>
      </c>
      <c r="K669" s="15">
        <f ca="1">_xlfn.NORM.INV(RAND(),AVERAGE(Assumptions!$D$12,Assumptions!$F$12),(Assumptions!$F$12-Assumptions!$D$12)/3.29)*44</f>
        <v>8223263.7974388031</v>
      </c>
      <c r="L669" s="3">
        <f ca="1">_xlfn.NORM.INV(RAND(),AVERAGE(Assumptions!$D$13,Assumptions!$F$13),(Assumptions!$F$13-Assumptions!$D$13)/3.29)*44</f>
        <v>22702994.305986959</v>
      </c>
      <c r="M669" s="6">
        <f ca="1">_xlfn.NORM.INV(RAND(),AVERAGE(Assumptions!$D$14,Assumptions!$F$14),(Assumptions!$F$14-Assumptions!$D$14)/3.29)*44</f>
        <v>5195965.5925323097</v>
      </c>
      <c r="N669" s="9">
        <f ca="1">_xlfn.NORM.INV(RAND(),AVERAGE(Assumptions!$D$16,Assumptions!$F$16),(Assumptions!$F$16-Assumptions!$D$16)/3.29)*44</f>
        <v>19956473.467442166</v>
      </c>
      <c r="O669" s="12">
        <f ca="1">_xlfn.NORM.INV(RAND(),AVERAGE(Assumptions!$D$15,Assumptions!$F$15),(Assumptions!$F$15-Assumptions!$D$15)/3.29)*44</f>
        <v>126384958.55839026</v>
      </c>
      <c r="P669" s="15">
        <f>Assumptions!$D$18</f>
        <v>14641750.345627395</v>
      </c>
      <c r="Q669" s="3">
        <f t="shared" ca="1" si="20"/>
        <v>52069478.847083807</v>
      </c>
      <c r="R669" s="6">
        <f t="shared" ca="1" si="21"/>
        <v>66711229.192711204</v>
      </c>
    </row>
    <row r="670" spans="1:18">
      <c r="A670" s="20">
        <v>669</v>
      </c>
      <c r="B670" s="3">
        <f ca="1">_xlfn.NORM.INV(RAND(),AVERAGE(Assumptions!$D$4,Assumptions!$F$4),(Assumptions!$F$4-Assumptions!$D$4)/3.29)*44</f>
        <v>1120620.7460919621</v>
      </c>
      <c r="C670" s="6">
        <f ca="1">_xlfn.NORM.INV(RAND(),AVERAGE(Assumptions!$D$5,Assumptions!$F$5),(Assumptions!$F$5-Assumptions!$D$5)/3.29)*44</f>
        <v>1818024.96966736</v>
      </c>
      <c r="D670" s="9">
        <f ca="1">_xlfn.NORM.INV(RAND(),AVERAGE(Assumptions!$D$6,Assumptions!$F$6),(Assumptions!$F$6-Assumptions!$D$6)/3.29)*RANDBETWEEN(2,5)</f>
        <v>6693274.235942401</v>
      </c>
      <c r="E670" s="12">
        <f ca="1">_xlfn.NORM.INV(RAND(),AVERAGE(Assumptions!$D$17,Assumptions!$F$17),(Assumptions!$F$17-Assumptions!$D$17)/3.29)*8</f>
        <v>961780.86455607496</v>
      </c>
      <c r="F670" s="15">
        <f ca="1">_xlfn.NORM.INV(RAND(),AVERAGE(Assumptions!$D$7,Assumptions!$F$7),(Assumptions!$F$7-Assumptions!$D$7)/3.29)*RANDBETWEEN(1,3)</f>
        <v>4866509.0955276527</v>
      </c>
      <c r="G670" s="3">
        <f ca="1">_xlfn.NORM.INV(RAND(),AVERAGE(Assumptions!$D$8,Assumptions!$F$8),(Assumptions!$F$8-Assumptions!$D$8)/3.29)*44</f>
        <v>1076461.1728049954</v>
      </c>
      <c r="H670" s="6">
        <f ca="1">_xlfn.NORM.INV(RAND(),AVERAGE(Assumptions!$D$9,Assumptions!$F$9),(Assumptions!$F$9-Assumptions!$D$9)/3.29)*21</f>
        <v>5830354.2803515391</v>
      </c>
      <c r="I670" s="9">
        <f ca="1">_xlfn.NORM.INV(RAND(),AVERAGE(Assumptions!$D$10,Assumptions!$F$10),(Assumptions!$F$10-Assumptions!$D$10)/3.29)*21</f>
        <v>402410.74301093473</v>
      </c>
      <c r="J670" s="12">
        <f ca="1">NORMINV(RAND(),AVERAGE(Assumptions!$D$11,Assumptions!$F$11),(Assumptions!$F$11-Assumptions!$D$11)/3.29)*44</f>
        <v>4007599.2599261496</v>
      </c>
      <c r="K670" s="15">
        <f ca="1">_xlfn.NORM.INV(RAND(),AVERAGE(Assumptions!$D$12,Assumptions!$F$12),(Assumptions!$F$12-Assumptions!$D$12)/3.29)*44</f>
        <v>8210579.2132984176</v>
      </c>
      <c r="L670" s="3">
        <f ca="1">_xlfn.NORM.INV(RAND(),AVERAGE(Assumptions!$D$13,Assumptions!$F$13),(Assumptions!$F$13-Assumptions!$D$13)/3.29)*44</f>
        <v>13427976.693701738</v>
      </c>
      <c r="M670" s="6">
        <f ca="1">_xlfn.NORM.INV(RAND(),AVERAGE(Assumptions!$D$14,Assumptions!$F$14),(Assumptions!$F$14-Assumptions!$D$14)/3.29)*44</f>
        <v>6363141.7486801827</v>
      </c>
      <c r="N670" s="9">
        <f ca="1">_xlfn.NORM.INV(RAND(),AVERAGE(Assumptions!$D$16,Assumptions!$F$16),(Assumptions!$F$16-Assumptions!$D$16)/3.29)*44</f>
        <v>9290421.5155681539</v>
      </c>
      <c r="O670" s="12">
        <f ca="1">_xlfn.NORM.INV(RAND(),AVERAGE(Assumptions!$D$15,Assumptions!$F$15),(Assumptions!$F$15-Assumptions!$D$15)/3.29)*44</f>
        <v>49753884.787115604</v>
      </c>
      <c r="P670" s="15">
        <f>Assumptions!$D$18</f>
        <v>14641750.345627395</v>
      </c>
      <c r="Q670" s="3">
        <f t="shared" ca="1" si="20"/>
        <v>-14315269.752011955</v>
      </c>
      <c r="R670" s="6">
        <f t="shared" ca="1" si="21"/>
        <v>326480.59361544065</v>
      </c>
    </row>
    <row r="671" spans="1:18">
      <c r="A671" s="20">
        <v>670</v>
      </c>
      <c r="B671" s="3">
        <f ca="1">_xlfn.NORM.INV(RAND(),AVERAGE(Assumptions!$D$4,Assumptions!$F$4),(Assumptions!$F$4-Assumptions!$D$4)/3.29)*44</f>
        <v>1257571.3894652512</v>
      </c>
      <c r="C671" s="6">
        <f ca="1">_xlfn.NORM.INV(RAND(),AVERAGE(Assumptions!$D$5,Assumptions!$F$5),(Assumptions!$F$5-Assumptions!$D$5)/3.29)*44</f>
        <v>1734885.1705268638</v>
      </c>
      <c r="D671" s="9">
        <f ca="1">_xlfn.NORM.INV(RAND(),AVERAGE(Assumptions!$D$6,Assumptions!$F$6),(Assumptions!$F$6-Assumptions!$D$6)/3.29)*RANDBETWEEN(2,5)</f>
        <v>7163324.9585560765</v>
      </c>
      <c r="E671" s="12">
        <f ca="1">_xlfn.NORM.INV(RAND(),AVERAGE(Assumptions!$D$17,Assumptions!$F$17),(Assumptions!$F$17-Assumptions!$D$17)/3.29)*8</f>
        <v>728756.11004682817</v>
      </c>
      <c r="F671" s="15">
        <f ca="1">_xlfn.NORM.INV(RAND(),AVERAGE(Assumptions!$D$7,Assumptions!$F$7),(Assumptions!$F$7-Assumptions!$D$7)/3.29)*RANDBETWEEN(1,3)</f>
        <v>2066072.3342603752</v>
      </c>
      <c r="G671" s="3">
        <f ca="1">_xlfn.NORM.INV(RAND(),AVERAGE(Assumptions!$D$8,Assumptions!$F$8),(Assumptions!$F$8-Assumptions!$D$8)/3.29)*44</f>
        <v>988089.32384271803</v>
      </c>
      <c r="H671" s="6">
        <f ca="1">_xlfn.NORM.INV(RAND(),AVERAGE(Assumptions!$D$9,Assumptions!$F$9),(Assumptions!$F$9-Assumptions!$D$9)/3.29)*21</f>
        <v>3757737.0835171626</v>
      </c>
      <c r="I671" s="9">
        <f ca="1">_xlfn.NORM.INV(RAND(),AVERAGE(Assumptions!$D$10,Assumptions!$F$10),(Assumptions!$F$10-Assumptions!$D$10)/3.29)*21</f>
        <v>908267.23903120146</v>
      </c>
      <c r="J671" s="12">
        <f ca="1">NORMINV(RAND(),AVERAGE(Assumptions!$D$11,Assumptions!$F$11),(Assumptions!$F$11-Assumptions!$D$11)/3.29)*44</f>
        <v>5112733.0583170243</v>
      </c>
      <c r="K671" s="15">
        <f ca="1">_xlfn.NORM.INV(RAND(),AVERAGE(Assumptions!$D$12,Assumptions!$F$12),(Assumptions!$F$12-Assumptions!$D$12)/3.29)*44</f>
        <v>9254876.204750089</v>
      </c>
      <c r="L671" s="3">
        <f ca="1">_xlfn.NORM.INV(RAND(),AVERAGE(Assumptions!$D$13,Assumptions!$F$13),(Assumptions!$F$13-Assumptions!$D$13)/3.29)*44</f>
        <v>8674794.7986477874</v>
      </c>
      <c r="M671" s="6">
        <f ca="1">_xlfn.NORM.INV(RAND(),AVERAGE(Assumptions!$D$14,Assumptions!$F$14),(Assumptions!$F$14-Assumptions!$D$14)/3.29)*44</f>
        <v>4639421.3802895453</v>
      </c>
      <c r="N671" s="9">
        <f ca="1">_xlfn.NORM.INV(RAND(),AVERAGE(Assumptions!$D$16,Assumptions!$F$16),(Assumptions!$F$16-Assumptions!$D$16)/3.29)*44</f>
        <v>16592182.251703218</v>
      </c>
      <c r="O671" s="12">
        <f ca="1">_xlfn.NORM.INV(RAND(),AVERAGE(Assumptions!$D$15,Assumptions!$F$15),(Assumptions!$F$15-Assumptions!$D$15)/3.29)*44</f>
        <v>107346432.78326124</v>
      </c>
      <c r="P671" s="15">
        <f>Assumptions!$D$18</f>
        <v>14641750.345627395</v>
      </c>
      <c r="Q671" s="3">
        <f t="shared" ca="1" si="20"/>
        <v>44467721.480307102</v>
      </c>
      <c r="R671" s="6">
        <f t="shared" ca="1" si="21"/>
        <v>59109471.8259345</v>
      </c>
    </row>
    <row r="672" spans="1:18">
      <c r="A672" s="20">
        <v>671</v>
      </c>
      <c r="B672" s="3">
        <f ca="1">_xlfn.NORM.INV(RAND(),AVERAGE(Assumptions!$D$4,Assumptions!$F$4),(Assumptions!$F$4-Assumptions!$D$4)/3.29)*44</f>
        <v>1199769.2910702403</v>
      </c>
      <c r="C672" s="6">
        <f ca="1">_xlfn.NORM.INV(RAND(),AVERAGE(Assumptions!$D$5,Assumptions!$F$5),(Assumptions!$F$5-Assumptions!$D$5)/3.29)*44</f>
        <v>1873306.8948417173</v>
      </c>
      <c r="D672" s="9">
        <f ca="1">_xlfn.NORM.INV(RAND(),AVERAGE(Assumptions!$D$6,Assumptions!$F$6),(Assumptions!$F$6-Assumptions!$D$6)/3.29)*RANDBETWEEN(2,5)</f>
        <v>7037064.6077254601</v>
      </c>
      <c r="E672" s="12">
        <f ca="1">_xlfn.NORM.INV(RAND(),AVERAGE(Assumptions!$D$17,Assumptions!$F$17),(Assumptions!$F$17-Assumptions!$D$17)/3.29)*8</f>
        <v>1102216.380140522</v>
      </c>
      <c r="F672" s="15">
        <f ca="1">_xlfn.NORM.INV(RAND(),AVERAGE(Assumptions!$D$7,Assumptions!$F$7),(Assumptions!$F$7-Assumptions!$D$7)/3.29)*RANDBETWEEN(1,3)</f>
        <v>6355343.8164090924</v>
      </c>
      <c r="G672" s="3">
        <f ca="1">_xlfn.NORM.INV(RAND(),AVERAGE(Assumptions!$D$8,Assumptions!$F$8),(Assumptions!$F$8-Assumptions!$D$8)/3.29)*44</f>
        <v>977474.5541621442</v>
      </c>
      <c r="H672" s="6">
        <f ca="1">_xlfn.NORM.INV(RAND(),AVERAGE(Assumptions!$D$9,Assumptions!$F$9),(Assumptions!$F$9-Assumptions!$D$9)/3.29)*21</f>
        <v>4140655.9272161494</v>
      </c>
      <c r="I672" s="9">
        <f ca="1">_xlfn.NORM.INV(RAND(),AVERAGE(Assumptions!$D$10,Assumptions!$F$10),(Assumptions!$F$10-Assumptions!$D$10)/3.29)*21</f>
        <v>943493.56342350517</v>
      </c>
      <c r="J672" s="12">
        <f ca="1">NORMINV(RAND(),AVERAGE(Assumptions!$D$11,Assumptions!$F$11),(Assumptions!$F$11-Assumptions!$D$11)/3.29)*44</f>
        <v>3587165.2245802777</v>
      </c>
      <c r="K672" s="15">
        <f ca="1">_xlfn.NORM.INV(RAND(),AVERAGE(Assumptions!$D$12,Assumptions!$F$12),(Assumptions!$F$12-Assumptions!$D$12)/3.29)*44</f>
        <v>10513502.684194013</v>
      </c>
      <c r="L672" s="3">
        <f ca="1">_xlfn.NORM.INV(RAND(),AVERAGE(Assumptions!$D$13,Assumptions!$F$13),(Assumptions!$F$13-Assumptions!$D$13)/3.29)*44</f>
        <v>8481762.6930898968</v>
      </c>
      <c r="M672" s="6">
        <f ca="1">_xlfn.NORM.INV(RAND(),AVERAGE(Assumptions!$D$14,Assumptions!$F$14),(Assumptions!$F$14-Assumptions!$D$14)/3.29)*44</f>
        <v>4993268.0665326156</v>
      </c>
      <c r="N672" s="9">
        <f ca="1">_xlfn.NORM.INV(RAND(),AVERAGE(Assumptions!$D$16,Assumptions!$F$16),(Assumptions!$F$16-Assumptions!$D$16)/3.29)*44</f>
        <v>7991771.7600075901</v>
      </c>
      <c r="O672" s="12">
        <f ca="1">_xlfn.NORM.INV(RAND(),AVERAGE(Assumptions!$D$15,Assumptions!$F$15),(Assumptions!$F$15-Assumptions!$D$15)/3.29)*44</f>
        <v>104188404.35605744</v>
      </c>
      <c r="P672" s="15">
        <f>Assumptions!$D$18</f>
        <v>14641750.345627395</v>
      </c>
      <c r="Q672" s="3">
        <f t="shared" ca="1" si="20"/>
        <v>44991608.892664216</v>
      </c>
      <c r="R672" s="6">
        <f t="shared" ca="1" si="21"/>
        <v>59633359.238291614</v>
      </c>
    </row>
    <row r="673" spans="1:18">
      <c r="A673" s="20">
        <v>672</v>
      </c>
      <c r="B673" s="3">
        <f ca="1">_xlfn.NORM.INV(RAND(),AVERAGE(Assumptions!$D$4,Assumptions!$F$4),(Assumptions!$F$4-Assumptions!$D$4)/3.29)*44</f>
        <v>1115661.9318061401</v>
      </c>
      <c r="C673" s="6">
        <f ca="1">_xlfn.NORM.INV(RAND(),AVERAGE(Assumptions!$D$5,Assumptions!$F$5),(Assumptions!$F$5-Assumptions!$D$5)/3.29)*44</f>
        <v>1695615.3519619582</v>
      </c>
      <c r="D673" s="9">
        <f ca="1">_xlfn.NORM.INV(RAND(),AVERAGE(Assumptions!$D$6,Assumptions!$F$6),(Assumptions!$F$6-Assumptions!$D$6)/3.29)*RANDBETWEEN(2,5)</f>
        <v>6650533.2232629918</v>
      </c>
      <c r="E673" s="12">
        <f ca="1">_xlfn.NORM.INV(RAND(),AVERAGE(Assumptions!$D$17,Assumptions!$F$17),(Assumptions!$F$17-Assumptions!$D$17)/3.29)*8</f>
        <v>764888.22329693392</v>
      </c>
      <c r="F673" s="15">
        <f ca="1">_xlfn.NORM.INV(RAND(),AVERAGE(Assumptions!$D$7,Assumptions!$F$7),(Assumptions!$F$7-Assumptions!$D$7)/3.29)*RANDBETWEEN(1,3)</f>
        <v>10501606.047025068</v>
      </c>
      <c r="G673" s="3">
        <f ca="1">_xlfn.NORM.INV(RAND(),AVERAGE(Assumptions!$D$8,Assumptions!$F$8),(Assumptions!$F$8-Assumptions!$D$8)/3.29)*44</f>
        <v>908131.92311886826</v>
      </c>
      <c r="H673" s="6">
        <f ca="1">_xlfn.NORM.INV(RAND(),AVERAGE(Assumptions!$D$9,Assumptions!$F$9),(Assumptions!$F$9-Assumptions!$D$9)/3.29)*21</f>
        <v>7402055.6480648713</v>
      </c>
      <c r="I673" s="9">
        <f ca="1">_xlfn.NORM.INV(RAND(),AVERAGE(Assumptions!$D$10,Assumptions!$F$10),(Assumptions!$F$10-Assumptions!$D$10)/3.29)*21</f>
        <v>753066.01110213983</v>
      </c>
      <c r="J673" s="12">
        <f ca="1">NORMINV(RAND(),AVERAGE(Assumptions!$D$11,Assumptions!$F$11),(Assumptions!$F$11-Assumptions!$D$11)/3.29)*44</f>
        <v>2721246.1676454884</v>
      </c>
      <c r="K673" s="15">
        <f ca="1">_xlfn.NORM.INV(RAND(),AVERAGE(Assumptions!$D$12,Assumptions!$F$12),(Assumptions!$F$12-Assumptions!$D$12)/3.29)*44</f>
        <v>8846957.2548435517</v>
      </c>
      <c r="L673" s="3">
        <f ca="1">_xlfn.NORM.INV(RAND(),AVERAGE(Assumptions!$D$13,Assumptions!$F$13),(Assumptions!$F$13-Assumptions!$D$13)/3.29)*44</f>
        <v>3858004.2968691131</v>
      </c>
      <c r="M673" s="6">
        <f ca="1">_xlfn.NORM.INV(RAND(),AVERAGE(Assumptions!$D$14,Assumptions!$F$14),(Assumptions!$F$14-Assumptions!$D$14)/3.29)*44</f>
        <v>3915899.18571014</v>
      </c>
      <c r="N673" s="9">
        <f ca="1">_xlfn.NORM.INV(RAND(),AVERAGE(Assumptions!$D$16,Assumptions!$F$16),(Assumptions!$F$16-Assumptions!$D$16)/3.29)*44</f>
        <v>10894417.781225769</v>
      </c>
      <c r="O673" s="12">
        <f ca="1">_xlfn.NORM.INV(RAND(),AVERAGE(Assumptions!$D$15,Assumptions!$F$15),(Assumptions!$F$15-Assumptions!$D$15)/3.29)*44</f>
        <v>76291776.923390895</v>
      </c>
      <c r="P673" s="15">
        <f>Assumptions!$D$18</f>
        <v>14641750.345627395</v>
      </c>
      <c r="Q673" s="3">
        <f t="shared" ca="1" si="20"/>
        <v>16263693.877457857</v>
      </c>
      <c r="R673" s="6">
        <f t="shared" ca="1" si="21"/>
        <v>30905444.223085254</v>
      </c>
    </row>
    <row r="674" spans="1:18">
      <c r="A674" s="20">
        <v>673</v>
      </c>
      <c r="B674" s="3">
        <f ca="1">_xlfn.NORM.INV(RAND(),AVERAGE(Assumptions!$D$4,Assumptions!$F$4),(Assumptions!$F$4-Assumptions!$D$4)/3.29)*44</f>
        <v>1188181.7284774825</v>
      </c>
      <c r="C674" s="6">
        <f ca="1">_xlfn.NORM.INV(RAND(),AVERAGE(Assumptions!$D$5,Assumptions!$F$5),(Assumptions!$F$5-Assumptions!$D$5)/3.29)*44</f>
        <v>1945326.4230565082</v>
      </c>
      <c r="D674" s="9">
        <f ca="1">_xlfn.NORM.INV(RAND(),AVERAGE(Assumptions!$D$6,Assumptions!$F$6),(Assumptions!$F$6-Assumptions!$D$6)/3.29)*RANDBETWEEN(2,5)</f>
        <v>5579423.5464462023</v>
      </c>
      <c r="E674" s="12">
        <f ca="1">_xlfn.NORM.INV(RAND(),AVERAGE(Assumptions!$D$17,Assumptions!$F$17),(Assumptions!$F$17-Assumptions!$D$17)/3.29)*8</f>
        <v>1042712.2111787834</v>
      </c>
      <c r="F674" s="15">
        <f ca="1">_xlfn.NORM.INV(RAND(),AVERAGE(Assumptions!$D$7,Assumptions!$F$7),(Assumptions!$F$7-Assumptions!$D$7)/3.29)*RANDBETWEEN(1,3)</f>
        <v>2851622.0238858983</v>
      </c>
      <c r="G674" s="3">
        <f ca="1">_xlfn.NORM.INV(RAND(),AVERAGE(Assumptions!$D$8,Assumptions!$F$8),(Assumptions!$F$8-Assumptions!$D$8)/3.29)*44</f>
        <v>1182691.6726184988</v>
      </c>
      <c r="H674" s="6">
        <f ca="1">_xlfn.NORM.INV(RAND(),AVERAGE(Assumptions!$D$9,Assumptions!$F$9),(Assumptions!$F$9-Assumptions!$D$9)/3.29)*21</f>
        <v>4542945.0073713176</v>
      </c>
      <c r="I674" s="9">
        <f ca="1">_xlfn.NORM.INV(RAND(),AVERAGE(Assumptions!$D$10,Assumptions!$F$10),(Assumptions!$F$10-Assumptions!$D$10)/3.29)*21</f>
        <v>1184202.0732254623</v>
      </c>
      <c r="J674" s="12">
        <f ca="1">NORMINV(RAND(),AVERAGE(Assumptions!$D$11,Assumptions!$F$11),(Assumptions!$F$11-Assumptions!$D$11)/3.29)*44</f>
        <v>3541669.6259006234</v>
      </c>
      <c r="K674" s="15">
        <f ca="1">_xlfn.NORM.INV(RAND(),AVERAGE(Assumptions!$D$12,Assumptions!$F$12),(Assumptions!$F$12-Assumptions!$D$12)/3.29)*44</f>
        <v>8181202.9286395526</v>
      </c>
      <c r="L674" s="3">
        <f ca="1">_xlfn.NORM.INV(RAND(),AVERAGE(Assumptions!$D$13,Assumptions!$F$13),(Assumptions!$F$13-Assumptions!$D$13)/3.29)*44</f>
        <v>19097436.518910177</v>
      </c>
      <c r="M674" s="6">
        <f ca="1">_xlfn.NORM.INV(RAND(),AVERAGE(Assumptions!$D$14,Assumptions!$F$14),(Assumptions!$F$14-Assumptions!$D$14)/3.29)*44</f>
        <v>7734249.8659991696</v>
      </c>
      <c r="N674" s="9">
        <f ca="1">_xlfn.NORM.INV(RAND(),AVERAGE(Assumptions!$D$16,Assumptions!$F$16),(Assumptions!$F$16-Assumptions!$D$16)/3.29)*44</f>
        <v>9595191.2625215761</v>
      </c>
      <c r="O674" s="12">
        <f ca="1">_xlfn.NORM.INV(RAND(),AVERAGE(Assumptions!$D$15,Assumptions!$F$15),(Assumptions!$F$15-Assumptions!$D$15)/3.29)*44</f>
        <v>78400352.092257828</v>
      </c>
      <c r="P674" s="15">
        <f>Assumptions!$D$18</f>
        <v>14641750.345627395</v>
      </c>
      <c r="Q674" s="3">
        <f t="shared" ca="1" si="20"/>
        <v>10733497.20402658</v>
      </c>
      <c r="R674" s="6">
        <f t="shared" ca="1" si="21"/>
        <v>25375247.549653977</v>
      </c>
    </row>
    <row r="675" spans="1:18">
      <c r="A675" s="20">
        <v>674</v>
      </c>
      <c r="B675" s="3">
        <f ca="1">_xlfn.NORM.INV(RAND(),AVERAGE(Assumptions!$D$4,Assumptions!$F$4),(Assumptions!$F$4-Assumptions!$D$4)/3.29)*44</f>
        <v>1176943.3297594893</v>
      </c>
      <c r="C675" s="6">
        <f ca="1">_xlfn.NORM.INV(RAND(),AVERAGE(Assumptions!$D$5,Assumptions!$F$5),(Assumptions!$F$5-Assumptions!$D$5)/3.29)*44</f>
        <v>1572830.5479390183</v>
      </c>
      <c r="D675" s="9">
        <f ca="1">_xlfn.NORM.INV(RAND(),AVERAGE(Assumptions!$D$6,Assumptions!$F$6),(Assumptions!$F$6-Assumptions!$D$6)/3.29)*RANDBETWEEN(2,5)</f>
        <v>1787283.3275884911</v>
      </c>
      <c r="E675" s="12">
        <f ca="1">_xlfn.NORM.INV(RAND(),AVERAGE(Assumptions!$D$17,Assumptions!$F$17),(Assumptions!$F$17-Assumptions!$D$17)/3.29)*8</f>
        <v>831840.54042866675</v>
      </c>
      <c r="F675" s="15">
        <f ca="1">_xlfn.NORM.INV(RAND(),AVERAGE(Assumptions!$D$7,Assumptions!$F$7),(Assumptions!$F$7-Assumptions!$D$7)/3.29)*RANDBETWEEN(1,3)</f>
        <v>7706946.9397618715</v>
      </c>
      <c r="G675" s="3">
        <f ca="1">_xlfn.NORM.INV(RAND(),AVERAGE(Assumptions!$D$8,Assumptions!$F$8),(Assumptions!$F$8-Assumptions!$D$8)/3.29)*44</f>
        <v>1410439.9561239535</v>
      </c>
      <c r="H675" s="6">
        <f ca="1">_xlfn.NORM.INV(RAND(),AVERAGE(Assumptions!$D$9,Assumptions!$F$9),(Assumptions!$F$9-Assumptions!$D$9)/3.29)*21</f>
        <v>2605352.3780385805</v>
      </c>
      <c r="I675" s="9">
        <f ca="1">_xlfn.NORM.INV(RAND(),AVERAGE(Assumptions!$D$10,Assumptions!$F$10),(Assumptions!$F$10-Assumptions!$D$10)/3.29)*21</f>
        <v>1311823.3251109209</v>
      </c>
      <c r="J675" s="12">
        <f ca="1">NORMINV(RAND(),AVERAGE(Assumptions!$D$11,Assumptions!$F$11),(Assumptions!$F$11-Assumptions!$D$11)/3.29)*44</f>
        <v>2408177.8756098147</v>
      </c>
      <c r="K675" s="15">
        <f ca="1">_xlfn.NORM.INV(RAND(),AVERAGE(Assumptions!$D$12,Assumptions!$F$12),(Assumptions!$F$12-Assumptions!$D$12)/3.29)*44</f>
        <v>6905131.2069356069</v>
      </c>
      <c r="L675" s="3">
        <f ca="1">_xlfn.NORM.INV(RAND(),AVERAGE(Assumptions!$D$13,Assumptions!$F$13),(Assumptions!$F$13-Assumptions!$D$13)/3.29)*44</f>
        <v>21513854.28827171</v>
      </c>
      <c r="M675" s="6">
        <f ca="1">_xlfn.NORM.INV(RAND(),AVERAGE(Assumptions!$D$14,Assumptions!$F$14),(Assumptions!$F$14-Assumptions!$D$14)/3.29)*44</f>
        <v>6422229.2488421891</v>
      </c>
      <c r="N675" s="9">
        <f ca="1">_xlfn.NORM.INV(RAND(),AVERAGE(Assumptions!$D$16,Assumptions!$F$16),(Assumptions!$F$16-Assumptions!$D$16)/3.29)*44</f>
        <v>13260993.722944396</v>
      </c>
      <c r="O675" s="12">
        <f ca="1">_xlfn.NORM.INV(RAND(),AVERAGE(Assumptions!$D$15,Assumptions!$F$15),(Assumptions!$F$15-Assumptions!$D$15)/3.29)*44</f>
        <v>43460430.410211585</v>
      </c>
      <c r="P675" s="15">
        <f>Assumptions!$D$18</f>
        <v>14641750.345627395</v>
      </c>
      <c r="Q675" s="3">
        <f t="shared" ca="1" si="20"/>
        <v>-25453416.277143128</v>
      </c>
      <c r="R675" s="6">
        <f t="shared" ca="1" si="21"/>
        <v>-10811665.931515733</v>
      </c>
    </row>
    <row r="676" spans="1:18">
      <c r="A676" s="20">
        <v>675</v>
      </c>
      <c r="B676" s="3">
        <f ca="1">_xlfn.NORM.INV(RAND(),AVERAGE(Assumptions!$D$4,Assumptions!$F$4),(Assumptions!$F$4-Assumptions!$D$4)/3.29)*44</f>
        <v>1251026.0081945253</v>
      </c>
      <c r="C676" s="6">
        <f ca="1">_xlfn.NORM.INV(RAND(),AVERAGE(Assumptions!$D$5,Assumptions!$F$5),(Assumptions!$F$5-Assumptions!$D$5)/3.29)*44</f>
        <v>1877380.6553848297</v>
      </c>
      <c r="D676" s="9">
        <f ca="1">_xlfn.NORM.INV(RAND(),AVERAGE(Assumptions!$D$6,Assumptions!$F$6),(Assumptions!$F$6-Assumptions!$D$6)/3.29)*RANDBETWEEN(2,5)</f>
        <v>2716341.8586910898</v>
      </c>
      <c r="E676" s="12">
        <f ca="1">_xlfn.NORM.INV(RAND(),AVERAGE(Assumptions!$D$17,Assumptions!$F$17),(Assumptions!$F$17-Assumptions!$D$17)/3.29)*8</f>
        <v>1043211.2790838552</v>
      </c>
      <c r="F676" s="15">
        <f ca="1">_xlfn.NORM.INV(RAND(),AVERAGE(Assumptions!$D$7,Assumptions!$F$7),(Assumptions!$F$7-Assumptions!$D$7)/3.29)*RANDBETWEEN(1,3)</f>
        <v>6022528.2317346642</v>
      </c>
      <c r="G676" s="3">
        <f ca="1">_xlfn.NORM.INV(RAND(),AVERAGE(Assumptions!$D$8,Assumptions!$F$8),(Assumptions!$F$8-Assumptions!$D$8)/3.29)*44</f>
        <v>1248175.6042433218</v>
      </c>
      <c r="H676" s="6">
        <f ca="1">_xlfn.NORM.INV(RAND(),AVERAGE(Assumptions!$D$9,Assumptions!$F$9),(Assumptions!$F$9-Assumptions!$D$9)/3.29)*21</f>
        <v>3688939.4944142825</v>
      </c>
      <c r="I676" s="9">
        <f ca="1">_xlfn.NORM.INV(RAND(),AVERAGE(Assumptions!$D$10,Assumptions!$F$10),(Assumptions!$F$10-Assumptions!$D$10)/3.29)*21</f>
        <v>611215.18899966171</v>
      </c>
      <c r="J676" s="12">
        <f ca="1">NORMINV(RAND(),AVERAGE(Assumptions!$D$11,Assumptions!$F$11),(Assumptions!$F$11-Assumptions!$D$11)/3.29)*44</f>
        <v>2690570.8145068651</v>
      </c>
      <c r="K676" s="15">
        <f ca="1">_xlfn.NORM.INV(RAND(),AVERAGE(Assumptions!$D$12,Assumptions!$F$12),(Assumptions!$F$12-Assumptions!$D$12)/3.29)*44</f>
        <v>10088088.86712669</v>
      </c>
      <c r="L676" s="3">
        <f ca="1">_xlfn.NORM.INV(RAND(),AVERAGE(Assumptions!$D$13,Assumptions!$F$13),(Assumptions!$F$13-Assumptions!$D$13)/3.29)*44</f>
        <v>10586828.776804294</v>
      </c>
      <c r="M676" s="6">
        <f ca="1">_xlfn.NORM.INV(RAND(),AVERAGE(Assumptions!$D$14,Assumptions!$F$14),(Assumptions!$F$14-Assumptions!$D$14)/3.29)*44</f>
        <v>4105674.1177905481</v>
      </c>
      <c r="N676" s="9">
        <f ca="1">_xlfn.NORM.INV(RAND(),AVERAGE(Assumptions!$D$16,Assumptions!$F$16),(Assumptions!$F$16-Assumptions!$D$16)/3.29)*44</f>
        <v>12334669.576665154</v>
      </c>
      <c r="O676" s="12">
        <f ca="1">_xlfn.NORM.INV(RAND(),AVERAGE(Assumptions!$D$15,Assumptions!$F$15),(Assumptions!$F$15-Assumptions!$D$15)/3.29)*44</f>
        <v>157071473.63343289</v>
      </c>
      <c r="P676" s="15">
        <f>Assumptions!$D$18</f>
        <v>14641750.345627395</v>
      </c>
      <c r="Q676" s="3">
        <f t="shared" ca="1" si="20"/>
        <v>98806823.159793109</v>
      </c>
      <c r="R676" s="6">
        <f t="shared" ca="1" si="21"/>
        <v>113448573.50542051</v>
      </c>
    </row>
    <row r="677" spans="1:18">
      <c r="A677" s="20">
        <v>676</v>
      </c>
      <c r="B677" s="3">
        <f ca="1">_xlfn.NORM.INV(RAND(),AVERAGE(Assumptions!$D$4,Assumptions!$F$4),(Assumptions!$F$4-Assumptions!$D$4)/3.29)*44</f>
        <v>1275794.5875258318</v>
      </c>
      <c r="C677" s="6">
        <f ca="1">_xlfn.NORM.INV(RAND(),AVERAGE(Assumptions!$D$5,Assumptions!$F$5),(Assumptions!$F$5-Assumptions!$D$5)/3.29)*44</f>
        <v>1911565.7384682179</v>
      </c>
      <c r="D677" s="9">
        <f ca="1">_xlfn.NORM.INV(RAND(),AVERAGE(Assumptions!$D$6,Assumptions!$F$6),(Assumptions!$F$6-Assumptions!$D$6)/3.29)*RANDBETWEEN(2,5)</f>
        <v>2189525.6751717729</v>
      </c>
      <c r="E677" s="12">
        <f ca="1">_xlfn.NORM.INV(RAND(),AVERAGE(Assumptions!$D$17,Assumptions!$F$17),(Assumptions!$F$17-Assumptions!$D$17)/3.29)*8</f>
        <v>908437.9228122721</v>
      </c>
      <c r="F677" s="15">
        <f ca="1">_xlfn.NORM.INV(RAND(),AVERAGE(Assumptions!$D$7,Assumptions!$F$7),(Assumptions!$F$7-Assumptions!$D$7)/3.29)*RANDBETWEEN(1,3)</f>
        <v>5272367.7859173324</v>
      </c>
      <c r="G677" s="3">
        <f ca="1">_xlfn.NORM.INV(RAND(),AVERAGE(Assumptions!$D$8,Assumptions!$F$8),(Assumptions!$F$8-Assumptions!$D$8)/3.29)*44</f>
        <v>1153784.4123209543</v>
      </c>
      <c r="H677" s="6">
        <f ca="1">_xlfn.NORM.INV(RAND(),AVERAGE(Assumptions!$D$9,Assumptions!$F$9),(Assumptions!$F$9-Assumptions!$D$9)/3.29)*21</f>
        <v>2743009.4477561298</v>
      </c>
      <c r="I677" s="9">
        <f ca="1">_xlfn.NORM.INV(RAND(),AVERAGE(Assumptions!$D$10,Assumptions!$F$10),(Assumptions!$F$10-Assumptions!$D$10)/3.29)*21</f>
        <v>942236.13582312816</v>
      </c>
      <c r="J677" s="12">
        <f ca="1">NORMINV(RAND(),AVERAGE(Assumptions!$D$11,Assumptions!$F$11),(Assumptions!$F$11-Assumptions!$D$11)/3.29)*44</f>
        <v>2359147.6037674914</v>
      </c>
      <c r="K677" s="15">
        <f ca="1">_xlfn.NORM.INV(RAND(),AVERAGE(Assumptions!$D$12,Assumptions!$F$12),(Assumptions!$F$12-Assumptions!$D$12)/3.29)*44</f>
        <v>6040305.5349618457</v>
      </c>
      <c r="L677" s="3">
        <f ca="1">_xlfn.NORM.INV(RAND(),AVERAGE(Assumptions!$D$13,Assumptions!$F$13),(Assumptions!$F$13-Assumptions!$D$13)/3.29)*44</f>
        <v>6833744.867422183</v>
      </c>
      <c r="M677" s="6">
        <f ca="1">_xlfn.NORM.INV(RAND(),AVERAGE(Assumptions!$D$14,Assumptions!$F$14),(Assumptions!$F$14-Assumptions!$D$14)/3.29)*44</f>
        <v>8498054.7253535073</v>
      </c>
      <c r="N677" s="9">
        <f ca="1">_xlfn.NORM.INV(RAND(),AVERAGE(Assumptions!$D$16,Assumptions!$F$16),(Assumptions!$F$16-Assumptions!$D$16)/3.29)*44</f>
        <v>4635448.6554658255</v>
      </c>
      <c r="O677" s="12">
        <f ca="1">_xlfn.NORM.INV(RAND(),AVERAGE(Assumptions!$D$15,Assumptions!$F$15),(Assumptions!$F$15-Assumptions!$D$15)/3.29)*44</f>
        <v>6625849.3445564825</v>
      </c>
      <c r="P677" s="15">
        <f>Assumptions!$D$18</f>
        <v>14641750.345627395</v>
      </c>
      <c r="Q677" s="3">
        <f t="shared" ca="1" si="20"/>
        <v>-38137573.748210013</v>
      </c>
      <c r="R677" s="6">
        <f t="shared" ca="1" si="21"/>
        <v>-23495823.402582616</v>
      </c>
    </row>
    <row r="678" spans="1:18">
      <c r="A678" s="20">
        <v>677</v>
      </c>
      <c r="B678" s="3">
        <f ca="1">_xlfn.NORM.INV(RAND(),AVERAGE(Assumptions!$D$4,Assumptions!$F$4),(Assumptions!$F$4-Assumptions!$D$4)/3.29)*44</f>
        <v>1196029.5736230365</v>
      </c>
      <c r="C678" s="6">
        <f ca="1">_xlfn.NORM.INV(RAND(),AVERAGE(Assumptions!$D$5,Assumptions!$F$5),(Assumptions!$F$5-Assumptions!$D$5)/3.29)*44</f>
        <v>1813741.3863950847</v>
      </c>
      <c r="D678" s="9">
        <f ca="1">_xlfn.NORM.INV(RAND(),AVERAGE(Assumptions!$D$6,Assumptions!$F$6),(Assumptions!$F$6-Assumptions!$D$6)/3.29)*RANDBETWEEN(2,5)</f>
        <v>2540118.2898820443</v>
      </c>
      <c r="E678" s="12">
        <f ca="1">_xlfn.NORM.INV(RAND(),AVERAGE(Assumptions!$D$17,Assumptions!$F$17),(Assumptions!$F$17-Assumptions!$D$17)/3.29)*8</f>
        <v>1184467.0173525121</v>
      </c>
      <c r="F678" s="15">
        <f ca="1">_xlfn.NORM.INV(RAND(),AVERAGE(Assumptions!$D$7,Assumptions!$F$7),(Assumptions!$F$7-Assumptions!$D$7)/3.29)*RANDBETWEEN(1,3)</f>
        <v>7593287.8522850852</v>
      </c>
      <c r="G678" s="3">
        <f ca="1">_xlfn.NORM.INV(RAND(),AVERAGE(Assumptions!$D$8,Assumptions!$F$8),(Assumptions!$F$8-Assumptions!$D$8)/3.29)*44</f>
        <v>997143.74177430966</v>
      </c>
      <c r="H678" s="6">
        <f ca="1">_xlfn.NORM.INV(RAND(),AVERAGE(Assumptions!$D$9,Assumptions!$F$9),(Assumptions!$F$9-Assumptions!$D$9)/3.29)*21</f>
        <v>4480951.6810819022</v>
      </c>
      <c r="I678" s="9">
        <f ca="1">_xlfn.NORM.INV(RAND(),AVERAGE(Assumptions!$D$10,Assumptions!$F$10),(Assumptions!$F$10-Assumptions!$D$10)/3.29)*21</f>
        <v>791289.93088948936</v>
      </c>
      <c r="J678" s="12">
        <f ca="1">NORMINV(RAND(),AVERAGE(Assumptions!$D$11,Assumptions!$F$11),(Assumptions!$F$11-Assumptions!$D$11)/3.29)*44</f>
        <v>3244210.6408345695</v>
      </c>
      <c r="K678" s="15">
        <f ca="1">_xlfn.NORM.INV(RAND(),AVERAGE(Assumptions!$D$12,Assumptions!$F$12),(Assumptions!$F$12-Assumptions!$D$12)/3.29)*44</f>
        <v>9802080.8570772316</v>
      </c>
      <c r="L678" s="3">
        <f ca="1">_xlfn.NORM.INV(RAND(),AVERAGE(Assumptions!$D$13,Assumptions!$F$13),(Assumptions!$F$13-Assumptions!$D$13)/3.29)*44</f>
        <v>11862239.329959475</v>
      </c>
      <c r="M678" s="6">
        <f ca="1">_xlfn.NORM.INV(RAND(),AVERAGE(Assumptions!$D$14,Assumptions!$F$14),(Assumptions!$F$14-Assumptions!$D$14)/3.29)*44</f>
        <v>5715999.435860076</v>
      </c>
      <c r="N678" s="9">
        <f ca="1">_xlfn.NORM.INV(RAND(),AVERAGE(Assumptions!$D$16,Assumptions!$F$16),(Assumptions!$F$16-Assumptions!$D$16)/3.29)*44</f>
        <v>9878530.6007442065</v>
      </c>
      <c r="O678" s="12">
        <f ca="1">_xlfn.NORM.INV(RAND(),AVERAGE(Assumptions!$D$15,Assumptions!$F$15),(Assumptions!$F$15-Assumptions!$D$15)/3.29)*44</f>
        <v>40455399.023483217</v>
      </c>
      <c r="P678" s="15">
        <f>Assumptions!$D$18</f>
        <v>14641750.345627395</v>
      </c>
      <c r="Q678" s="3">
        <f t="shared" ca="1" si="20"/>
        <v>-20644691.314275809</v>
      </c>
      <c r="R678" s="6">
        <f t="shared" ca="1" si="21"/>
        <v>-6002940.9686484132</v>
      </c>
    </row>
    <row r="679" spans="1:18">
      <c r="A679" s="20">
        <v>678</v>
      </c>
      <c r="B679" s="3">
        <f ca="1">_xlfn.NORM.INV(RAND(),AVERAGE(Assumptions!$D$4,Assumptions!$F$4),(Assumptions!$F$4-Assumptions!$D$4)/3.29)*44</f>
        <v>1167136.3825740097</v>
      </c>
      <c r="C679" s="6">
        <f ca="1">_xlfn.NORM.INV(RAND(),AVERAGE(Assumptions!$D$5,Assumptions!$F$5),(Assumptions!$F$5-Assumptions!$D$5)/3.29)*44</f>
        <v>1870454.3457027748</v>
      </c>
      <c r="D679" s="9">
        <f ca="1">_xlfn.NORM.INV(RAND(),AVERAGE(Assumptions!$D$6,Assumptions!$F$6),(Assumptions!$F$6-Assumptions!$D$6)/3.29)*RANDBETWEEN(2,5)</f>
        <v>5728357.9257983668</v>
      </c>
      <c r="E679" s="12">
        <f ca="1">_xlfn.NORM.INV(RAND(),AVERAGE(Assumptions!$D$17,Assumptions!$F$17),(Assumptions!$F$17-Assumptions!$D$17)/3.29)*8</f>
        <v>813658.05885301181</v>
      </c>
      <c r="F679" s="15">
        <f ca="1">_xlfn.NORM.INV(RAND(),AVERAGE(Assumptions!$D$7,Assumptions!$F$7),(Assumptions!$F$7-Assumptions!$D$7)/3.29)*RANDBETWEEN(1,3)</f>
        <v>3047850.3480760222</v>
      </c>
      <c r="G679" s="3">
        <f ca="1">_xlfn.NORM.INV(RAND(),AVERAGE(Assumptions!$D$8,Assumptions!$F$8),(Assumptions!$F$8-Assumptions!$D$8)/3.29)*44</f>
        <v>1372677.2252046673</v>
      </c>
      <c r="H679" s="6">
        <f ca="1">_xlfn.NORM.INV(RAND(),AVERAGE(Assumptions!$D$9,Assumptions!$F$9),(Assumptions!$F$9-Assumptions!$D$9)/3.29)*21</f>
        <v>6703833.6214511301</v>
      </c>
      <c r="I679" s="9">
        <f ca="1">_xlfn.NORM.INV(RAND(),AVERAGE(Assumptions!$D$10,Assumptions!$F$10),(Assumptions!$F$10-Assumptions!$D$10)/3.29)*21</f>
        <v>574922.13611273142</v>
      </c>
      <c r="J679" s="12">
        <f ca="1">NORMINV(RAND(),AVERAGE(Assumptions!$D$11,Assumptions!$F$11),(Assumptions!$F$11-Assumptions!$D$11)/3.29)*44</f>
        <v>5007755.3365123337</v>
      </c>
      <c r="K679" s="15">
        <f ca="1">_xlfn.NORM.INV(RAND(),AVERAGE(Assumptions!$D$12,Assumptions!$F$12),(Assumptions!$F$12-Assumptions!$D$12)/3.29)*44</f>
        <v>10051247.427344617</v>
      </c>
      <c r="L679" s="3">
        <f ca="1">_xlfn.NORM.INV(RAND(),AVERAGE(Assumptions!$D$13,Assumptions!$F$13),(Assumptions!$F$13-Assumptions!$D$13)/3.29)*44</f>
        <v>13075901.684812186</v>
      </c>
      <c r="M679" s="6">
        <f ca="1">_xlfn.NORM.INV(RAND(),AVERAGE(Assumptions!$D$14,Assumptions!$F$14),(Assumptions!$F$14-Assumptions!$D$14)/3.29)*44</f>
        <v>6296985.5581567949</v>
      </c>
      <c r="N679" s="9">
        <f ca="1">_xlfn.NORM.INV(RAND(),AVERAGE(Assumptions!$D$16,Assumptions!$F$16),(Assumptions!$F$16-Assumptions!$D$16)/3.29)*44</f>
        <v>8368446.4162020218</v>
      </c>
      <c r="O679" s="12">
        <f ca="1">_xlfn.NORM.INV(RAND(),AVERAGE(Assumptions!$D$15,Assumptions!$F$15),(Assumptions!$F$15-Assumptions!$D$15)/3.29)*44</f>
        <v>116518322.60725918</v>
      </c>
      <c r="P679" s="15">
        <f>Assumptions!$D$18</f>
        <v>14641750.345627395</v>
      </c>
      <c r="Q679" s="3">
        <f t="shared" ca="1" si="20"/>
        <v>52439096.140458509</v>
      </c>
      <c r="R679" s="6">
        <f t="shared" ca="1" si="21"/>
        <v>67080846.486085907</v>
      </c>
    </row>
    <row r="680" spans="1:18">
      <c r="A680" s="20">
        <v>679</v>
      </c>
      <c r="B680" s="3">
        <f ca="1">_xlfn.NORM.INV(RAND(),AVERAGE(Assumptions!$D$4,Assumptions!$F$4),(Assumptions!$F$4-Assumptions!$D$4)/3.29)*44</f>
        <v>1171747.1878200851</v>
      </c>
      <c r="C680" s="6">
        <f ca="1">_xlfn.NORM.INV(RAND(),AVERAGE(Assumptions!$D$5,Assumptions!$F$5),(Assumptions!$F$5-Assumptions!$D$5)/3.29)*44</f>
        <v>2007289.3142099646</v>
      </c>
      <c r="D680" s="9">
        <f ca="1">_xlfn.NORM.INV(RAND(),AVERAGE(Assumptions!$D$6,Assumptions!$F$6),(Assumptions!$F$6-Assumptions!$D$6)/3.29)*RANDBETWEEN(2,5)</f>
        <v>7577079.0035861358</v>
      </c>
      <c r="E680" s="12">
        <f ca="1">_xlfn.NORM.INV(RAND(),AVERAGE(Assumptions!$D$17,Assumptions!$F$17),(Assumptions!$F$17-Assumptions!$D$17)/3.29)*8</f>
        <v>1123827.04399402</v>
      </c>
      <c r="F680" s="15">
        <f ca="1">_xlfn.NORM.INV(RAND(),AVERAGE(Assumptions!$D$7,Assumptions!$F$7),(Assumptions!$F$7-Assumptions!$D$7)/3.29)*RANDBETWEEN(1,3)</f>
        <v>2061808.8259409042</v>
      </c>
      <c r="G680" s="3">
        <f ca="1">_xlfn.NORM.INV(RAND(),AVERAGE(Assumptions!$D$8,Assumptions!$F$8),(Assumptions!$F$8-Assumptions!$D$8)/3.29)*44</f>
        <v>1167564.5789192095</v>
      </c>
      <c r="H680" s="6">
        <f ca="1">_xlfn.NORM.INV(RAND(),AVERAGE(Assumptions!$D$9,Assumptions!$F$9),(Assumptions!$F$9-Assumptions!$D$9)/3.29)*21</f>
        <v>4926171.8075485602</v>
      </c>
      <c r="I680" s="9">
        <f ca="1">_xlfn.NORM.INV(RAND(),AVERAGE(Assumptions!$D$10,Assumptions!$F$10),(Assumptions!$F$10-Assumptions!$D$10)/3.29)*21</f>
        <v>940276.59647677699</v>
      </c>
      <c r="J680" s="12">
        <f ca="1">NORMINV(RAND(),AVERAGE(Assumptions!$D$11,Assumptions!$F$11),(Assumptions!$F$11-Assumptions!$D$11)/3.29)*44</f>
        <v>3596482.4105704604</v>
      </c>
      <c r="K680" s="15">
        <f ca="1">_xlfn.NORM.INV(RAND(),AVERAGE(Assumptions!$D$12,Assumptions!$F$12),(Assumptions!$F$12-Assumptions!$D$12)/3.29)*44</f>
        <v>8001567.3719502678</v>
      </c>
      <c r="L680" s="3">
        <f ca="1">_xlfn.NORM.INV(RAND(),AVERAGE(Assumptions!$D$13,Assumptions!$F$13),(Assumptions!$F$13-Assumptions!$D$13)/3.29)*44</f>
        <v>12798750.243816577</v>
      </c>
      <c r="M680" s="6">
        <f ca="1">_xlfn.NORM.INV(RAND(),AVERAGE(Assumptions!$D$14,Assumptions!$F$14),(Assumptions!$F$14-Assumptions!$D$14)/3.29)*44</f>
        <v>5538242.7342724232</v>
      </c>
      <c r="N680" s="9">
        <f ca="1">_xlfn.NORM.INV(RAND(),AVERAGE(Assumptions!$D$16,Assumptions!$F$16),(Assumptions!$F$16-Assumptions!$D$16)/3.29)*44</f>
        <v>9047934.3582680374</v>
      </c>
      <c r="O680" s="12">
        <f ca="1">_xlfn.NORM.INV(RAND(),AVERAGE(Assumptions!$D$15,Assumptions!$F$15),(Assumptions!$F$15-Assumptions!$D$15)/3.29)*44</f>
        <v>186881983.87256444</v>
      </c>
      <c r="P680" s="15">
        <f>Assumptions!$D$18</f>
        <v>14641750.345627395</v>
      </c>
      <c r="Q680" s="3">
        <f t="shared" ca="1" si="20"/>
        <v>126923242.39519101</v>
      </c>
      <c r="R680" s="6">
        <f t="shared" ca="1" si="21"/>
        <v>141564992.74081841</v>
      </c>
    </row>
    <row r="681" spans="1:18">
      <c r="A681" s="20">
        <v>680</v>
      </c>
      <c r="B681" s="3">
        <f ca="1">_xlfn.NORM.INV(RAND(),AVERAGE(Assumptions!$D$4,Assumptions!$F$4),(Assumptions!$F$4-Assumptions!$D$4)/3.29)*44</f>
        <v>1218823.1005749889</v>
      </c>
      <c r="C681" s="6">
        <f ca="1">_xlfn.NORM.INV(RAND(),AVERAGE(Assumptions!$D$5,Assumptions!$F$5),(Assumptions!$F$5-Assumptions!$D$5)/3.29)*44</f>
        <v>1830103.1527827922</v>
      </c>
      <c r="D681" s="9">
        <f ca="1">_xlfn.NORM.INV(RAND(),AVERAGE(Assumptions!$D$6,Assumptions!$F$6),(Assumptions!$F$6-Assumptions!$D$6)/3.29)*RANDBETWEEN(2,5)</f>
        <v>3183954.1389220897</v>
      </c>
      <c r="E681" s="12">
        <f ca="1">_xlfn.NORM.INV(RAND(),AVERAGE(Assumptions!$D$17,Assumptions!$F$17),(Assumptions!$F$17-Assumptions!$D$17)/3.29)*8</f>
        <v>952005.24501064268</v>
      </c>
      <c r="F681" s="15">
        <f ca="1">_xlfn.NORM.INV(RAND(),AVERAGE(Assumptions!$D$7,Assumptions!$F$7),(Assumptions!$F$7-Assumptions!$D$7)/3.29)*RANDBETWEEN(1,3)</f>
        <v>9249961.974232059</v>
      </c>
      <c r="G681" s="3">
        <f ca="1">_xlfn.NORM.INV(RAND(),AVERAGE(Assumptions!$D$8,Assumptions!$F$8),(Assumptions!$F$8-Assumptions!$D$8)/3.29)*44</f>
        <v>1702206.0283881589</v>
      </c>
      <c r="H681" s="6">
        <f ca="1">_xlfn.NORM.INV(RAND(),AVERAGE(Assumptions!$D$9,Assumptions!$F$9),(Assumptions!$F$9-Assumptions!$D$9)/3.29)*21</f>
        <v>3797364.5408850168</v>
      </c>
      <c r="I681" s="9">
        <f ca="1">_xlfn.NORM.INV(RAND(),AVERAGE(Assumptions!$D$10,Assumptions!$F$10),(Assumptions!$F$10-Assumptions!$D$10)/3.29)*21</f>
        <v>943744.94815126585</v>
      </c>
      <c r="J681" s="12">
        <f ca="1">NORMINV(RAND(),AVERAGE(Assumptions!$D$11,Assumptions!$F$11),(Assumptions!$F$11-Assumptions!$D$11)/3.29)*44</f>
        <v>2271709.903518883</v>
      </c>
      <c r="K681" s="15">
        <f ca="1">_xlfn.NORM.INV(RAND(),AVERAGE(Assumptions!$D$12,Assumptions!$F$12),(Assumptions!$F$12-Assumptions!$D$12)/3.29)*44</f>
        <v>5573218.4146759314</v>
      </c>
      <c r="L681" s="3">
        <f ca="1">_xlfn.NORM.INV(RAND(),AVERAGE(Assumptions!$D$13,Assumptions!$F$13),(Assumptions!$F$13-Assumptions!$D$13)/3.29)*44</f>
        <v>10426958.999240685</v>
      </c>
      <c r="M681" s="6">
        <f ca="1">_xlfn.NORM.INV(RAND(),AVERAGE(Assumptions!$D$14,Assumptions!$F$14),(Assumptions!$F$14-Assumptions!$D$14)/3.29)*44</f>
        <v>4851863.1274188571</v>
      </c>
      <c r="N681" s="9">
        <f ca="1">_xlfn.NORM.INV(RAND(),AVERAGE(Assumptions!$D$16,Assumptions!$F$16),(Assumptions!$F$16-Assumptions!$D$16)/3.29)*44</f>
        <v>9755591.8906148747</v>
      </c>
      <c r="O681" s="12">
        <f ca="1">_xlfn.NORM.INV(RAND(),AVERAGE(Assumptions!$D$15,Assumptions!$F$15),(Assumptions!$F$15-Assumptions!$D$15)/3.29)*44</f>
        <v>122925401.86636692</v>
      </c>
      <c r="P681" s="15">
        <f>Assumptions!$D$18</f>
        <v>14641750.345627395</v>
      </c>
      <c r="Q681" s="3">
        <f t="shared" ca="1" si="20"/>
        <v>67167896.401950687</v>
      </c>
      <c r="R681" s="6">
        <f t="shared" ca="1" si="21"/>
        <v>81809646.747578084</v>
      </c>
    </row>
    <row r="682" spans="1:18">
      <c r="A682" s="20">
        <v>681</v>
      </c>
      <c r="B682" s="3">
        <f ca="1">_xlfn.NORM.INV(RAND(),AVERAGE(Assumptions!$D$4,Assumptions!$F$4),(Assumptions!$F$4-Assumptions!$D$4)/3.29)*44</f>
        <v>1250343.1187412061</v>
      </c>
      <c r="C682" s="6">
        <f ca="1">_xlfn.NORM.INV(RAND(),AVERAGE(Assumptions!$D$5,Assumptions!$F$5),(Assumptions!$F$5-Assumptions!$D$5)/3.29)*44</f>
        <v>1660519.7496827315</v>
      </c>
      <c r="D682" s="9">
        <f ca="1">_xlfn.NORM.INV(RAND(),AVERAGE(Assumptions!$D$6,Assumptions!$F$6),(Assumptions!$F$6-Assumptions!$D$6)/3.29)*RANDBETWEEN(2,5)</f>
        <v>6886294.1603125017</v>
      </c>
      <c r="E682" s="12">
        <f ca="1">_xlfn.NORM.INV(RAND(),AVERAGE(Assumptions!$D$17,Assumptions!$F$17),(Assumptions!$F$17-Assumptions!$D$17)/3.29)*8</f>
        <v>947859.58420819952</v>
      </c>
      <c r="F682" s="15">
        <f ca="1">_xlfn.NORM.INV(RAND(),AVERAGE(Assumptions!$D$7,Assumptions!$F$7),(Assumptions!$F$7-Assumptions!$D$7)/3.29)*RANDBETWEEN(1,3)</f>
        <v>7623486.1115392819</v>
      </c>
      <c r="G682" s="3">
        <f ca="1">_xlfn.NORM.INV(RAND(),AVERAGE(Assumptions!$D$8,Assumptions!$F$8),(Assumptions!$F$8-Assumptions!$D$8)/3.29)*44</f>
        <v>892132.52770241676</v>
      </c>
      <c r="H682" s="6">
        <f ca="1">_xlfn.NORM.INV(RAND(),AVERAGE(Assumptions!$D$9,Assumptions!$F$9),(Assumptions!$F$9-Assumptions!$D$9)/3.29)*21</f>
        <v>6209505.3668500744</v>
      </c>
      <c r="I682" s="9">
        <f ca="1">_xlfn.NORM.INV(RAND(),AVERAGE(Assumptions!$D$10,Assumptions!$F$10),(Assumptions!$F$10-Assumptions!$D$10)/3.29)*21</f>
        <v>897192.01943683357</v>
      </c>
      <c r="J682" s="12">
        <f ca="1">NORMINV(RAND(),AVERAGE(Assumptions!$D$11,Assumptions!$F$11),(Assumptions!$F$11-Assumptions!$D$11)/3.29)*44</f>
        <v>4108662.0971628544</v>
      </c>
      <c r="K682" s="15">
        <f ca="1">_xlfn.NORM.INV(RAND(),AVERAGE(Assumptions!$D$12,Assumptions!$F$12),(Assumptions!$F$12-Assumptions!$D$12)/3.29)*44</f>
        <v>7166489.3199685849</v>
      </c>
      <c r="L682" s="3">
        <f ca="1">_xlfn.NORM.INV(RAND(),AVERAGE(Assumptions!$D$13,Assumptions!$F$13),(Assumptions!$F$13-Assumptions!$D$13)/3.29)*44</f>
        <v>19394914.990327418</v>
      </c>
      <c r="M682" s="6">
        <f ca="1">_xlfn.NORM.INV(RAND(),AVERAGE(Assumptions!$D$14,Assumptions!$F$14),(Assumptions!$F$14-Assumptions!$D$14)/3.29)*44</f>
        <v>3905602.9581062384</v>
      </c>
      <c r="N682" s="9">
        <f ca="1">_xlfn.NORM.INV(RAND(),AVERAGE(Assumptions!$D$16,Assumptions!$F$16),(Assumptions!$F$16-Assumptions!$D$16)/3.29)*44</f>
        <v>4166046.9494397035</v>
      </c>
      <c r="O682" s="12">
        <f ca="1">_xlfn.NORM.INV(RAND(),AVERAGE(Assumptions!$D$15,Assumptions!$F$15),(Assumptions!$F$15-Assumptions!$D$15)/3.29)*44</f>
        <v>130930155.76344568</v>
      </c>
      <c r="P682" s="15">
        <f>Assumptions!$D$18</f>
        <v>14641750.345627395</v>
      </c>
      <c r="Q682" s="3">
        <f t="shared" ca="1" si="20"/>
        <v>65821106.80996763</v>
      </c>
      <c r="R682" s="6">
        <f t="shared" ca="1" si="21"/>
        <v>80462857.155595019</v>
      </c>
    </row>
    <row r="683" spans="1:18">
      <c r="A683" s="20">
        <v>682</v>
      </c>
      <c r="B683" s="3">
        <f ca="1">_xlfn.NORM.INV(RAND(),AVERAGE(Assumptions!$D$4,Assumptions!$F$4),(Assumptions!$F$4-Assumptions!$D$4)/3.29)*44</f>
        <v>1170057.1587470204</v>
      </c>
      <c r="C683" s="6">
        <f ca="1">_xlfn.NORM.INV(RAND(),AVERAGE(Assumptions!$D$5,Assumptions!$F$5),(Assumptions!$F$5-Assumptions!$D$5)/3.29)*44</f>
        <v>1780023.6374328688</v>
      </c>
      <c r="D683" s="9">
        <f ca="1">_xlfn.NORM.INV(RAND(),AVERAGE(Assumptions!$D$6,Assumptions!$F$6),(Assumptions!$F$6-Assumptions!$D$6)/3.29)*RANDBETWEEN(2,5)</f>
        <v>1799149.3221766907</v>
      </c>
      <c r="E683" s="12">
        <f ca="1">_xlfn.NORM.INV(RAND(),AVERAGE(Assumptions!$D$17,Assumptions!$F$17),(Assumptions!$F$17-Assumptions!$D$17)/3.29)*8</f>
        <v>1135633.4817068903</v>
      </c>
      <c r="F683" s="15">
        <f ca="1">_xlfn.NORM.INV(RAND(),AVERAGE(Assumptions!$D$7,Assumptions!$F$7),(Assumptions!$F$7-Assumptions!$D$7)/3.29)*RANDBETWEEN(1,3)</f>
        <v>1970282.1268854486</v>
      </c>
      <c r="G683" s="3">
        <f ca="1">_xlfn.NORM.INV(RAND(),AVERAGE(Assumptions!$D$8,Assumptions!$F$8),(Assumptions!$F$8-Assumptions!$D$8)/3.29)*44</f>
        <v>1136041.3845912216</v>
      </c>
      <c r="H683" s="6">
        <f ca="1">_xlfn.NORM.INV(RAND(),AVERAGE(Assumptions!$D$9,Assumptions!$F$9),(Assumptions!$F$9-Assumptions!$D$9)/3.29)*21</f>
        <v>6518223.8035241356</v>
      </c>
      <c r="I683" s="9">
        <f ca="1">_xlfn.NORM.INV(RAND(),AVERAGE(Assumptions!$D$10,Assumptions!$F$10),(Assumptions!$F$10-Assumptions!$D$10)/3.29)*21</f>
        <v>681903.57783643319</v>
      </c>
      <c r="J683" s="12">
        <f ca="1">NORMINV(RAND(),AVERAGE(Assumptions!$D$11,Assumptions!$F$11),(Assumptions!$F$11-Assumptions!$D$11)/3.29)*44</f>
        <v>4012202.8516595117</v>
      </c>
      <c r="K683" s="15">
        <f ca="1">_xlfn.NORM.INV(RAND(),AVERAGE(Assumptions!$D$12,Assumptions!$F$12),(Assumptions!$F$12-Assumptions!$D$12)/3.29)*44</f>
        <v>11859181.636962738</v>
      </c>
      <c r="L683" s="3">
        <f ca="1">_xlfn.NORM.INV(RAND(),AVERAGE(Assumptions!$D$13,Assumptions!$F$13),(Assumptions!$F$13-Assumptions!$D$13)/3.29)*44</f>
        <v>18535971.518148489</v>
      </c>
      <c r="M683" s="6">
        <f ca="1">_xlfn.NORM.INV(RAND(),AVERAGE(Assumptions!$D$14,Assumptions!$F$14),(Assumptions!$F$14-Assumptions!$D$14)/3.29)*44</f>
        <v>5435242.2778951274</v>
      </c>
      <c r="N683" s="9">
        <f ca="1">_xlfn.NORM.INV(RAND(),AVERAGE(Assumptions!$D$16,Assumptions!$F$16),(Assumptions!$F$16-Assumptions!$D$16)/3.29)*44</f>
        <v>13396302.615351412</v>
      </c>
      <c r="O683" s="12">
        <f ca="1">_xlfn.NORM.INV(RAND(),AVERAGE(Assumptions!$D$15,Assumptions!$F$15),(Assumptions!$F$15-Assumptions!$D$15)/3.29)*44</f>
        <v>102407081.58818415</v>
      </c>
      <c r="P683" s="15">
        <f>Assumptions!$D$18</f>
        <v>14641750.345627395</v>
      </c>
      <c r="Q683" s="3">
        <f t="shared" ca="1" si="20"/>
        <v>32976866.195266157</v>
      </c>
      <c r="R683" s="6">
        <f t="shared" ca="1" si="21"/>
        <v>47618616.540893555</v>
      </c>
    </row>
    <row r="684" spans="1:18">
      <c r="A684" s="20">
        <v>683</v>
      </c>
      <c r="B684" s="3">
        <f ca="1">_xlfn.NORM.INV(RAND(),AVERAGE(Assumptions!$D$4,Assumptions!$F$4),(Assumptions!$F$4-Assumptions!$D$4)/3.29)*44</f>
        <v>1159957.5863119438</v>
      </c>
      <c r="C684" s="6">
        <f ca="1">_xlfn.NORM.INV(RAND(),AVERAGE(Assumptions!$D$5,Assumptions!$F$5),(Assumptions!$F$5-Assumptions!$D$5)/3.29)*44</f>
        <v>1839534.1266368791</v>
      </c>
      <c r="D684" s="9">
        <f ca="1">_xlfn.NORM.INV(RAND(),AVERAGE(Assumptions!$D$6,Assumptions!$F$6),(Assumptions!$F$6-Assumptions!$D$6)/3.29)*RANDBETWEEN(2,5)</f>
        <v>6766925.3249110421</v>
      </c>
      <c r="E684" s="12">
        <f ca="1">_xlfn.NORM.INV(RAND(),AVERAGE(Assumptions!$D$17,Assumptions!$F$17),(Assumptions!$F$17-Assumptions!$D$17)/3.29)*8</f>
        <v>896118.68368701497</v>
      </c>
      <c r="F684" s="15">
        <f ca="1">_xlfn.NORM.INV(RAND(),AVERAGE(Assumptions!$D$7,Assumptions!$F$7),(Assumptions!$F$7-Assumptions!$D$7)/3.29)*RANDBETWEEN(1,3)</f>
        <v>2493943.2648426169</v>
      </c>
      <c r="G684" s="3">
        <f ca="1">_xlfn.NORM.INV(RAND(),AVERAGE(Assumptions!$D$8,Assumptions!$F$8),(Assumptions!$F$8-Assumptions!$D$8)/3.29)*44</f>
        <v>1282344.3976366438</v>
      </c>
      <c r="H684" s="6">
        <f ca="1">_xlfn.NORM.INV(RAND(),AVERAGE(Assumptions!$D$9,Assumptions!$F$9),(Assumptions!$F$9-Assumptions!$D$9)/3.29)*21</f>
        <v>4246649.4047280373</v>
      </c>
      <c r="I684" s="9">
        <f ca="1">_xlfn.NORM.INV(RAND(),AVERAGE(Assumptions!$D$10,Assumptions!$F$10),(Assumptions!$F$10-Assumptions!$D$10)/3.29)*21</f>
        <v>1300303.7570096855</v>
      </c>
      <c r="J684" s="12">
        <f ca="1">NORMINV(RAND(),AVERAGE(Assumptions!$D$11,Assumptions!$F$11),(Assumptions!$F$11-Assumptions!$D$11)/3.29)*44</f>
        <v>4601227.6101018544</v>
      </c>
      <c r="K684" s="15">
        <f ca="1">_xlfn.NORM.INV(RAND(),AVERAGE(Assumptions!$D$12,Assumptions!$F$12),(Assumptions!$F$12-Assumptions!$D$12)/3.29)*44</f>
        <v>10104031.537542479</v>
      </c>
      <c r="L684" s="3">
        <f ca="1">_xlfn.NORM.INV(RAND(),AVERAGE(Assumptions!$D$13,Assumptions!$F$13),(Assumptions!$F$13-Assumptions!$D$13)/3.29)*44</f>
        <v>17061139.280862745</v>
      </c>
      <c r="M684" s="6">
        <f ca="1">_xlfn.NORM.INV(RAND(),AVERAGE(Assumptions!$D$14,Assumptions!$F$14),(Assumptions!$F$14-Assumptions!$D$14)/3.29)*44</f>
        <v>5803890.9973910302</v>
      </c>
      <c r="N684" s="9">
        <f ca="1">_xlfn.NORM.INV(RAND(),AVERAGE(Assumptions!$D$16,Assumptions!$F$16),(Assumptions!$F$16-Assumptions!$D$16)/3.29)*44</f>
        <v>7199991.919813362</v>
      </c>
      <c r="O684" s="12">
        <f ca="1">_xlfn.NORM.INV(RAND(),AVERAGE(Assumptions!$D$15,Assumptions!$F$15),(Assumptions!$F$15-Assumptions!$D$15)/3.29)*44</f>
        <v>115650951.14061666</v>
      </c>
      <c r="P684" s="15">
        <f>Assumptions!$D$18</f>
        <v>14641750.345627395</v>
      </c>
      <c r="Q684" s="3">
        <f t="shared" ca="1" si="20"/>
        <v>50894893.249141321</v>
      </c>
      <c r="R684" s="6">
        <f t="shared" ca="1" si="21"/>
        <v>65536643.594768718</v>
      </c>
    </row>
    <row r="685" spans="1:18">
      <c r="A685" s="20">
        <v>684</v>
      </c>
      <c r="B685" s="3">
        <f ca="1">_xlfn.NORM.INV(RAND(),AVERAGE(Assumptions!$D$4,Assumptions!$F$4),(Assumptions!$F$4-Assumptions!$D$4)/3.29)*44</f>
        <v>991228.67618796101</v>
      </c>
      <c r="C685" s="6">
        <f ca="1">_xlfn.NORM.INV(RAND(),AVERAGE(Assumptions!$D$5,Assumptions!$F$5),(Assumptions!$F$5-Assumptions!$D$5)/3.29)*44</f>
        <v>1833471.5484280325</v>
      </c>
      <c r="D685" s="9">
        <f ca="1">_xlfn.NORM.INV(RAND(),AVERAGE(Assumptions!$D$6,Assumptions!$F$6),(Assumptions!$F$6-Assumptions!$D$6)/3.29)*RANDBETWEEN(2,5)</f>
        <v>4379965.5112310629</v>
      </c>
      <c r="E685" s="12">
        <f ca="1">_xlfn.NORM.INV(RAND(),AVERAGE(Assumptions!$D$17,Assumptions!$F$17),(Assumptions!$F$17-Assumptions!$D$17)/3.29)*8</f>
        <v>939938.6416209098</v>
      </c>
      <c r="F685" s="15">
        <f ca="1">_xlfn.NORM.INV(RAND(),AVERAGE(Assumptions!$D$7,Assumptions!$F$7),(Assumptions!$F$7-Assumptions!$D$7)/3.29)*RANDBETWEEN(1,3)</f>
        <v>12056213.06971346</v>
      </c>
      <c r="G685" s="3">
        <f ca="1">_xlfn.NORM.INV(RAND(),AVERAGE(Assumptions!$D$8,Assumptions!$F$8),(Assumptions!$F$8-Assumptions!$D$8)/3.29)*44</f>
        <v>1371358.273817172</v>
      </c>
      <c r="H685" s="6">
        <f ca="1">_xlfn.NORM.INV(RAND(),AVERAGE(Assumptions!$D$9,Assumptions!$F$9),(Assumptions!$F$9-Assumptions!$D$9)/3.29)*21</f>
        <v>1631204.8583591378</v>
      </c>
      <c r="I685" s="9">
        <f ca="1">_xlfn.NORM.INV(RAND(),AVERAGE(Assumptions!$D$10,Assumptions!$F$10),(Assumptions!$F$10-Assumptions!$D$10)/3.29)*21</f>
        <v>648398.00188045599</v>
      </c>
      <c r="J685" s="12">
        <f ca="1">NORMINV(RAND(),AVERAGE(Assumptions!$D$11,Assumptions!$F$11),(Assumptions!$F$11-Assumptions!$D$11)/3.29)*44</f>
        <v>2853826.0270517464</v>
      </c>
      <c r="K685" s="15">
        <f ca="1">_xlfn.NORM.INV(RAND(),AVERAGE(Assumptions!$D$12,Assumptions!$F$12),(Assumptions!$F$12-Assumptions!$D$12)/3.29)*44</f>
        <v>9018434.2772381157</v>
      </c>
      <c r="L685" s="3">
        <f ca="1">_xlfn.NORM.INV(RAND(),AVERAGE(Assumptions!$D$13,Assumptions!$F$13),(Assumptions!$F$13-Assumptions!$D$13)/3.29)*44</f>
        <v>7397399.6784469122</v>
      </c>
      <c r="M685" s="6">
        <f ca="1">_xlfn.NORM.INV(RAND(),AVERAGE(Assumptions!$D$14,Assumptions!$F$14),(Assumptions!$F$14-Assumptions!$D$14)/3.29)*44</f>
        <v>6506046.256844474</v>
      </c>
      <c r="N685" s="9">
        <f ca="1">_xlfn.NORM.INV(RAND(),AVERAGE(Assumptions!$D$16,Assumptions!$F$16),(Assumptions!$F$16-Assumptions!$D$16)/3.29)*44</f>
        <v>4587014.8517677393</v>
      </c>
      <c r="O685" s="12">
        <f ca="1">_xlfn.NORM.INV(RAND(),AVERAGE(Assumptions!$D$15,Assumptions!$F$15),(Assumptions!$F$15-Assumptions!$D$15)/3.29)*44</f>
        <v>77498319.651483193</v>
      </c>
      <c r="P685" s="15">
        <f>Assumptions!$D$18</f>
        <v>14641750.345627395</v>
      </c>
      <c r="Q685" s="3">
        <f t="shared" ca="1" si="20"/>
        <v>23283819.978896014</v>
      </c>
      <c r="R685" s="6">
        <f t="shared" ca="1" si="21"/>
        <v>37925570.324523412</v>
      </c>
    </row>
    <row r="686" spans="1:18">
      <c r="A686" s="20">
        <v>685</v>
      </c>
      <c r="B686" s="3">
        <f ca="1">_xlfn.NORM.INV(RAND(),AVERAGE(Assumptions!$D$4,Assumptions!$F$4),(Assumptions!$F$4-Assumptions!$D$4)/3.29)*44</f>
        <v>1207859.812829016</v>
      </c>
      <c r="C686" s="6">
        <f ca="1">_xlfn.NORM.INV(RAND(),AVERAGE(Assumptions!$D$5,Assumptions!$F$5),(Assumptions!$F$5-Assumptions!$D$5)/3.29)*44</f>
        <v>1853052.5085067733</v>
      </c>
      <c r="D686" s="9">
        <f ca="1">_xlfn.NORM.INV(RAND(),AVERAGE(Assumptions!$D$6,Assumptions!$F$6),(Assumptions!$F$6-Assumptions!$D$6)/3.29)*RANDBETWEEN(2,5)</f>
        <v>2428260.5041180053</v>
      </c>
      <c r="E686" s="12">
        <f ca="1">_xlfn.NORM.INV(RAND(),AVERAGE(Assumptions!$D$17,Assumptions!$F$17),(Assumptions!$F$17-Assumptions!$D$17)/3.29)*8</f>
        <v>722673.32687460212</v>
      </c>
      <c r="F686" s="15">
        <f ca="1">_xlfn.NORM.INV(RAND(),AVERAGE(Assumptions!$D$7,Assumptions!$F$7),(Assumptions!$F$7-Assumptions!$D$7)/3.29)*RANDBETWEEN(1,3)</f>
        <v>2602666.1309380434</v>
      </c>
      <c r="G686" s="3">
        <f ca="1">_xlfn.NORM.INV(RAND(),AVERAGE(Assumptions!$D$8,Assumptions!$F$8),(Assumptions!$F$8-Assumptions!$D$8)/3.29)*44</f>
        <v>899560.50396819517</v>
      </c>
      <c r="H686" s="6">
        <f ca="1">_xlfn.NORM.INV(RAND(),AVERAGE(Assumptions!$D$9,Assumptions!$F$9),(Assumptions!$F$9-Assumptions!$D$9)/3.29)*21</f>
        <v>1891880.9785919222</v>
      </c>
      <c r="I686" s="9">
        <f ca="1">_xlfn.NORM.INV(RAND(),AVERAGE(Assumptions!$D$10,Assumptions!$F$10),(Assumptions!$F$10-Assumptions!$D$10)/3.29)*21</f>
        <v>444096.39877069549</v>
      </c>
      <c r="J686" s="12">
        <f ca="1">NORMINV(RAND(),AVERAGE(Assumptions!$D$11,Assumptions!$F$11),(Assumptions!$F$11-Assumptions!$D$11)/3.29)*44</f>
        <v>2712643.1988405036</v>
      </c>
      <c r="K686" s="15">
        <f ca="1">_xlfn.NORM.INV(RAND(),AVERAGE(Assumptions!$D$12,Assumptions!$F$12),(Assumptions!$F$12-Assumptions!$D$12)/3.29)*44</f>
        <v>6317434.2691009874</v>
      </c>
      <c r="L686" s="3">
        <f ca="1">_xlfn.NORM.INV(RAND(),AVERAGE(Assumptions!$D$13,Assumptions!$F$13),(Assumptions!$F$13-Assumptions!$D$13)/3.29)*44</f>
        <v>20186757.244159251</v>
      </c>
      <c r="M686" s="6">
        <f ca="1">_xlfn.NORM.INV(RAND(),AVERAGE(Assumptions!$D$14,Assumptions!$F$14),(Assumptions!$F$14-Assumptions!$D$14)/3.29)*44</f>
        <v>5345975.1270187097</v>
      </c>
      <c r="N686" s="9">
        <f ca="1">_xlfn.NORM.INV(RAND(),AVERAGE(Assumptions!$D$16,Assumptions!$F$16),(Assumptions!$F$16-Assumptions!$D$16)/3.29)*44</f>
        <v>4823923.2046035873</v>
      </c>
      <c r="O686" s="12">
        <f ca="1">_xlfn.NORM.INV(RAND(),AVERAGE(Assumptions!$D$15,Assumptions!$F$15),(Assumptions!$F$15-Assumptions!$D$15)/3.29)*44</f>
        <v>30856495.572166108</v>
      </c>
      <c r="P686" s="15">
        <f>Assumptions!$D$18</f>
        <v>14641750.345627395</v>
      </c>
      <c r="Q686" s="3">
        <f t="shared" ca="1" si="20"/>
        <v>-20580287.636154182</v>
      </c>
      <c r="R686" s="6">
        <f t="shared" ca="1" si="21"/>
        <v>-5938537.2905267868</v>
      </c>
    </row>
    <row r="687" spans="1:18">
      <c r="A687" s="20">
        <v>686</v>
      </c>
      <c r="B687" s="3">
        <f ca="1">_xlfn.NORM.INV(RAND(),AVERAGE(Assumptions!$D$4,Assumptions!$F$4),(Assumptions!$F$4-Assumptions!$D$4)/3.29)*44</f>
        <v>1164470.4624686707</v>
      </c>
      <c r="C687" s="6">
        <f ca="1">_xlfn.NORM.INV(RAND(),AVERAGE(Assumptions!$D$5,Assumptions!$F$5),(Assumptions!$F$5-Assumptions!$D$5)/3.29)*44</f>
        <v>1657253.2194601935</v>
      </c>
      <c r="D687" s="9">
        <f ca="1">_xlfn.NORM.INV(RAND(),AVERAGE(Assumptions!$D$6,Assumptions!$F$6),(Assumptions!$F$6-Assumptions!$D$6)/3.29)*RANDBETWEEN(2,5)</f>
        <v>2663382.6277116332</v>
      </c>
      <c r="E687" s="12">
        <f ca="1">_xlfn.NORM.INV(RAND(),AVERAGE(Assumptions!$D$17,Assumptions!$F$17),(Assumptions!$F$17-Assumptions!$D$17)/3.29)*8</f>
        <v>1011555.5717583019</v>
      </c>
      <c r="F687" s="15">
        <f ca="1">_xlfn.NORM.INV(RAND(),AVERAGE(Assumptions!$D$7,Assumptions!$F$7),(Assumptions!$F$7-Assumptions!$D$7)/3.29)*RANDBETWEEN(1,3)</f>
        <v>5295343.039653372</v>
      </c>
      <c r="G687" s="3">
        <f ca="1">_xlfn.NORM.INV(RAND(),AVERAGE(Assumptions!$D$8,Assumptions!$F$8),(Assumptions!$F$8-Assumptions!$D$8)/3.29)*44</f>
        <v>1129491.1130998768</v>
      </c>
      <c r="H687" s="6">
        <f ca="1">_xlfn.NORM.INV(RAND(),AVERAGE(Assumptions!$D$9,Assumptions!$F$9),(Assumptions!$F$9-Assumptions!$D$9)/3.29)*21</f>
        <v>2114951.3897183882</v>
      </c>
      <c r="I687" s="9">
        <f ca="1">_xlfn.NORM.INV(RAND(),AVERAGE(Assumptions!$D$10,Assumptions!$F$10),(Assumptions!$F$10-Assumptions!$D$10)/3.29)*21</f>
        <v>1442799.7650743085</v>
      </c>
      <c r="J687" s="12">
        <f ca="1">NORMINV(RAND(),AVERAGE(Assumptions!$D$11,Assumptions!$F$11),(Assumptions!$F$11-Assumptions!$D$11)/3.29)*44</f>
        <v>3344772.4390036482</v>
      </c>
      <c r="K687" s="15">
        <f ca="1">_xlfn.NORM.INV(RAND(),AVERAGE(Assumptions!$D$12,Assumptions!$F$12),(Assumptions!$F$12-Assumptions!$D$12)/3.29)*44</f>
        <v>11665910.302538203</v>
      </c>
      <c r="L687" s="3">
        <f ca="1">_xlfn.NORM.INV(RAND(),AVERAGE(Assumptions!$D$13,Assumptions!$F$13),(Assumptions!$F$13-Assumptions!$D$13)/3.29)*44</f>
        <v>13874591.760140214</v>
      </c>
      <c r="M687" s="6">
        <f ca="1">_xlfn.NORM.INV(RAND(),AVERAGE(Assumptions!$D$14,Assumptions!$F$14),(Assumptions!$F$14-Assumptions!$D$14)/3.29)*44</f>
        <v>6779453.3587897159</v>
      </c>
      <c r="N687" s="9">
        <f ca="1">_xlfn.NORM.INV(RAND(),AVERAGE(Assumptions!$D$16,Assumptions!$F$16),(Assumptions!$F$16-Assumptions!$D$16)/3.29)*44</f>
        <v>5054786.8985742861</v>
      </c>
      <c r="O687" s="12">
        <f ca="1">_xlfn.NORM.INV(RAND(),AVERAGE(Assumptions!$D$15,Assumptions!$F$15),(Assumptions!$F$15-Assumptions!$D$15)/3.29)*44</f>
        <v>115532975.55333896</v>
      </c>
      <c r="P687" s="15">
        <f>Assumptions!$D$18</f>
        <v>14641750.345627395</v>
      </c>
      <c r="Q687" s="3">
        <f t="shared" ca="1" si="20"/>
        <v>58334213.605348162</v>
      </c>
      <c r="R687" s="6">
        <f t="shared" ca="1" si="21"/>
        <v>72975963.950975552</v>
      </c>
    </row>
    <row r="688" spans="1:18">
      <c r="A688" s="20">
        <v>687</v>
      </c>
      <c r="B688" s="3">
        <f ca="1">_xlfn.NORM.INV(RAND(),AVERAGE(Assumptions!$D$4,Assumptions!$F$4),(Assumptions!$F$4-Assumptions!$D$4)/3.29)*44</f>
        <v>1268457.4314465635</v>
      </c>
      <c r="C688" s="6">
        <f ca="1">_xlfn.NORM.INV(RAND(),AVERAGE(Assumptions!$D$5,Assumptions!$F$5),(Assumptions!$F$5-Assumptions!$D$5)/3.29)*44</f>
        <v>1615174.4720290224</v>
      </c>
      <c r="D688" s="9">
        <f ca="1">_xlfn.NORM.INV(RAND(),AVERAGE(Assumptions!$D$6,Assumptions!$F$6),(Assumptions!$F$6-Assumptions!$D$6)/3.29)*RANDBETWEEN(2,5)</f>
        <v>4092655.3576644883</v>
      </c>
      <c r="E688" s="12">
        <f ca="1">_xlfn.NORM.INV(RAND(),AVERAGE(Assumptions!$D$17,Assumptions!$F$17),(Assumptions!$F$17-Assumptions!$D$17)/3.29)*8</f>
        <v>1142324.7174777994</v>
      </c>
      <c r="F688" s="15">
        <f ca="1">_xlfn.NORM.INV(RAND(),AVERAGE(Assumptions!$D$7,Assumptions!$F$7),(Assumptions!$F$7-Assumptions!$D$7)/3.29)*RANDBETWEEN(1,3)</f>
        <v>2944277.1816664645</v>
      </c>
      <c r="G688" s="3">
        <f ca="1">_xlfn.NORM.INV(RAND(),AVERAGE(Assumptions!$D$8,Assumptions!$F$8),(Assumptions!$F$8-Assumptions!$D$8)/3.29)*44</f>
        <v>923779.37566690147</v>
      </c>
      <c r="H688" s="6">
        <f ca="1">_xlfn.NORM.INV(RAND(),AVERAGE(Assumptions!$D$9,Assumptions!$F$9),(Assumptions!$F$9-Assumptions!$D$9)/3.29)*21</f>
        <v>5686028.640275077</v>
      </c>
      <c r="I688" s="9">
        <f ca="1">_xlfn.NORM.INV(RAND(),AVERAGE(Assumptions!$D$10,Assumptions!$F$10),(Assumptions!$F$10-Assumptions!$D$10)/3.29)*21</f>
        <v>906086.66541851463</v>
      </c>
      <c r="J688" s="12">
        <f ca="1">NORMINV(RAND(),AVERAGE(Assumptions!$D$11,Assumptions!$F$11),(Assumptions!$F$11-Assumptions!$D$11)/3.29)*44</f>
        <v>2945748.7028192403</v>
      </c>
      <c r="K688" s="15">
        <f ca="1">_xlfn.NORM.INV(RAND(),AVERAGE(Assumptions!$D$12,Assumptions!$F$12),(Assumptions!$F$12-Assumptions!$D$12)/3.29)*44</f>
        <v>5486710.2697450658</v>
      </c>
      <c r="L688" s="3">
        <f ca="1">_xlfn.NORM.INV(RAND(),AVERAGE(Assumptions!$D$13,Assumptions!$F$13),(Assumptions!$F$13-Assumptions!$D$13)/3.29)*44</f>
        <v>5903614.3147017788</v>
      </c>
      <c r="M688" s="6">
        <f ca="1">_xlfn.NORM.INV(RAND(),AVERAGE(Assumptions!$D$14,Assumptions!$F$14),(Assumptions!$F$14-Assumptions!$D$14)/3.29)*44</f>
        <v>6488620.0341760628</v>
      </c>
      <c r="N688" s="9">
        <f ca="1">_xlfn.NORM.INV(RAND(),AVERAGE(Assumptions!$D$16,Assumptions!$F$16),(Assumptions!$F$16-Assumptions!$D$16)/3.29)*44</f>
        <v>13498879.289513944</v>
      </c>
      <c r="O688" s="12">
        <f ca="1">_xlfn.NORM.INV(RAND(),AVERAGE(Assumptions!$D$15,Assumptions!$F$15),(Assumptions!$F$15-Assumptions!$D$15)/3.29)*44</f>
        <v>101258199.18180346</v>
      </c>
      <c r="P688" s="15">
        <f>Assumptions!$D$18</f>
        <v>14641750.345627395</v>
      </c>
      <c r="Q688" s="3">
        <f t="shared" ca="1" si="20"/>
        <v>48355842.729202539</v>
      </c>
      <c r="R688" s="6">
        <f t="shared" ca="1" si="21"/>
        <v>62997593.074829936</v>
      </c>
    </row>
    <row r="689" spans="1:18">
      <c r="A689" s="20">
        <v>688</v>
      </c>
      <c r="B689" s="3">
        <f ca="1">_xlfn.NORM.INV(RAND(),AVERAGE(Assumptions!$D$4,Assumptions!$F$4),(Assumptions!$F$4-Assumptions!$D$4)/3.29)*44</f>
        <v>1133720.0116602327</v>
      </c>
      <c r="C689" s="6">
        <f ca="1">_xlfn.NORM.INV(RAND(),AVERAGE(Assumptions!$D$5,Assumptions!$F$5),(Assumptions!$F$5-Assumptions!$D$5)/3.29)*44</f>
        <v>1494046.2236136014</v>
      </c>
      <c r="D689" s="9">
        <f ca="1">_xlfn.NORM.INV(RAND(),AVERAGE(Assumptions!$D$6,Assumptions!$F$6),(Assumptions!$F$6-Assumptions!$D$6)/3.29)*RANDBETWEEN(2,5)</f>
        <v>5573773.2901499067</v>
      </c>
      <c r="E689" s="12">
        <f ca="1">_xlfn.NORM.INV(RAND(),AVERAGE(Assumptions!$D$17,Assumptions!$F$17),(Assumptions!$F$17-Assumptions!$D$17)/3.29)*8</f>
        <v>1015504.5086128239</v>
      </c>
      <c r="F689" s="15">
        <f ca="1">_xlfn.NORM.INV(RAND(),AVERAGE(Assumptions!$D$7,Assumptions!$F$7),(Assumptions!$F$7-Assumptions!$D$7)/3.29)*RANDBETWEEN(1,3)</f>
        <v>2269441.4671629388</v>
      </c>
      <c r="G689" s="3">
        <f ca="1">_xlfn.NORM.INV(RAND(),AVERAGE(Assumptions!$D$8,Assumptions!$F$8),(Assumptions!$F$8-Assumptions!$D$8)/3.29)*44</f>
        <v>1181778.0122723754</v>
      </c>
      <c r="H689" s="6">
        <f ca="1">_xlfn.NORM.INV(RAND(),AVERAGE(Assumptions!$D$9,Assumptions!$F$9),(Assumptions!$F$9-Assumptions!$D$9)/3.29)*21</f>
        <v>4736644.4529079143</v>
      </c>
      <c r="I689" s="9">
        <f ca="1">_xlfn.NORM.INV(RAND(),AVERAGE(Assumptions!$D$10,Assumptions!$F$10),(Assumptions!$F$10-Assumptions!$D$10)/3.29)*21</f>
        <v>1037591.1199651193</v>
      </c>
      <c r="J689" s="12">
        <f ca="1">NORMINV(RAND(),AVERAGE(Assumptions!$D$11,Assumptions!$F$11),(Assumptions!$F$11-Assumptions!$D$11)/3.29)*44</f>
        <v>2508622.3708583075</v>
      </c>
      <c r="K689" s="15">
        <f ca="1">_xlfn.NORM.INV(RAND(),AVERAGE(Assumptions!$D$12,Assumptions!$F$12),(Assumptions!$F$12-Assumptions!$D$12)/3.29)*44</f>
        <v>10414711.915692501</v>
      </c>
      <c r="L689" s="3">
        <f ca="1">_xlfn.NORM.INV(RAND(),AVERAGE(Assumptions!$D$13,Assumptions!$F$13),(Assumptions!$F$13-Assumptions!$D$13)/3.29)*44</f>
        <v>8715276.2611188963</v>
      </c>
      <c r="M689" s="6">
        <f ca="1">_xlfn.NORM.INV(RAND(),AVERAGE(Assumptions!$D$14,Assumptions!$F$14),(Assumptions!$F$14-Assumptions!$D$14)/3.29)*44</f>
        <v>5712527.7746263454</v>
      </c>
      <c r="N689" s="9">
        <f ca="1">_xlfn.NORM.INV(RAND(),AVERAGE(Assumptions!$D$16,Assumptions!$F$16),(Assumptions!$F$16-Assumptions!$D$16)/3.29)*44</f>
        <v>13046505.957470182</v>
      </c>
      <c r="O689" s="12">
        <f ca="1">_xlfn.NORM.INV(RAND(),AVERAGE(Assumptions!$D$15,Assumptions!$F$15),(Assumptions!$F$15-Assumptions!$D$15)/3.29)*44</f>
        <v>57062635.143761799</v>
      </c>
      <c r="P689" s="15">
        <f>Assumptions!$D$18</f>
        <v>14641750.345627395</v>
      </c>
      <c r="Q689" s="3">
        <f t="shared" ca="1" si="20"/>
        <v>-1777508.2223493457</v>
      </c>
      <c r="R689" s="6">
        <f t="shared" ca="1" si="21"/>
        <v>12864242.12327805</v>
      </c>
    </row>
    <row r="690" spans="1:18">
      <c r="A690" s="20">
        <v>689</v>
      </c>
      <c r="B690" s="3">
        <f ca="1">_xlfn.NORM.INV(RAND(),AVERAGE(Assumptions!$D$4,Assumptions!$F$4),(Assumptions!$F$4-Assumptions!$D$4)/3.29)*44</f>
        <v>1287912.2480331422</v>
      </c>
      <c r="C690" s="6">
        <f ca="1">_xlfn.NORM.INV(RAND(),AVERAGE(Assumptions!$D$5,Assumptions!$F$5),(Assumptions!$F$5-Assumptions!$D$5)/3.29)*44</f>
        <v>1958947.2170143973</v>
      </c>
      <c r="D690" s="9">
        <f ca="1">_xlfn.NORM.INV(RAND(),AVERAGE(Assumptions!$D$6,Assumptions!$F$6),(Assumptions!$F$6-Assumptions!$D$6)/3.29)*RANDBETWEEN(2,5)</f>
        <v>2995104.7612621048</v>
      </c>
      <c r="E690" s="12">
        <f ca="1">_xlfn.NORM.INV(RAND(),AVERAGE(Assumptions!$D$17,Assumptions!$F$17),(Assumptions!$F$17-Assumptions!$D$17)/3.29)*8</f>
        <v>782307.63367685897</v>
      </c>
      <c r="F690" s="15">
        <f ca="1">_xlfn.NORM.INV(RAND(),AVERAGE(Assumptions!$D$7,Assumptions!$F$7),(Assumptions!$F$7-Assumptions!$D$7)/3.29)*RANDBETWEEN(1,3)</f>
        <v>4031147.3907376169</v>
      </c>
      <c r="G690" s="3">
        <f ca="1">_xlfn.NORM.INV(RAND(),AVERAGE(Assumptions!$D$8,Assumptions!$F$8),(Assumptions!$F$8-Assumptions!$D$8)/3.29)*44</f>
        <v>1143250.9246995822</v>
      </c>
      <c r="H690" s="6">
        <f ca="1">_xlfn.NORM.INV(RAND(),AVERAGE(Assumptions!$D$9,Assumptions!$F$9),(Assumptions!$F$9-Assumptions!$D$9)/3.29)*21</f>
        <v>4671086.3009594008</v>
      </c>
      <c r="I690" s="9">
        <f ca="1">_xlfn.NORM.INV(RAND(),AVERAGE(Assumptions!$D$10,Assumptions!$F$10),(Assumptions!$F$10-Assumptions!$D$10)/3.29)*21</f>
        <v>930170.61498554668</v>
      </c>
      <c r="J690" s="12">
        <f ca="1">NORMINV(RAND(),AVERAGE(Assumptions!$D$11,Assumptions!$F$11),(Assumptions!$F$11-Assumptions!$D$11)/3.29)*44</f>
        <v>3101953.5321683181</v>
      </c>
      <c r="K690" s="15">
        <f ca="1">_xlfn.NORM.INV(RAND(),AVERAGE(Assumptions!$D$12,Assumptions!$F$12),(Assumptions!$F$12-Assumptions!$D$12)/3.29)*44</f>
        <v>6453463.1119966349</v>
      </c>
      <c r="L690" s="3">
        <f ca="1">_xlfn.NORM.INV(RAND(),AVERAGE(Assumptions!$D$13,Assumptions!$F$13),(Assumptions!$F$13-Assumptions!$D$13)/3.29)*44</f>
        <v>12687922.377161607</v>
      </c>
      <c r="M690" s="6">
        <f ca="1">_xlfn.NORM.INV(RAND(),AVERAGE(Assumptions!$D$14,Assumptions!$F$14),(Assumptions!$F$14-Assumptions!$D$14)/3.29)*44</f>
        <v>5085168.2210384598</v>
      </c>
      <c r="N690" s="9">
        <f ca="1">_xlfn.NORM.INV(RAND(),AVERAGE(Assumptions!$D$16,Assumptions!$F$16),(Assumptions!$F$16-Assumptions!$D$16)/3.29)*44</f>
        <v>18224775.193687245</v>
      </c>
      <c r="O690" s="12">
        <f ca="1">_xlfn.NORM.INV(RAND(),AVERAGE(Assumptions!$D$15,Assumptions!$F$15),(Assumptions!$F$15-Assumptions!$D$15)/3.29)*44</f>
        <v>119618116.92286456</v>
      </c>
      <c r="P690" s="15">
        <f>Assumptions!$D$18</f>
        <v>14641750.345627395</v>
      </c>
      <c r="Q690" s="3">
        <f t="shared" ca="1" si="20"/>
        <v>56264907.395443641</v>
      </c>
      <c r="R690" s="6">
        <f t="shared" ca="1" si="21"/>
        <v>70906657.74107103</v>
      </c>
    </row>
    <row r="691" spans="1:18">
      <c r="A691" s="20">
        <v>690</v>
      </c>
      <c r="B691" s="3">
        <f ca="1">_xlfn.NORM.INV(RAND(),AVERAGE(Assumptions!$D$4,Assumptions!$F$4),(Assumptions!$F$4-Assumptions!$D$4)/3.29)*44</f>
        <v>1310362.6648683515</v>
      </c>
      <c r="C691" s="6">
        <f ca="1">_xlfn.NORM.INV(RAND(),AVERAGE(Assumptions!$D$5,Assumptions!$F$5),(Assumptions!$F$5-Assumptions!$D$5)/3.29)*44</f>
        <v>1919699.1910587316</v>
      </c>
      <c r="D691" s="9">
        <f ca="1">_xlfn.NORM.INV(RAND(),AVERAGE(Assumptions!$D$6,Assumptions!$F$6),(Assumptions!$F$6-Assumptions!$D$6)/3.29)*RANDBETWEEN(2,5)</f>
        <v>4646174.5559620131</v>
      </c>
      <c r="E691" s="12">
        <f ca="1">_xlfn.NORM.INV(RAND(),AVERAGE(Assumptions!$D$17,Assumptions!$F$17),(Assumptions!$F$17-Assumptions!$D$17)/3.29)*8</f>
        <v>1020695.0664243822</v>
      </c>
      <c r="F691" s="15">
        <f ca="1">_xlfn.NORM.INV(RAND(),AVERAGE(Assumptions!$D$7,Assumptions!$F$7),(Assumptions!$F$7-Assumptions!$D$7)/3.29)*RANDBETWEEN(1,3)</f>
        <v>7404987.5939840041</v>
      </c>
      <c r="G691" s="3">
        <f ca="1">_xlfn.NORM.INV(RAND(),AVERAGE(Assumptions!$D$8,Assumptions!$F$8),(Assumptions!$F$8-Assumptions!$D$8)/3.29)*44</f>
        <v>1194547.0359070275</v>
      </c>
      <c r="H691" s="6">
        <f ca="1">_xlfn.NORM.INV(RAND(),AVERAGE(Assumptions!$D$9,Assumptions!$F$9),(Assumptions!$F$9-Assumptions!$D$9)/3.29)*21</f>
        <v>2127800.3668484264</v>
      </c>
      <c r="I691" s="9">
        <f ca="1">_xlfn.NORM.INV(RAND(),AVERAGE(Assumptions!$D$10,Assumptions!$F$10),(Assumptions!$F$10-Assumptions!$D$10)/3.29)*21</f>
        <v>888629.44748364482</v>
      </c>
      <c r="J691" s="12">
        <f ca="1">NORMINV(RAND(),AVERAGE(Assumptions!$D$11,Assumptions!$F$11),(Assumptions!$F$11-Assumptions!$D$11)/3.29)*44</f>
        <v>1292605.3295835692</v>
      </c>
      <c r="K691" s="15">
        <f ca="1">_xlfn.NORM.INV(RAND(),AVERAGE(Assumptions!$D$12,Assumptions!$F$12),(Assumptions!$F$12-Assumptions!$D$12)/3.29)*44</f>
        <v>7851711.9207624104</v>
      </c>
      <c r="L691" s="3">
        <f ca="1">_xlfn.NORM.INV(RAND(),AVERAGE(Assumptions!$D$13,Assumptions!$F$13),(Assumptions!$F$13-Assumptions!$D$13)/3.29)*44</f>
        <v>11463627.757842232</v>
      </c>
      <c r="M691" s="6">
        <f ca="1">_xlfn.NORM.INV(RAND(),AVERAGE(Assumptions!$D$14,Assumptions!$F$14),(Assumptions!$F$14-Assumptions!$D$14)/3.29)*44</f>
        <v>7007917.5110859796</v>
      </c>
      <c r="N691" s="9">
        <f ca="1">_xlfn.NORM.INV(RAND(),AVERAGE(Assumptions!$D$16,Assumptions!$F$16),(Assumptions!$F$16-Assumptions!$D$16)/3.29)*44</f>
        <v>7738513.0797541523</v>
      </c>
      <c r="O691" s="12">
        <f ca="1">_xlfn.NORM.INV(RAND(),AVERAGE(Assumptions!$D$15,Assumptions!$F$15),(Assumptions!$F$15-Assumptions!$D$15)/3.29)*44</f>
        <v>176939276.81115097</v>
      </c>
      <c r="P691" s="15">
        <f>Assumptions!$D$18</f>
        <v>14641750.345627395</v>
      </c>
      <c r="Q691" s="3">
        <f t="shared" ca="1" si="20"/>
        <v>121072005.28958604</v>
      </c>
      <c r="R691" s="6">
        <f t="shared" ca="1" si="21"/>
        <v>135713755.63521343</v>
      </c>
    </row>
    <row r="692" spans="1:18">
      <c r="A692" s="20">
        <v>691</v>
      </c>
      <c r="B692" s="3">
        <f ca="1">_xlfn.NORM.INV(RAND(),AVERAGE(Assumptions!$D$4,Assumptions!$F$4),(Assumptions!$F$4-Assumptions!$D$4)/3.29)*44</f>
        <v>1149404.3919860374</v>
      </c>
      <c r="C692" s="6">
        <f ca="1">_xlfn.NORM.INV(RAND(),AVERAGE(Assumptions!$D$5,Assumptions!$F$5),(Assumptions!$F$5-Assumptions!$D$5)/3.29)*44</f>
        <v>1742705.8616210441</v>
      </c>
      <c r="D692" s="9">
        <f ca="1">_xlfn.NORM.INV(RAND(),AVERAGE(Assumptions!$D$6,Assumptions!$F$6),(Assumptions!$F$6-Assumptions!$D$6)/3.29)*RANDBETWEEN(2,5)</f>
        <v>7589095.0916692242</v>
      </c>
      <c r="E692" s="12">
        <f ca="1">_xlfn.NORM.INV(RAND(),AVERAGE(Assumptions!$D$17,Assumptions!$F$17),(Assumptions!$F$17-Assumptions!$D$17)/3.29)*8</f>
        <v>1110592.7048195829</v>
      </c>
      <c r="F692" s="15">
        <f ca="1">_xlfn.NORM.INV(RAND(),AVERAGE(Assumptions!$D$7,Assumptions!$F$7),(Assumptions!$F$7-Assumptions!$D$7)/3.29)*RANDBETWEEN(1,3)</f>
        <v>5304966.5934826368</v>
      </c>
      <c r="G692" s="3">
        <f ca="1">_xlfn.NORM.INV(RAND(),AVERAGE(Assumptions!$D$8,Assumptions!$F$8),(Assumptions!$F$8-Assumptions!$D$8)/3.29)*44</f>
        <v>1447766.9636828883</v>
      </c>
      <c r="H692" s="6">
        <f ca="1">_xlfn.NORM.INV(RAND(),AVERAGE(Assumptions!$D$9,Assumptions!$F$9),(Assumptions!$F$9-Assumptions!$D$9)/3.29)*21</f>
        <v>5011285.4258491956</v>
      </c>
      <c r="I692" s="9">
        <f ca="1">_xlfn.NORM.INV(RAND(),AVERAGE(Assumptions!$D$10,Assumptions!$F$10),(Assumptions!$F$10-Assumptions!$D$10)/3.29)*21</f>
        <v>872691.09538823983</v>
      </c>
      <c r="J692" s="12">
        <f ca="1">NORMINV(RAND(),AVERAGE(Assumptions!$D$11,Assumptions!$F$11),(Assumptions!$F$11-Assumptions!$D$11)/3.29)*44</f>
        <v>1528812.4848172916</v>
      </c>
      <c r="K692" s="15">
        <f ca="1">_xlfn.NORM.INV(RAND(),AVERAGE(Assumptions!$D$12,Assumptions!$F$12),(Assumptions!$F$12-Assumptions!$D$12)/3.29)*44</f>
        <v>8366034.9345530821</v>
      </c>
      <c r="L692" s="3">
        <f ca="1">_xlfn.NORM.INV(RAND(),AVERAGE(Assumptions!$D$13,Assumptions!$F$13),(Assumptions!$F$13-Assumptions!$D$13)/3.29)*44</f>
        <v>14229497.194005962</v>
      </c>
      <c r="M692" s="6">
        <f ca="1">_xlfn.NORM.INV(RAND(),AVERAGE(Assumptions!$D$14,Assumptions!$F$14),(Assumptions!$F$14-Assumptions!$D$14)/3.29)*44</f>
        <v>4771470.8133860072</v>
      </c>
      <c r="N692" s="9">
        <f ca="1">_xlfn.NORM.INV(RAND(),AVERAGE(Assumptions!$D$16,Assumptions!$F$16),(Assumptions!$F$16-Assumptions!$D$16)/3.29)*44</f>
        <v>8731216.7481504902</v>
      </c>
      <c r="O692" s="12">
        <f ca="1">_xlfn.NORM.INV(RAND(),AVERAGE(Assumptions!$D$15,Assumptions!$F$15),(Assumptions!$F$15-Assumptions!$D$15)/3.29)*44</f>
        <v>87536943.593910098</v>
      </c>
      <c r="P692" s="15">
        <f>Assumptions!$D$18</f>
        <v>14641750.345627395</v>
      </c>
      <c r="Q692" s="3">
        <f t="shared" ca="1" si="20"/>
        <v>25681403.290498406</v>
      </c>
      <c r="R692" s="6">
        <f t="shared" ca="1" si="21"/>
        <v>40323153.636125803</v>
      </c>
    </row>
    <row r="693" spans="1:18">
      <c r="A693" s="20">
        <v>692</v>
      </c>
      <c r="B693" s="3">
        <f ca="1">_xlfn.NORM.INV(RAND(),AVERAGE(Assumptions!$D$4,Assumptions!$F$4),(Assumptions!$F$4-Assumptions!$D$4)/3.29)*44</f>
        <v>1221363.7526684164</v>
      </c>
      <c r="C693" s="6">
        <f ca="1">_xlfn.NORM.INV(RAND(),AVERAGE(Assumptions!$D$5,Assumptions!$F$5),(Assumptions!$F$5-Assumptions!$D$5)/3.29)*44</f>
        <v>1797434.6192741632</v>
      </c>
      <c r="D693" s="9">
        <f ca="1">_xlfn.NORM.INV(RAND(),AVERAGE(Assumptions!$D$6,Assumptions!$F$6),(Assumptions!$F$6-Assumptions!$D$6)/3.29)*RANDBETWEEN(2,5)</f>
        <v>3604293.2196060764</v>
      </c>
      <c r="E693" s="12">
        <f ca="1">_xlfn.NORM.INV(RAND(),AVERAGE(Assumptions!$D$17,Assumptions!$F$17),(Assumptions!$F$17-Assumptions!$D$17)/3.29)*8</f>
        <v>971349.29492392344</v>
      </c>
      <c r="F693" s="15">
        <f ca="1">_xlfn.NORM.INV(RAND(),AVERAGE(Assumptions!$D$7,Assumptions!$F$7),(Assumptions!$F$7-Assumptions!$D$7)/3.29)*RANDBETWEEN(1,3)</f>
        <v>6911790.9691251051</v>
      </c>
      <c r="G693" s="3">
        <f ca="1">_xlfn.NORM.INV(RAND(),AVERAGE(Assumptions!$D$8,Assumptions!$F$8),(Assumptions!$F$8-Assumptions!$D$8)/3.29)*44</f>
        <v>1333136.0533331181</v>
      </c>
      <c r="H693" s="6">
        <f ca="1">_xlfn.NORM.INV(RAND(),AVERAGE(Assumptions!$D$9,Assumptions!$F$9),(Assumptions!$F$9-Assumptions!$D$9)/3.29)*21</f>
        <v>3493003.7242393945</v>
      </c>
      <c r="I693" s="9">
        <f ca="1">_xlfn.NORM.INV(RAND(),AVERAGE(Assumptions!$D$10,Assumptions!$F$10),(Assumptions!$F$10-Assumptions!$D$10)/3.29)*21</f>
        <v>1133899.8465109062</v>
      </c>
      <c r="J693" s="12">
        <f ca="1">NORMINV(RAND(),AVERAGE(Assumptions!$D$11,Assumptions!$F$11),(Assumptions!$F$11-Assumptions!$D$11)/3.29)*44</f>
        <v>2642001.2520254757</v>
      </c>
      <c r="K693" s="15">
        <f ca="1">_xlfn.NORM.INV(RAND(),AVERAGE(Assumptions!$D$12,Assumptions!$F$12),(Assumptions!$F$12-Assumptions!$D$12)/3.29)*44</f>
        <v>9153611.4812517669</v>
      </c>
      <c r="L693" s="3">
        <f ca="1">_xlfn.NORM.INV(RAND(),AVERAGE(Assumptions!$D$13,Assumptions!$F$13),(Assumptions!$F$13-Assumptions!$D$13)/3.29)*44</f>
        <v>11969461.672537001</v>
      </c>
      <c r="M693" s="6">
        <f ca="1">_xlfn.NORM.INV(RAND(),AVERAGE(Assumptions!$D$14,Assumptions!$F$14),(Assumptions!$F$14-Assumptions!$D$14)/3.29)*44</f>
        <v>6543735.7475953577</v>
      </c>
      <c r="N693" s="9">
        <f ca="1">_xlfn.NORM.INV(RAND(),AVERAGE(Assumptions!$D$16,Assumptions!$F$16),(Assumptions!$F$16-Assumptions!$D$16)/3.29)*44</f>
        <v>14501271.446546357</v>
      </c>
      <c r="O693" s="12">
        <f ca="1">_xlfn.NORM.INV(RAND(),AVERAGE(Assumptions!$D$15,Assumptions!$F$15),(Assumptions!$F$15-Assumptions!$D$15)/3.29)*44</f>
        <v>269569512.92996353</v>
      </c>
      <c r="P693" s="15">
        <f>Assumptions!$D$18</f>
        <v>14641750.345627395</v>
      </c>
      <c r="Q693" s="3">
        <f t="shared" ca="1" si="20"/>
        <v>204293159.85032648</v>
      </c>
      <c r="R693" s="6">
        <f t="shared" ca="1" si="21"/>
        <v>218934910.19595388</v>
      </c>
    </row>
    <row r="694" spans="1:18">
      <c r="A694" s="20">
        <v>693</v>
      </c>
      <c r="B694" s="3">
        <f ca="1">_xlfn.NORM.INV(RAND(),AVERAGE(Assumptions!$D$4,Assumptions!$F$4),(Assumptions!$F$4-Assumptions!$D$4)/3.29)*44</f>
        <v>1157269.4916509569</v>
      </c>
      <c r="C694" s="6">
        <f ca="1">_xlfn.NORM.INV(RAND(),AVERAGE(Assumptions!$D$5,Assumptions!$F$5),(Assumptions!$F$5-Assumptions!$D$5)/3.29)*44</f>
        <v>1881526.0001442903</v>
      </c>
      <c r="D694" s="9">
        <f ca="1">_xlfn.NORM.INV(RAND(),AVERAGE(Assumptions!$D$6,Assumptions!$F$6),(Assumptions!$F$6-Assumptions!$D$6)/3.29)*RANDBETWEEN(2,5)</f>
        <v>4566652.3006655816</v>
      </c>
      <c r="E694" s="12">
        <f ca="1">_xlfn.NORM.INV(RAND(),AVERAGE(Assumptions!$D$17,Assumptions!$F$17),(Assumptions!$F$17-Assumptions!$D$17)/3.29)*8</f>
        <v>977087.86360465654</v>
      </c>
      <c r="F694" s="15">
        <f ca="1">_xlfn.NORM.INV(RAND(),AVERAGE(Assumptions!$D$7,Assumptions!$F$7),(Assumptions!$F$7-Assumptions!$D$7)/3.29)*RANDBETWEEN(1,3)</f>
        <v>7761008.4585099751</v>
      </c>
      <c r="G694" s="3">
        <f ca="1">_xlfn.NORM.INV(RAND(),AVERAGE(Assumptions!$D$8,Assumptions!$F$8),(Assumptions!$F$8-Assumptions!$D$8)/3.29)*44</f>
        <v>1247848.6621712621</v>
      </c>
      <c r="H694" s="6">
        <f ca="1">_xlfn.NORM.INV(RAND(),AVERAGE(Assumptions!$D$9,Assumptions!$F$9),(Assumptions!$F$9-Assumptions!$D$9)/3.29)*21</f>
        <v>4881520.3308787988</v>
      </c>
      <c r="I694" s="9">
        <f ca="1">_xlfn.NORM.INV(RAND(),AVERAGE(Assumptions!$D$10,Assumptions!$F$10),(Assumptions!$F$10-Assumptions!$D$10)/3.29)*21</f>
        <v>1242939.2692460991</v>
      </c>
      <c r="J694" s="12">
        <f ca="1">NORMINV(RAND(),AVERAGE(Assumptions!$D$11,Assumptions!$F$11),(Assumptions!$F$11-Assumptions!$D$11)/3.29)*44</f>
        <v>3342372.4176750546</v>
      </c>
      <c r="K694" s="15">
        <f ca="1">_xlfn.NORM.INV(RAND(),AVERAGE(Assumptions!$D$12,Assumptions!$F$12),(Assumptions!$F$12-Assumptions!$D$12)/3.29)*44</f>
        <v>9676165.7542885449</v>
      </c>
      <c r="L694" s="3">
        <f ca="1">_xlfn.NORM.INV(RAND(),AVERAGE(Assumptions!$D$13,Assumptions!$F$13),(Assumptions!$F$13-Assumptions!$D$13)/3.29)*44</f>
        <v>13590195.859679176</v>
      </c>
      <c r="M694" s="6">
        <f ca="1">_xlfn.NORM.INV(RAND(),AVERAGE(Assumptions!$D$14,Assumptions!$F$14),(Assumptions!$F$14-Assumptions!$D$14)/3.29)*44</f>
        <v>5331828.5652908366</v>
      </c>
      <c r="N694" s="9">
        <f ca="1">_xlfn.NORM.INV(RAND(),AVERAGE(Assumptions!$D$16,Assumptions!$F$16),(Assumptions!$F$16-Assumptions!$D$16)/3.29)*44</f>
        <v>11141434.977757618</v>
      </c>
      <c r="O694" s="12">
        <f ca="1">_xlfn.NORM.INV(RAND(),AVERAGE(Assumptions!$D$15,Assumptions!$F$15),(Assumptions!$F$15-Assumptions!$D$15)/3.29)*44</f>
        <v>109539627.13748804</v>
      </c>
      <c r="P694" s="15">
        <f>Assumptions!$D$18</f>
        <v>14641750.345627395</v>
      </c>
      <c r="Q694" s="3">
        <f t="shared" ca="1" si="20"/>
        <v>42741777.185925186</v>
      </c>
      <c r="R694" s="6">
        <f t="shared" ca="1" si="21"/>
        <v>57383527.531552583</v>
      </c>
    </row>
    <row r="695" spans="1:18">
      <c r="A695" s="20">
        <v>694</v>
      </c>
      <c r="B695" s="3">
        <f ca="1">_xlfn.NORM.INV(RAND(),AVERAGE(Assumptions!$D$4,Assumptions!$F$4),(Assumptions!$F$4-Assumptions!$D$4)/3.29)*44</f>
        <v>1229934.4714431325</v>
      </c>
      <c r="C695" s="6">
        <f ca="1">_xlfn.NORM.INV(RAND(),AVERAGE(Assumptions!$D$5,Assumptions!$F$5),(Assumptions!$F$5-Assumptions!$D$5)/3.29)*44</f>
        <v>1717680.4256946703</v>
      </c>
      <c r="D695" s="9">
        <f ca="1">_xlfn.NORM.INV(RAND(),AVERAGE(Assumptions!$D$6,Assumptions!$F$6),(Assumptions!$F$6-Assumptions!$D$6)/3.29)*RANDBETWEEN(2,5)</f>
        <v>3146703.7678921064</v>
      </c>
      <c r="E695" s="12">
        <f ca="1">_xlfn.NORM.INV(RAND(),AVERAGE(Assumptions!$D$17,Assumptions!$F$17),(Assumptions!$F$17-Assumptions!$D$17)/3.29)*8</f>
        <v>969615.69013979612</v>
      </c>
      <c r="F695" s="15">
        <f ca="1">_xlfn.NORM.INV(RAND(),AVERAGE(Assumptions!$D$7,Assumptions!$F$7),(Assumptions!$F$7-Assumptions!$D$7)/3.29)*RANDBETWEEN(1,3)</f>
        <v>5068996.629642277</v>
      </c>
      <c r="G695" s="3">
        <f ca="1">_xlfn.NORM.INV(RAND(),AVERAGE(Assumptions!$D$8,Assumptions!$F$8),(Assumptions!$F$8-Assumptions!$D$8)/3.29)*44</f>
        <v>1278111.8565860968</v>
      </c>
      <c r="H695" s="6">
        <f ca="1">_xlfn.NORM.INV(RAND(),AVERAGE(Assumptions!$D$9,Assumptions!$F$9),(Assumptions!$F$9-Assumptions!$D$9)/3.29)*21</f>
        <v>3756799.4374209507</v>
      </c>
      <c r="I695" s="9">
        <f ca="1">_xlfn.NORM.INV(RAND(),AVERAGE(Assumptions!$D$10,Assumptions!$F$10),(Assumptions!$F$10-Assumptions!$D$10)/3.29)*21</f>
        <v>1061641.0955278785</v>
      </c>
      <c r="J695" s="12">
        <f ca="1">NORMINV(RAND(),AVERAGE(Assumptions!$D$11,Assumptions!$F$11),(Assumptions!$F$11-Assumptions!$D$11)/3.29)*44</f>
        <v>3987642.5892167189</v>
      </c>
      <c r="K695" s="15">
        <f ca="1">_xlfn.NORM.INV(RAND(),AVERAGE(Assumptions!$D$12,Assumptions!$F$12),(Assumptions!$F$12-Assumptions!$D$12)/3.29)*44</f>
        <v>9188291.172686981</v>
      </c>
      <c r="L695" s="3">
        <f ca="1">_xlfn.NORM.INV(RAND(),AVERAGE(Assumptions!$D$13,Assumptions!$F$13),(Assumptions!$F$13-Assumptions!$D$13)/3.29)*44</f>
        <v>7666841.1255856045</v>
      </c>
      <c r="M695" s="6">
        <f ca="1">_xlfn.NORM.INV(RAND(),AVERAGE(Assumptions!$D$14,Assumptions!$F$14),(Assumptions!$F$14-Assumptions!$D$14)/3.29)*44</f>
        <v>6921731.2317296797</v>
      </c>
      <c r="N695" s="9">
        <f ca="1">_xlfn.NORM.INV(RAND(),AVERAGE(Assumptions!$D$16,Assumptions!$F$16),(Assumptions!$F$16-Assumptions!$D$16)/3.29)*44</f>
        <v>5087196.040575766</v>
      </c>
      <c r="O695" s="12">
        <f ca="1">_xlfn.NORM.INV(RAND(),AVERAGE(Assumptions!$D$15,Assumptions!$F$15),(Assumptions!$F$15-Assumptions!$D$15)/3.29)*44</f>
        <v>93240882.962681144</v>
      </c>
      <c r="P695" s="15">
        <f>Assumptions!$D$18</f>
        <v>14641750.345627395</v>
      </c>
      <c r="Q695" s="3">
        <f t="shared" ca="1" si="20"/>
        <v>42159697.428539492</v>
      </c>
      <c r="R695" s="6">
        <f t="shared" ca="1" si="21"/>
        <v>56801447.774166889</v>
      </c>
    </row>
    <row r="696" spans="1:18">
      <c r="A696" s="20">
        <v>695</v>
      </c>
      <c r="B696" s="3">
        <f ca="1">_xlfn.NORM.INV(RAND(),AVERAGE(Assumptions!$D$4,Assumptions!$F$4),(Assumptions!$F$4-Assumptions!$D$4)/3.29)*44</f>
        <v>1298890.0518573464</v>
      </c>
      <c r="C696" s="6">
        <f ca="1">_xlfn.NORM.INV(RAND(),AVERAGE(Assumptions!$D$5,Assumptions!$F$5),(Assumptions!$F$5-Assumptions!$D$5)/3.29)*44</f>
        <v>1913176.9996747433</v>
      </c>
      <c r="D696" s="9">
        <f ca="1">_xlfn.NORM.INV(RAND(),AVERAGE(Assumptions!$D$6,Assumptions!$F$6),(Assumptions!$F$6-Assumptions!$D$6)/3.29)*RANDBETWEEN(2,5)</f>
        <v>8584801.8162241951</v>
      </c>
      <c r="E696" s="12">
        <f ca="1">_xlfn.NORM.INV(RAND(),AVERAGE(Assumptions!$D$17,Assumptions!$F$17),(Assumptions!$F$17-Assumptions!$D$17)/3.29)*8</f>
        <v>855235.35380163218</v>
      </c>
      <c r="F696" s="15">
        <f ca="1">_xlfn.NORM.INV(RAND(),AVERAGE(Assumptions!$D$7,Assumptions!$F$7),(Assumptions!$F$7-Assumptions!$D$7)/3.29)*RANDBETWEEN(1,3)</f>
        <v>8276012.1262821909</v>
      </c>
      <c r="G696" s="3">
        <f ca="1">_xlfn.NORM.INV(RAND(),AVERAGE(Assumptions!$D$8,Assumptions!$F$8),(Assumptions!$F$8-Assumptions!$D$8)/3.29)*44</f>
        <v>980474.30120725546</v>
      </c>
      <c r="H696" s="6">
        <f ca="1">_xlfn.NORM.INV(RAND(),AVERAGE(Assumptions!$D$9,Assumptions!$F$9),(Assumptions!$F$9-Assumptions!$D$9)/3.29)*21</f>
        <v>3985822.5248220074</v>
      </c>
      <c r="I696" s="9">
        <f ca="1">_xlfn.NORM.INV(RAND(),AVERAGE(Assumptions!$D$10,Assumptions!$F$10),(Assumptions!$F$10-Assumptions!$D$10)/3.29)*21</f>
        <v>808115.74724527728</v>
      </c>
      <c r="J696" s="12">
        <f ca="1">NORMINV(RAND(),AVERAGE(Assumptions!$D$11,Assumptions!$F$11),(Assumptions!$F$11-Assumptions!$D$11)/3.29)*44</f>
        <v>4584311.6740483139</v>
      </c>
      <c r="K696" s="15">
        <f ca="1">_xlfn.NORM.INV(RAND(),AVERAGE(Assumptions!$D$12,Assumptions!$F$12),(Assumptions!$F$12-Assumptions!$D$12)/3.29)*44</f>
        <v>6632901.2477410203</v>
      </c>
      <c r="L696" s="3">
        <f ca="1">_xlfn.NORM.INV(RAND(),AVERAGE(Assumptions!$D$13,Assumptions!$F$13),(Assumptions!$F$13-Assumptions!$D$13)/3.29)*44</f>
        <v>15894240.154489718</v>
      </c>
      <c r="M696" s="6">
        <f ca="1">_xlfn.NORM.INV(RAND(),AVERAGE(Assumptions!$D$14,Assumptions!$F$14),(Assumptions!$F$14-Assumptions!$D$14)/3.29)*44</f>
        <v>6077452.7034028582</v>
      </c>
      <c r="N696" s="9">
        <f ca="1">_xlfn.NORM.INV(RAND(),AVERAGE(Assumptions!$D$16,Assumptions!$F$16),(Assumptions!$F$16-Assumptions!$D$16)/3.29)*44</f>
        <v>4430383.7903134963</v>
      </c>
      <c r="O696" s="12">
        <f ca="1">_xlfn.NORM.INV(RAND(),AVERAGE(Assumptions!$D$15,Assumptions!$F$15),(Assumptions!$F$15-Assumptions!$D$15)/3.29)*44</f>
        <v>112660549.50405651</v>
      </c>
      <c r="P696" s="15">
        <f>Assumptions!$D$18</f>
        <v>14641750.345627395</v>
      </c>
      <c r="Q696" s="3">
        <f t="shared" ca="1" si="20"/>
        <v>48338731.012946449</v>
      </c>
      <c r="R696" s="6">
        <f t="shared" ca="1" si="21"/>
        <v>62980481.358573847</v>
      </c>
    </row>
    <row r="697" spans="1:18">
      <c r="A697" s="20">
        <v>696</v>
      </c>
      <c r="B697" s="3">
        <f ca="1">_xlfn.NORM.INV(RAND(),AVERAGE(Assumptions!$D$4,Assumptions!$F$4),(Assumptions!$F$4-Assumptions!$D$4)/3.29)*44</f>
        <v>1217155.1451359438</v>
      </c>
      <c r="C697" s="6">
        <f ca="1">_xlfn.NORM.INV(RAND(),AVERAGE(Assumptions!$D$5,Assumptions!$F$5),(Assumptions!$F$5-Assumptions!$D$5)/3.29)*44</f>
        <v>2091190.8174645635</v>
      </c>
      <c r="D697" s="9">
        <f ca="1">_xlfn.NORM.INV(RAND(),AVERAGE(Assumptions!$D$6,Assumptions!$F$6),(Assumptions!$F$6-Assumptions!$D$6)/3.29)*RANDBETWEEN(2,5)</f>
        <v>2771954.7654893179</v>
      </c>
      <c r="E697" s="12">
        <f ca="1">_xlfn.NORM.INV(RAND(),AVERAGE(Assumptions!$D$17,Assumptions!$F$17),(Assumptions!$F$17-Assumptions!$D$17)/3.29)*8</f>
        <v>972419.61587089207</v>
      </c>
      <c r="F697" s="15">
        <f ca="1">_xlfn.NORM.INV(RAND(),AVERAGE(Assumptions!$D$7,Assumptions!$F$7),(Assumptions!$F$7-Assumptions!$D$7)/3.29)*RANDBETWEEN(1,3)</f>
        <v>9812559.6941811182</v>
      </c>
      <c r="G697" s="3">
        <f ca="1">_xlfn.NORM.INV(RAND(),AVERAGE(Assumptions!$D$8,Assumptions!$F$8),(Assumptions!$F$8-Assumptions!$D$8)/3.29)*44</f>
        <v>799495.85869103251</v>
      </c>
      <c r="H697" s="6">
        <f ca="1">_xlfn.NORM.INV(RAND(),AVERAGE(Assumptions!$D$9,Assumptions!$F$9),(Assumptions!$F$9-Assumptions!$D$9)/3.29)*21</f>
        <v>3669700.8493880844</v>
      </c>
      <c r="I697" s="9">
        <f ca="1">_xlfn.NORM.INV(RAND(),AVERAGE(Assumptions!$D$10,Assumptions!$F$10),(Assumptions!$F$10-Assumptions!$D$10)/3.29)*21</f>
        <v>630161.26907745388</v>
      </c>
      <c r="J697" s="12">
        <f ca="1">NORMINV(RAND(),AVERAGE(Assumptions!$D$11,Assumptions!$F$11),(Assumptions!$F$11-Assumptions!$D$11)/3.29)*44</f>
        <v>2743944.415963803</v>
      </c>
      <c r="K697" s="15">
        <f ca="1">_xlfn.NORM.INV(RAND(),AVERAGE(Assumptions!$D$12,Assumptions!$F$12),(Assumptions!$F$12-Assumptions!$D$12)/3.29)*44</f>
        <v>9017864.8176485822</v>
      </c>
      <c r="L697" s="3">
        <f ca="1">_xlfn.NORM.INV(RAND(),AVERAGE(Assumptions!$D$13,Assumptions!$F$13),(Assumptions!$F$13-Assumptions!$D$13)/3.29)*44</f>
        <v>11410189.822565094</v>
      </c>
      <c r="M697" s="6">
        <f ca="1">_xlfn.NORM.INV(RAND(),AVERAGE(Assumptions!$D$14,Assumptions!$F$14),(Assumptions!$F$14-Assumptions!$D$14)/3.29)*44</f>
        <v>7914784.8598295264</v>
      </c>
      <c r="N697" s="9">
        <f ca="1">_xlfn.NORM.INV(RAND(),AVERAGE(Assumptions!$D$16,Assumptions!$F$16),(Assumptions!$F$16-Assumptions!$D$16)/3.29)*44</f>
        <v>11438724.509651007</v>
      </c>
      <c r="O697" s="12">
        <f ca="1">_xlfn.NORM.INV(RAND(),AVERAGE(Assumptions!$D$15,Assumptions!$F$15),(Assumptions!$F$15-Assumptions!$D$15)/3.29)*44</f>
        <v>43152796.56090863</v>
      </c>
      <c r="P697" s="15">
        <f>Assumptions!$D$18</f>
        <v>14641750.345627395</v>
      </c>
      <c r="Q697" s="3">
        <f t="shared" ca="1" si="20"/>
        <v>-21337349.880047783</v>
      </c>
      <c r="R697" s="6">
        <f t="shared" ca="1" si="21"/>
        <v>-6695599.5344203878</v>
      </c>
    </row>
    <row r="698" spans="1:18">
      <c r="A698" s="20">
        <v>697</v>
      </c>
      <c r="B698" s="3">
        <f ca="1">_xlfn.NORM.INV(RAND(),AVERAGE(Assumptions!$D$4,Assumptions!$F$4),(Assumptions!$F$4-Assumptions!$D$4)/3.29)*44</f>
        <v>1184892.3566890876</v>
      </c>
      <c r="C698" s="6">
        <f ca="1">_xlfn.NORM.INV(RAND(),AVERAGE(Assumptions!$D$5,Assumptions!$F$5),(Assumptions!$F$5-Assumptions!$D$5)/3.29)*44</f>
        <v>1784752.0862192495</v>
      </c>
      <c r="D698" s="9">
        <f ca="1">_xlfn.NORM.INV(RAND(),AVERAGE(Assumptions!$D$6,Assumptions!$F$6),(Assumptions!$F$6-Assumptions!$D$6)/3.29)*RANDBETWEEN(2,5)</f>
        <v>7287003.7346345354</v>
      </c>
      <c r="E698" s="12">
        <f ca="1">_xlfn.NORM.INV(RAND(),AVERAGE(Assumptions!$D$17,Assumptions!$F$17),(Assumptions!$F$17-Assumptions!$D$17)/3.29)*8</f>
        <v>873410.60815042129</v>
      </c>
      <c r="F698" s="15">
        <f ca="1">_xlfn.NORM.INV(RAND(),AVERAGE(Assumptions!$D$7,Assumptions!$F$7),(Assumptions!$F$7-Assumptions!$D$7)/3.29)*RANDBETWEEN(1,3)</f>
        <v>6333918.9160599308</v>
      </c>
      <c r="G698" s="3">
        <f ca="1">_xlfn.NORM.INV(RAND(),AVERAGE(Assumptions!$D$8,Assumptions!$F$8),(Assumptions!$F$8-Assumptions!$D$8)/3.29)*44</f>
        <v>1220515.0972304936</v>
      </c>
      <c r="H698" s="6">
        <f ca="1">_xlfn.NORM.INV(RAND(),AVERAGE(Assumptions!$D$9,Assumptions!$F$9),(Assumptions!$F$9-Assumptions!$D$9)/3.29)*21</f>
        <v>3292385.1216076589</v>
      </c>
      <c r="I698" s="9">
        <f ca="1">_xlfn.NORM.INV(RAND(),AVERAGE(Assumptions!$D$10,Assumptions!$F$10),(Assumptions!$F$10-Assumptions!$D$10)/3.29)*21</f>
        <v>934885.56439892203</v>
      </c>
      <c r="J698" s="12">
        <f ca="1">NORMINV(RAND(),AVERAGE(Assumptions!$D$11,Assumptions!$F$11),(Assumptions!$F$11-Assumptions!$D$11)/3.29)*44</f>
        <v>2364247.3746100091</v>
      </c>
      <c r="K698" s="15">
        <f ca="1">_xlfn.NORM.INV(RAND(),AVERAGE(Assumptions!$D$12,Assumptions!$F$12),(Assumptions!$F$12-Assumptions!$D$12)/3.29)*44</f>
        <v>7781538.9038130408</v>
      </c>
      <c r="L698" s="3">
        <f ca="1">_xlfn.NORM.INV(RAND(),AVERAGE(Assumptions!$D$13,Assumptions!$F$13),(Assumptions!$F$13-Assumptions!$D$13)/3.29)*44</f>
        <v>26448006.638936475</v>
      </c>
      <c r="M698" s="6">
        <f ca="1">_xlfn.NORM.INV(RAND(),AVERAGE(Assumptions!$D$14,Assumptions!$F$14),(Assumptions!$F$14-Assumptions!$D$14)/3.29)*44</f>
        <v>8012381.2230183026</v>
      </c>
      <c r="N698" s="9">
        <f ca="1">_xlfn.NORM.INV(RAND(),AVERAGE(Assumptions!$D$16,Assumptions!$F$16),(Assumptions!$F$16-Assumptions!$D$16)/3.29)*44</f>
        <v>14137255.433842391</v>
      </c>
      <c r="O698" s="12">
        <f ca="1">_xlfn.NORM.INV(RAND(),AVERAGE(Assumptions!$D$15,Assumptions!$F$15),(Assumptions!$F$15-Assumptions!$D$15)/3.29)*44</f>
        <v>898564.65066450089</v>
      </c>
      <c r="P698" s="15">
        <f>Assumptions!$D$18</f>
        <v>14641750.345627395</v>
      </c>
      <c r="Q698" s="3">
        <f t="shared" ca="1" si="20"/>
        <v>-80756628.408546031</v>
      </c>
      <c r="R698" s="6">
        <f t="shared" ca="1" si="21"/>
        <v>-66114878.062918633</v>
      </c>
    </row>
    <row r="699" spans="1:18">
      <c r="A699" s="20">
        <v>698</v>
      </c>
      <c r="B699" s="3">
        <f ca="1">_xlfn.NORM.INV(RAND(),AVERAGE(Assumptions!$D$4,Assumptions!$F$4),(Assumptions!$F$4-Assumptions!$D$4)/3.29)*44</f>
        <v>1232798.4898399622</v>
      </c>
      <c r="C699" s="6">
        <f ca="1">_xlfn.NORM.INV(RAND(),AVERAGE(Assumptions!$D$5,Assumptions!$F$5),(Assumptions!$F$5-Assumptions!$D$5)/3.29)*44</f>
        <v>1905030.3392448579</v>
      </c>
      <c r="D699" s="9">
        <f ca="1">_xlfn.NORM.INV(RAND(),AVERAGE(Assumptions!$D$6,Assumptions!$F$6),(Assumptions!$F$6-Assumptions!$D$6)/3.29)*RANDBETWEEN(2,5)</f>
        <v>5907173.4494270571</v>
      </c>
      <c r="E699" s="12">
        <f ca="1">_xlfn.NORM.INV(RAND(),AVERAGE(Assumptions!$D$17,Assumptions!$F$17),(Assumptions!$F$17-Assumptions!$D$17)/3.29)*8</f>
        <v>778484.57909974724</v>
      </c>
      <c r="F699" s="15">
        <f ca="1">_xlfn.NORM.INV(RAND(),AVERAGE(Assumptions!$D$7,Assumptions!$F$7),(Assumptions!$F$7-Assumptions!$D$7)/3.29)*RANDBETWEEN(1,3)</f>
        <v>9069566.3802133724</v>
      </c>
      <c r="G699" s="3">
        <f ca="1">_xlfn.NORM.INV(RAND(),AVERAGE(Assumptions!$D$8,Assumptions!$F$8),(Assumptions!$F$8-Assumptions!$D$8)/3.29)*44</f>
        <v>1088375.1685685145</v>
      </c>
      <c r="H699" s="6">
        <f ca="1">_xlfn.NORM.INV(RAND(),AVERAGE(Assumptions!$D$9,Assumptions!$F$9),(Assumptions!$F$9-Assumptions!$D$9)/3.29)*21</f>
        <v>2709878.8860578495</v>
      </c>
      <c r="I699" s="9">
        <f ca="1">_xlfn.NORM.INV(RAND(),AVERAGE(Assumptions!$D$10,Assumptions!$F$10),(Assumptions!$F$10-Assumptions!$D$10)/3.29)*21</f>
        <v>1101615.566014956</v>
      </c>
      <c r="J699" s="12">
        <f ca="1">NORMINV(RAND(),AVERAGE(Assumptions!$D$11,Assumptions!$F$11),(Assumptions!$F$11-Assumptions!$D$11)/3.29)*44</f>
        <v>3487127.5767750284</v>
      </c>
      <c r="K699" s="15">
        <f ca="1">_xlfn.NORM.INV(RAND(),AVERAGE(Assumptions!$D$12,Assumptions!$F$12),(Assumptions!$F$12-Assumptions!$D$12)/3.29)*44</f>
        <v>10320618.365018435</v>
      </c>
      <c r="L699" s="3">
        <f ca="1">_xlfn.NORM.INV(RAND(),AVERAGE(Assumptions!$D$13,Assumptions!$F$13),(Assumptions!$F$13-Assumptions!$D$13)/3.29)*44</f>
        <v>16352503.558389064</v>
      </c>
      <c r="M699" s="6">
        <f ca="1">_xlfn.NORM.INV(RAND(),AVERAGE(Assumptions!$D$14,Assumptions!$F$14),(Assumptions!$F$14-Assumptions!$D$14)/3.29)*44</f>
        <v>5908847.6548239272</v>
      </c>
      <c r="N699" s="9">
        <f ca="1">_xlfn.NORM.INV(RAND(),AVERAGE(Assumptions!$D$16,Assumptions!$F$16),(Assumptions!$F$16-Assumptions!$D$16)/3.29)*44</f>
        <v>14814248.098695761</v>
      </c>
      <c r="O699" s="12">
        <f ca="1">_xlfn.NORM.INV(RAND(),AVERAGE(Assumptions!$D$15,Assumptions!$F$15),(Assumptions!$F$15-Assumptions!$D$15)/3.29)*44</f>
        <v>91651604.8908315</v>
      </c>
      <c r="P699" s="15">
        <f>Assumptions!$D$18</f>
        <v>14641750.345627395</v>
      </c>
      <c r="Q699" s="3">
        <f t="shared" ca="1" si="20"/>
        <v>16975336.778662965</v>
      </c>
      <c r="R699" s="6">
        <f t="shared" ca="1" si="21"/>
        <v>31617087.124290362</v>
      </c>
    </row>
    <row r="700" spans="1:18">
      <c r="A700" s="20">
        <v>699</v>
      </c>
      <c r="B700" s="3">
        <f ca="1">_xlfn.NORM.INV(RAND(),AVERAGE(Assumptions!$D$4,Assumptions!$F$4),(Assumptions!$F$4-Assumptions!$D$4)/3.29)*44</f>
        <v>1115062.6223686151</v>
      </c>
      <c r="C700" s="6">
        <f ca="1">_xlfn.NORM.INV(RAND(),AVERAGE(Assumptions!$D$5,Assumptions!$F$5),(Assumptions!$F$5-Assumptions!$D$5)/3.29)*44</f>
        <v>1626877.4248483663</v>
      </c>
      <c r="D700" s="9">
        <f ca="1">_xlfn.NORM.INV(RAND(),AVERAGE(Assumptions!$D$6,Assumptions!$F$6),(Assumptions!$F$6-Assumptions!$D$6)/3.29)*RANDBETWEEN(2,5)</f>
        <v>3202356.1215150729</v>
      </c>
      <c r="E700" s="12">
        <f ca="1">_xlfn.NORM.INV(RAND(),AVERAGE(Assumptions!$D$17,Assumptions!$F$17),(Assumptions!$F$17-Assumptions!$D$17)/3.29)*8</f>
        <v>850007.23537818564</v>
      </c>
      <c r="F700" s="15">
        <f ca="1">_xlfn.NORM.INV(RAND(),AVERAGE(Assumptions!$D$7,Assumptions!$F$7),(Assumptions!$F$7-Assumptions!$D$7)/3.29)*RANDBETWEEN(1,3)</f>
        <v>4269077.5106537342</v>
      </c>
      <c r="G700" s="3">
        <f ca="1">_xlfn.NORM.INV(RAND(),AVERAGE(Assumptions!$D$8,Assumptions!$F$8),(Assumptions!$F$8-Assumptions!$D$8)/3.29)*44</f>
        <v>1234629.3342619571</v>
      </c>
      <c r="H700" s="6">
        <f ca="1">_xlfn.NORM.INV(RAND(),AVERAGE(Assumptions!$D$9,Assumptions!$F$9),(Assumptions!$F$9-Assumptions!$D$9)/3.29)*21</f>
        <v>2813569.8400829537</v>
      </c>
      <c r="I700" s="9">
        <f ca="1">_xlfn.NORM.INV(RAND(),AVERAGE(Assumptions!$D$10,Assumptions!$F$10),(Assumptions!$F$10-Assumptions!$D$10)/3.29)*21</f>
        <v>1132808.1431454357</v>
      </c>
      <c r="J700" s="12">
        <f ca="1">NORMINV(RAND(),AVERAGE(Assumptions!$D$11,Assumptions!$F$11),(Assumptions!$F$11-Assumptions!$D$11)/3.29)*44</f>
        <v>2867686.3371769474</v>
      </c>
      <c r="K700" s="15">
        <f ca="1">_xlfn.NORM.INV(RAND(),AVERAGE(Assumptions!$D$12,Assumptions!$F$12),(Assumptions!$F$12-Assumptions!$D$12)/3.29)*44</f>
        <v>8170652.7382665817</v>
      </c>
      <c r="L700" s="3">
        <f ca="1">_xlfn.NORM.INV(RAND(),AVERAGE(Assumptions!$D$13,Assumptions!$F$13),(Assumptions!$F$13-Assumptions!$D$13)/3.29)*44</f>
        <v>21151992.832357071</v>
      </c>
      <c r="M700" s="6">
        <f ca="1">_xlfn.NORM.INV(RAND(),AVERAGE(Assumptions!$D$14,Assumptions!$F$14),(Assumptions!$F$14-Assumptions!$D$14)/3.29)*44</f>
        <v>5265207.1022585686</v>
      </c>
      <c r="N700" s="9">
        <f ca="1">_xlfn.NORM.INV(RAND(),AVERAGE(Assumptions!$D$16,Assumptions!$F$16),(Assumptions!$F$16-Assumptions!$D$16)/3.29)*44</f>
        <v>6092019.8340063281</v>
      </c>
      <c r="O700" s="12">
        <f ca="1">_xlfn.NORM.INV(RAND(),AVERAGE(Assumptions!$D$15,Assumptions!$F$15),(Assumptions!$F$15-Assumptions!$D$15)/3.29)*44</f>
        <v>135050341.10760823</v>
      </c>
      <c r="P700" s="15">
        <f>Assumptions!$D$18</f>
        <v>14641750.345627395</v>
      </c>
      <c r="Q700" s="3">
        <f t="shared" ca="1" si="20"/>
        <v>75258394.031288415</v>
      </c>
      <c r="R700" s="6">
        <f t="shared" ca="1" si="21"/>
        <v>89900144.376915812</v>
      </c>
    </row>
    <row r="701" spans="1:18">
      <c r="A701" s="20">
        <v>700</v>
      </c>
      <c r="B701" s="3">
        <f ca="1">_xlfn.NORM.INV(RAND(),AVERAGE(Assumptions!$D$4,Assumptions!$F$4),(Assumptions!$F$4-Assumptions!$D$4)/3.29)*44</f>
        <v>1309723.4793890298</v>
      </c>
      <c r="C701" s="6">
        <f ca="1">_xlfn.NORM.INV(RAND(),AVERAGE(Assumptions!$D$5,Assumptions!$F$5),(Assumptions!$F$5-Assumptions!$D$5)/3.29)*44</f>
        <v>1640101.2301597542</v>
      </c>
      <c r="D701" s="9">
        <f ca="1">_xlfn.NORM.INV(RAND(),AVERAGE(Assumptions!$D$6,Assumptions!$F$6),(Assumptions!$F$6-Assumptions!$D$6)/3.29)*RANDBETWEEN(2,5)</f>
        <v>6560418.7877863357</v>
      </c>
      <c r="E701" s="12">
        <f ca="1">_xlfn.NORM.INV(RAND(),AVERAGE(Assumptions!$D$17,Assumptions!$F$17),(Assumptions!$F$17-Assumptions!$D$17)/3.29)*8</f>
        <v>983000.73312260455</v>
      </c>
      <c r="F701" s="15">
        <f ca="1">_xlfn.NORM.INV(RAND(),AVERAGE(Assumptions!$D$7,Assumptions!$F$7),(Assumptions!$F$7-Assumptions!$D$7)/3.29)*RANDBETWEEN(1,3)</f>
        <v>4690292.5213642018</v>
      </c>
      <c r="G701" s="3">
        <f ca="1">_xlfn.NORM.INV(RAND(),AVERAGE(Assumptions!$D$8,Assumptions!$F$8),(Assumptions!$F$8-Assumptions!$D$8)/3.29)*44</f>
        <v>540098.62632607238</v>
      </c>
      <c r="H701" s="6">
        <f ca="1">_xlfn.NORM.INV(RAND(),AVERAGE(Assumptions!$D$9,Assumptions!$F$9),(Assumptions!$F$9-Assumptions!$D$9)/3.29)*21</f>
        <v>6439962.1343297511</v>
      </c>
      <c r="I701" s="9">
        <f ca="1">_xlfn.NORM.INV(RAND(),AVERAGE(Assumptions!$D$10,Assumptions!$F$10),(Assumptions!$F$10-Assumptions!$D$10)/3.29)*21</f>
        <v>852369.08247811464</v>
      </c>
      <c r="J701" s="12">
        <f ca="1">NORMINV(RAND(),AVERAGE(Assumptions!$D$11,Assumptions!$F$11),(Assumptions!$F$11-Assumptions!$D$11)/3.29)*44</f>
        <v>4208698.9520958625</v>
      </c>
      <c r="K701" s="15">
        <f ca="1">_xlfn.NORM.INV(RAND(),AVERAGE(Assumptions!$D$12,Assumptions!$F$12),(Assumptions!$F$12-Assumptions!$D$12)/3.29)*44</f>
        <v>11389454.112965073</v>
      </c>
      <c r="L701" s="3">
        <f ca="1">_xlfn.NORM.INV(RAND(),AVERAGE(Assumptions!$D$13,Assumptions!$F$13),(Assumptions!$F$13-Assumptions!$D$13)/3.29)*44</f>
        <v>10618222.288342427</v>
      </c>
      <c r="M701" s="6">
        <f ca="1">_xlfn.NORM.INV(RAND(),AVERAGE(Assumptions!$D$14,Assumptions!$F$14),(Assumptions!$F$14-Assumptions!$D$14)/3.29)*44</f>
        <v>7557451.0405346686</v>
      </c>
      <c r="N701" s="9">
        <f ca="1">_xlfn.NORM.INV(RAND(),AVERAGE(Assumptions!$D$16,Assumptions!$F$16),(Assumptions!$F$16-Assumptions!$D$16)/3.29)*44</f>
        <v>8147884.7995386031</v>
      </c>
      <c r="O701" s="12">
        <f ca="1">_xlfn.NORM.INV(RAND(),AVERAGE(Assumptions!$D$15,Assumptions!$F$15),(Assumptions!$F$15-Assumptions!$D$15)/3.29)*44</f>
        <v>70418034.849829316</v>
      </c>
      <c r="P701" s="15">
        <f>Assumptions!$D$18</f>
        <v>14641750.345627395</v>
      </c>
      <c r="Q701" s="3">
        <f t="shared" ca="1" si="20"/>
        <v>5480357.0613968223</v>
      </c>
      <c r="R701" s="6">
        <f t="shared" ca="1" si="21"/>
        <v>20122107.40702422</v>
      </c>
    </row>
    <row r="702" spans="1:18">
      <c r="A702" s="20">
        <v>701</v>
      </c>
      <c r="B702" s="3">
        <f ca="1">_xlfn.NORM.INV(RAND(),AVERAGE(Assumptions!$D$4,Assumptions!$F$4),(Assumptions!$F$4-Assumptions!$D$4)/3.29)*44</f>
        <v>1252817.6457647365</v>
      </c>
      <c r="C702" s="6">
        <f ca="1">_xlfn.NORM.INV(RAND(),AVERAGE(Assumptions!$D$5,Assumptions!$F$5),(Assumptions!$F$5-Assumptions!$D$5)/3.29)*44</f>
        <v>2071193.2133802664</v>
      </c>
      <c r="D702" s="9">
        <f ca="1">_xlfn.NORM.INV(RAND(),AVERAGE(Assumptions!$D$6,Assumptions!$F$6),(Assumptions!$F$6-Assumptions!$D$6)/3.29)*RANDBETWEEN(2,5)</f>
        <v>4498064.5263788309</v>
      </c>
      <c r="E702" s="12">
        <f ca="1">_xlfn.NORM.INV(RAND(),AVERAGE(Assumptions!$D$17,Assumptions!$F$17),(Assumptions!$F$17-Assumptions!$D$17)/3.29)*8</f>
        <v>842636.62030153966</v>
      </c>
      <c r="F702" s="15">
        <f ca="1">_xlfn.NORM.INV(RAND(),AVERAGE(Assumptions!$D$7,Assumptions!$F$7),(Assumptions!$F$7-Assumptions!$D$7)/3.29)*RANDBETWEEN(1,3)</f>
        <v>5303720.8797902754</v>
      </c>
      <c r="G702" s="3">
        <f ca="1">_xlfn.NORM.INV(RAND(),AVERAGE(Assumptions!$D$8,Assumptions!$F$8),(Assumptions!$F$8-Assumptions!$D$8)/3.29)*44</f>
        <v>1125587.266473271</v>
      </c>
      <c r="H702" s="6">
        <f ca="1">_xlfn.NORM.INV(RAND(),AVERAGE(Assumptions!$D$9,Assumptions!$F$9),(Assumptions!$F$9-Assumptions!$D$9)/3.29)*21</f>
        <v>2856772.889590574</v>
      </c>
      <c r="I702" s="9">
        <f ca="1">_xlfn.NORM.INV(RAND(),AVERAGE(Assumptions!$D$10,Assumptions!$F$10),(Assumptions!$F$10-Assumptions!$D$10)/3.29)*21</f>
        <v>729730.14458572143</v>
      </c>
      <c r="J702" s="12">
        <f ca="1">NORMINV(RAND(),AVERAGE(Assumptions!$D$11,Assumptions!$F$11),(Assumptions!$F$11-Assumptions!$D$11)/3.29)*44</f>
        <v>2533687.8966309335</v>
      </c>
      <c r="K702" s="15">
        <f ca="1">_xlfn.NORM.INV(RAND(),AVERAGE(Assumptions!$D$12,Assumptions!$F$12),(Assumptions!$F$12-Assumptions!$D$12)/3.29)*44</f>
        <v>11337605.552331006</v>
      </c>
      <c r="L702" s="3">
        <f ca="1">_xlfn.NORM.INV(RAND(),AVERAGE(Assumptions!$D$13,Assumptions!$F$13),(Assumptions!$F$13-Assumptions!$D$13)/3.29)*44</f>
        <v>25578338.015142236</v>
      </c>
      <c r="M702" s="6">
        <f ca="1">_xlfn.NORM.INV(RAND(),AVERAGE(Assumptions!$D$14,Assumptions!$F$14),(Assumptions!$F$14-Assumptions!$D$14)/3.29)*44</f>
        <v>6616276.7514759479</v>
      </c>
      <c r="N702" s="9">
        <f ca="1">_xlfn.NORM.INV(RAND(),AVERAGE(Assumptions!$D$16,Assumptions!$F$16),(Assumptions!$F$16-Assumptions!$D$16)/3.29)*44</f>
        <v>9562610.7176703084</v>
      </c>
      <c r="O702" s="12">
        <f ca="1">_xlfn.NORM.INV(RAND(),AVERAGE(Assumptions!$D$15,Assumptions!$F$15),(Assumptions!$F$15-Assumptions!$D$15)/3.29)*44</f>
        <v>80055114.392709628</v>
      </c>
      <c r="P702" s="15">
        <f>Assumptions!$D$18</f>
        <v>14641750.345627395</v>
      </c>
      <c r="Q702" s="3">
        <f t="shared" ca="1" si="20"/>
        <v>5746072.2731939852</v>
      </c>
      <c r="R702" s="6">
        <f t="shared" ca="1" si="21"/>
        <v>20387822.618821383</v>
      </c>
    </row>
    <row r="703" spans="1:18">
      <c r="A703" s="20">
        <v>702</v>
      </c>
      <c r="B703" s="3">
        <f ca="1">_xlfn.NORM.INV(RAND(),AVERAGE(Assumptions!$D$4,Assumptions!$F$4),(Assumptions!$F$4-Assumptions!$D$4)/3.29)*44</f>
        <v>1246844.2861922649</v>
      </c>
      <c r="C703" s="6">
        <f ca="1">_xlfn.NORM.INV(RAND(),AVERAGE(Assumptions!$D$5,Assumptions!$F$5),(Assumptions!$F$5-Assumptions!$D$5)/3.29)*44</f>
        <v>1766436.5573931255</v>
      </c>
      <c r="D703" s="9">
        <f ca="1">_xlfn.NORM.INV(RAND(),AVERAGE(Assumptions!$D$6,Assumptions!$F$6),(Assumptions!$F$6-Assumptions!$D$6)/3.29)*RANDBETWEEN(2,5)</f>
        <v>5703148.3935620207</v>
      </c>
      <c r="E703" s="12">
        <f ca="1">_xlfn.NORM.INV(RAND(),AVERAGE(Assumptions!$D$17,Assumptions!$F$17),(Assumptions!$F$17-Assumptions!$D$17)/3.29)*8</f>
        <v>988183.31900800776</v>
      </c>
      <c r="F703" s="15">
        <f ca="1">_xlfn.NORM.INV(RAND(),AVERAGE(Assumptions!$D$7,Assumptions!$F$7),(Assumptions!$F$7-Assumptions!$D$7)/3.29)*RANDBETWEEN(1,3)</f>
        <v>9161202.1107314546</v>
      </c>
      <c r="G703" s="3">
        <f ca="1">_xlfn.NORM.INV(RAND(),AVERAGE(Assumptions!$D$8,Assumptions!$F$8),(Assumptions!$F$8-Assumptions!$D$8)/3.29)*44</f>
        <v>1140236.0633307574</v>
      </c>
      <c r="H703" s="6">
        <f ca="1">_xlfn.NORM.INV(RAND(),AVERAGE(Assumptions!$D$9,Assumptions!$F$9),(Assumptions!$F$9-Assumptions!$D$9)/3.29)*21</f>
        <v>4390725.6893595709</v>
      </c>
      <c r="I703" s="9">
        <f ca="1">_xlfn.NORM.INV(RAND(),AVERAGE(Assumptions!$D$10,Assumptions!$F$10),(Assumptions!$F$10-Assumptions!$D$10)/3.29)*21</f>
        <v>835115.64520704513</v>
      </c>
      <c r="J703" s="12">
        <f ca="1">NORMINV(RAND(),AVERAGE(Assumptions!$D$11,Assumptions!$F$11),(Assumptions!$F$11-Assumptions!$D$11)/3.29)*44</f>
        <v>1217059.809651399</v>
      </c>
      <c r="K703" s="15">
        <f ca="1">_xlfn.NORM.INV(RAND(),AVERAGE(Assumptions!$D$12,Assumptions!$F$12),(Assumptions!$F$12-Assumptions!$D$12)/3.29)*44</f>
        <v>8768105.3056611605</v>
      </c>
      <c r="L703" s="3">
        <f ca="1">_xlfn.NORM.INV(RAND(),AVERAGE(Assumptions!$D$13,Assumptions!$F$13),(Assumptions!$F$13-Assumptions!$D$13)/3.29)*44</f>
        <v>21340972.309348494</v>
      </c>
      <c r="M703" s="6">
        <f ca="1">_xlfn.NORM.INV(RAND(),AVERAGE(Assumptions!$D$14,Assumptions!$F$14),(Assumptions!$F$14-Assumptions!$D$14)/3.29)*44</f>
        <v>8920647.907590894</v>
      </c>
      <c r="N703" s="9">
        <f ca="1">_xlfn.NORM.INV(RAND(),AVERAGE(Assumptions!$D$16,Assumptions!$F$16),(Assumptions!$F$16-Assumptions!$D$16)/3.29)*44</f>
        <v>9273272.2013104223</v>
      </c>
      <c r="O703" s="12">
        <f ca="1">_xlfn.NORM.INV(RAND(),AVERAGE(Assumptions!$D$15,Assumptions!$F$15),(Assumptions!$F$15-Assumptions!$D$15)/3.29)*44</f>
        <v>110541900.19206829</v>
      </c>
      <c r="P703" s="15">
        <f>Assumptions!$D$18</f>
        <v>14641750.345627395</v>
      </c>
      <c r="Q703" s="3">
        <f t="shared" ca="1" si="20"/>
        <v>35789950.593721673</v>
      </c>
      <c r="R703" s="6">
        <f t="shared" ca="1" si="21"/>
        <v>50431700.93934907</v>
      </c>
    </row>
    <row r="704" spans="1:18">
      <c r="A704" s="20">
        <v>703</v>
      </c>
      <c r="B704" s="3">
        <f ca="1">_xlfn.NORM.INV(RAND(),AVERAGE(Assumptions!$D$4,Assumptions!$F$4),(Assumptions!$F$4-Assumptions!$D$4)/3.29)*44</f>
        <v>1180145.8728269329</v>
      </c>
      <c r="C704" s="6">
        <f ca="1">_xlfn.NORM.INV(RAND(),AVERAGE(Assumptions!$D$5,Assumptions!$F$5),(Assumptions!$F$5-Assumptions!$D$5)/3.29)*44</f>
        <v>1803621.6129791217</v>
      </c>
      <c r="D704" s="9">
        <f ca="1">_xlfn.NORM.INV(RAND(),AVERAGE(Assumptions!$D$6,Assumptions!$F$6),(Assumptions!$F$6-Assumptions!$D$6)/3.29)*RANDBETWEEN(2,5)</f>
        <v>2373444.2884811698</v>
      </c>
      <c r="E704" s="12">
        <f ca="1">_xlfn.NORM.INV(RAND(),AVERAGE(Assumptions!$D$17,Assumptions!$F$17),(Assumptions!$F$17-Assumptions!$D$17)/3.29)*8</f>
        <v>1146285.7139439355</v>
      </c>
      <c r="F704" s="15">
        <f ca="1">_xlfn.NORM.INV(RAND(),AVERAGE(Assumptions!$D$7,Assumptions!$F$7),(Assumptions!$F$7-Assumptions!$D$7)/3.29)*RANDBETWEEN(1,3)</f>
        <v>2657787.1409304976</v>
      </c>
      <c r="G704" s="3">
        <f ca="1">_xlfn.NORM.INV(RAND(),AVERAGE(Assumptions!$D$8,Assumptions!$F$8),(Assumptions!$F$8-Assumptions!$D$8)/3.29)*44</f>
        <v>951559.37338579842</v>
      </c>
      <c r="H704" s="6">
        <f ca="1">_xlfn.NORM.INV(RAND(),AVERAGE(Assumptions!$D$9,Assumptions!$F$9),(Assumptions!$F$9-Assumptions!$D$9)/3.29)*21</f>
        <v>3289893.7011837983</v>
      </c>
      <c r="I704" s="9">
        <f ca="1">_xlfn.NORM.INV(RAND(),AVERAGE(Assumptions!$D$10,Assumptions!$F$10),(Assumptions!$F$10-Assumptions!$D$10)/3.29)*21</f>
        <v>1137381.8913105805</v>
      </c>
      <c r="J704" s="12">
        <f ca="1">NORMINV(RAND(),AVERAGE(Assumptions!$D$11,Assumptions!$F$11),(Assumptions!$F$11-Assumptions!$D$11)/3.29)*44</f>
        <v>1984254.047116132</v>
      </c>
      <c r="K704" s="15">
        <f ca="1">_xlfn.NORM.INV(RAND(),AVERAGE(Assumptions!$D$12,Assumptions!$F$12),(Assumptions!$F$12-Assumptions!$D$12)/3.29)*44</f>
        <v>9582706.1084968299</v>
      </c>
      <c r="L704" s="3">
        <f ca="1">_xlfn.NORM.INV(RAND(),AVERAGE(Assumptions!$D$13,Assumptions!$F$13),(Assumptions!$F$13-Assumptions!$D$13)/3.29)*44</f>
        <v>6763135.3792278627</v>
      </c>
      <c r="M704" s="6">
        <f ca="1">_xlfn.NORM.INV(RAND(),AVERAGE(Assumptions!$D$14,Assumptions!$F$14),(Assumptions!$F$14-Assumptions!$D$14)/3.29)*44</f>
        <v>7218718.0605954379</v>
      </c>
      <c r="N704" s="9">
        <f ca="1">_xlfn.NORM.INV(RAND(),AVERAGE(Assumptions!$D$16,Assumptions!$F$16),(Assumptions!$F$16-Assumptions!$D$16)/3.29)*44</f>
        <v>10266066.829898886</v>
      </c>
      <c r="O704" s="12">
        <f ca="1">_xlfn.NORM.INV(RAND(),AVERAGE(Assumptions!$D$15,Assumptions!$F$15),(Assumptions!$F$15-Assumptions!$D$15)/3.29)*44</f>
        <v>111027756.45292741</v>
      </c>
      <c r="P704" s="15">
        <f>Assumptions!$D$18</f>
        <v>14641750.345627395</v>
      </c>
      <c r="Q704" s="3">
        <f t="shared" ca="1" si="20"/>
        <v>60672756.43255043</v>
      </c>
      <c r="R704" s="6">
        <f t="shared" ca="1" si="21"/>
        <v>75314506.778177828</v>
      </c>
    </row>
    <row r="705" spans="1:18">
      <c r="A705" s="20">
        <v>704</v>
      </c>
      <c r="B705" s="3">
        <f ca="1">_xlfn.NORM.INV(RAND(),AVERAGE(Assumptions!$D$4,Assumptions!$F$4),(Assumptions!$F$4-Assumptions!$D$4)/3.29)*44</f>
        <v>1143443.0075192931</v>
      </c>
      <c r="C705" s="6">
        <f ca="1">_xlfn.NORM.INV(RAND(),AVERAGE(Assumptions!$D$5,Assumptions!$F$5),(Assumptions!$F$5-Assumptions!$D$5)/3.29)*44</f>
        <v>1951758.1797721465</v>
      </c>
      <c r="D705" s="9">
        <f ca="1">_xlfn.NORM.INV(RAND(),AVERAGE(Assumptions!$D$6,Assumptions!$F$6),(Assumptions!$F$6-Assumptions!$D$6)/3.29)*RANDBETWEEN(2,5)</f>
        <v>5000852.2303483784</v>
      </c>
      <c r="E705" s="12">
        <f ca="1">_xlfn.NORM.INV(RAND(),AVERAGE(Assumptions!$D$17,Assumptions!$F$17),(Assumptions!$F$17-Assumptions!$D$17)/3.29)*8</f>
        <v>916319.03297967894</v>
      </c>
      <c r="F705" s="15">
        <f ca="1">_xlfn.NORM.INV(RAND(),AVERAGE(Assumptions!$D$7,Assumptions!$F$7),(Assumptions!$F$7-Assumptions!$D$7)/3.29)*RANDBETWEEN(1,3)</f>
        <v>4791588.1986851282</v>
      </c>
      <c r="G705" s="3">
        <f ca="1">_xlfn.NORM.INV(RAND(),AVERAGE(Assumptions!$D$8,Assumptions!$F$8),(Assumptions!$F$8-Assumptions!$D$8)/3.29)*44</f>
        <v>988745.25276682596</v>
      </c>
      <c r="H705" s="6">
        <f ca="1">_xlfn.NORM.INV(RAND(),AVERAGE(Assumptions!$D$9,Assumptions!$F$9),(Assumptions!$F$9-Assumptions!$D$9)/3.29)*21</f>
        <v>3835902.0582014043</v>
      </c>
      <c r="I705" s="9">
        <f ca="1">_xlfn.NORM.INV(RAND(),AVERAGE(Assumptions!$D$10,Assumptions!$F$10),(Assumptions!$F$10-Assumptions!$D$10)/3.29)*21</f>
        <v>867108.91370361508</v>
      </c>
      <c r="J705" s="12">
        <f ca="1">NORMINV(RAND(),AVERAGE(Assumptions!$D$11,Assumptions!$F$11),(Assumptions!$F$11-Assumptions!$D$11)/3.29)*44</f>
        <v>4793025.1988395359</v>
      </c>
      <c r="K705" s="15">
        <f ca="1">_xlfn.NORM.INV(RAND(),AVERAGE(Assumptions!$D$12,Assumptions!$F$12),(Assumptions!$F$12-Assumptions!$D$12)/3.29)*44</f>
        <v>7510404.1179185715</v>
      </c>
      <c r="L705" s="3">
        <f ca="1">_xlfn.NORM.INV(RAND(),AVERAGE(Assumptions!$D$13,Assumptions!$F$13),(Assumptions!$F$13-Assumptions!$D$13)/3.29)*44</f>
        <v>8314635.7702924013</v>
      </c>
      <c r="M705" s="6">
        <f ca="1">_xlfn.NORM.INV(RAND(),AVERAGE(Assumptions!$D$14,Assumptions!$F$14),(Assumptions!$F$14-Assumptions!$D$14)/3.29)*44</f>
        <v>5082172.25339022</v>
      </c>
      <c r="N705" s="9">
        <f ca="1">_xlfn.NORM.INV(RAND(),AVERAGE(Assumptions!$D$16,Assumptions!$F$16),(Assumptions!$F$16-Assumptions!$D$16)/3.29)*44</f>
        <v>12002410.712302344</v>
      </c>
      <c r="O705" s="12">
        <f ca="1">_xlfn.NORM.INV(RAND(),AVERAGE(Assumptions!$D$15,Assumptions!$F$15),(Assumptions!$F$15-Assumptions!$D$15)/3.29)*44</f>
        <v>34723019.034191035</v>
      </c>
      <c r="P705" s="15">
        <f>Assumptions!$D$18</f>
        <v>14641750.345627395</v>
      </c>
      <c r="Q705" s="3">
        <f t="shared" ca="1" si="20"/>
        <v>-22475345.892528512</v>
      </c>
      <c r="R705" s="6">
        <f t="shared" ca="1" si="21"/>
        <v>-7833595.5469011161</v>
      </c>
    </row>
    <row r="706" spans="1:18">
      <c r="A706" s="20">
        <v>705</v>
      </c>
      <c r="B706" s="3">
        <f ca="1">_xlfn.NORM.INV(RAND(),AVERAGE(Assumptions!$D$4,Assumptions!$F$4),(Assumptions!$F$4-Assumptions!$D$4)/3.29)*44</f>
        <v>1239575.0841320504</v>
      </c>
      <c r="C706" s="6">
        <f ca="1">_xlfn.NORM.INV(RAND(),AVERAGE(Assumptions!$D$5,Assumptions!$F$5),(Assumptions!$F$5-Assumptions!$D$5)/3.29)*44</f>
        <v>1749677.0732781778</v>
      </c>
      <c r="D706" s="9">
        <f ca="1">_xlfn.NORM.INV(RAND(),AVERAGE(Assumptions!$D$6,Assumptions!$F$6),(Assumptions!$F$6-Assumptions!$D$6)/3.29)*RANDBETWEEN(2,5)</f>
        <v>6115822.3455434274</v>
      </c>
      <c r="E706" s="12">
        <f ca="1">_xlfn.NORM.INV(RAND(),AVERAGE(Assumptions!$D$17,Assumptions!$F$17),(Assumptions!$F$17-Assumptions!$D$17)/3.29)*8</f>
        <v>980759.49848025001</v>
      </c>
      <c r="F706" s="15">
        <f ca="1">_xlfn.NORM.INV(RAND(),AVERAGE(Assumptions!$D$7,Assumptions!$F$7),(Assumptions!$F$7-Assumptions!$D$7)/3.29)*RANDBETWEEN(1,3)</f>
        <v>3609946.1890911465</v>
      </c>
      <c r="G706" s="3">
        <f ca="1">_xlfn.NORM.INV(RAND(),AVERAGE(Assumptions!$D$8,Assumptions!$F$8),(Assumptions!$F$8-Assumptions!$D$8)/3.29)*44</f>
        <v>1446520.149346296</v>
      </c>
      <c r="H706" s="6">
        <f ca="1">_xlfn.NORM.INV(RAND(),AVERAGE(Assumptions!$D$9,Assumptions!$F$9),(Assumptions!$F$9-Assumptions!$D$9)/3.29)*21</f>
        <v>4686510.5774732949</v>
      </c>
      <c r="I706" s="9">
        <f ca="1">_xlfn.NORM.INV(RAND(),AVERAGE(Assumptions!$D$10,Assumptions!$F$10),(Assumptions!$F$10-Assumptions!$D$10)/3.29)*21</f>
        <v>1042976.9728389614</v>
      </c>
      <c r="J706" s="12">
        <f ca="1">NORMINV(RAND(),AVERAGE(Assumptions!$D$11,Assumptions!$F$11),(Assumptions!$F$11-Assumptions!$D$11)/3.29)*44</f>
        <v>3322775.1778565194</v>
      </c>
      <c r="K706" s="15">
        <f ca="1">_xlfn.NORM.INV(RAND(),AVERAGE(Assumptions!$D$12,Assumptions!$F$12),(Assumptions!$F$12-Assumptions!$D$12)/3.29)*44</f>
        <v>8991596.382403655</v>
      </c>
      <c r="L706" s="3">
        <f ca="1">_xlfn.NORM.INV(RAND(),AVERAGE(Assumptions!$D$13,Assumptions!$F$13),(Assumptions!$F$13-Assumptions!$D$13)/3.29)*44</f>
        <v>11442352.891431022</v>
      </c>
      <c r="M706" s="6">
        <f ca="1">_xlfn.NORM.INV(RAND(),AVERAGE(Assumptions!$D$14,Assumptions!$F$14),(Assumptions!$F$14-Assumptions!$D$14)/3.29)*44</f>
        <v>5912126.7452975754</v>
      </c>
      <c r="N706" s="9">
        <f ca="1">_xlfn.NORM.INV(RAND(),AVERAGE(Assumptions!$D$16,Assumptions!$F$16),(Assumptions!$F$16-Assumptions!$D$16)/3.29)*44</f>
        <v>4936662.4973232523</v>
      </c>
      <c r="O706" s="12">
        <f ca="1">_xlfn.NORM.INV(RAND(),AVERAGE(Assumptions!$D$15,Assumptions!$F$15),(Assumptions!$F$15-Assumptions!$D$15)/3.29)*44</f>
        <v>43648881.737100735</v>
      </c>
      <c r="P706" s="15">
        <f>Assumptions!$D$18</f>
        <v>14641750.345627395</v>
      </c>
      <c r="Q706" s="3">
        <f t="shared" ca="1" si="20"/>
        <v>-11828419.847394891</v>
      </c>
      <c r="R706" s="6">
        <f t="shared" ca="1" si="21"/>
        <v>2813330.4982325044</v>
      </c>
    </row>
    <row r="707" spans="1:18">
      <c r="A707" s="20">
        <v>706</v>
      </c>
      <c r="B707" s="3">
        <f ca="1">_xlfn.NORM.INV(RAND(),AVERAGE(Assumptions!$D$4,Assumptions!$F$4),(Assumptions!$F$4-Assumptions!$D$4)/3.29)*44</f>
        <v>1230093.6811808392</v>
      </c>
      <c r="C707" s="6">
        <f ca="1">_xlfn.NORM.INV(RAND(),AVERAGE(Assumptions!$D$5,Assumptions!$F$5),(Assumptions!$F$5-Assumptions!$D$5)/3.29)*44</f>
        <v>1993991.6867780965</v>
      </c>
      <c r="D707" s="9">
        <f ca="1">_xlfn.NORM.INV(RAND(),AVERAGE(Assumptions!$D$6,Assumptions!$F$6),(Assumptions!$F$6-Assumptions!$D$6)/3.29)*RANDBETWEEN(2,5)</f>
        <v>2590495.3621064383</v>
      </c>
      <c r="E707" s="12">
        <f ca="1">_xlfn.NORM.INV(RAND(),AVERAGE(Assumptions!$D$17,Assumptions!$F$17),(Assumptions!$F$17-Assumptions!$D$17)/3.29)*8</f>
        <v>906080.81592995941</v>
      </c>
      <c r="F707" s="15">
        <f ca="1">_xlfn.NORM.INV(RAND(),AVERAGE(Assumptions!$D$7,Assumptions!$F$7),(Assumptions!$F$7-Assumptions!$D$7)/3.29)*RANDBETWEEN(1,3)</f>
        <v>1790475.4530462862</v>
      </c>
      <c r="G707" s="3">
        <f ca="1">_xlfn.NORM.INV(RAND(),AVERAGE(Assumptions!$D$8,Assumptions!$F$8),(Assumptions!$F$8-Assumptions!$D$8)/3.29)*44</f>
        <v>1156833.31703393</v>
      </c>
      <c r="H707" s="6">
        <f ca="1">_xlfn.NORM.INV(RAND(),AVERAGE(Assumptions!$D$9,Assumptions!$F$9),(Assumptions!$F$9-Assumptions!$D$9)/3.29)*21</f>
        <v>2725656.3871555924</v>
      </c>
      <c r="I707" s="9">
        <f ca="1">_xlfn.NORM.INV(RAND(),AVERAGE(Assumptions!$D$10,Assumptions!$F$10),(Assumptions!$F$10-Assumptions!$D$10)/3.29)*21</f>
        <v>1458974.3186911619</v>
      </c>
      <c r="J707" s="12">
        <f ca="1">NORMINV(RAND(),AVERAGE(Assumptions!$D$11,Assumptions!$F$11),(Assumptions!$F$11-Assumptions!$D$11)/3.29)*44</f>
        <v>5003686.0909176804</v>
      </c>
      <c r="K707" s="15">
        <f ca="1">_xlfn.NORM.INV(RAND(),AVERAGE(Assumptions!$D$12,Assumptions!$F$12),(Assumptions!$F$12-Assumptions!$D$12)/3.29)*44</f>
        <v>7383303.765732998</v>
      </c>
      <c r="L707" s="3">
        <f ca="1">_xlfn.NORM.INV(RAND(),AVERAGE(Assumptions!$D$13,Assumptions!$F$13),(Assumptions!$F$13-Assumptions!$D$13)/3.29)*44</f>
        <v>19464474.81947951</v>
      </c>
      <c r="M707" s="6">
        <f ca="1">_xlfn.NORM.INV(RAND(),AVERAGE(Assumptions!$D$14,Assumptions!$F$14),(Assumptions!$F$14-Assumptions!$D$14)/3.29)*44</f>
        <v>5829137.0112954555</v>
      </c>
      <c r="N707" s="9">
        <f ca="1">_xlfn.NORM.INV(RAND(),AVERAGE(Assumptions!$D$16,Assumptions!$F$16),(Assumptions!$F$16-Assumptions!$D$16)/3.29)*44</f>
        <v>5159902.0986238085</v>
      </c>
      <c r="O707" s="12">
        <f ca="1">_xlfn.NORM.INV(RAND(),AVERAGE(Assumptions!$D$15,Assumptions!$F$15),(Assumptions!$F$15-Assumptions!$D$15)/3.29)*44</f>
        <v>201368350.59730515</v>
      </c>
      <c r="P707" s="15">
        <f>Assumptions!$D$18</f>
        <v>14641750.345627395</v>
      </c>
      <c r="Q707" s="3">
        <f t="shared" ref="Q707:Q770" ca="1" si="22">O707-(B707+C707+D707+F707+G707+H707+I707+J707+K707+L707+M707+N707+E707)</f>
        <v>144675245.7893334</v>
      </c>
      <c r="R707" s="6">
        <f t="shared" ref="R707:R770" ca="1" si="23">Q707+P707</f>
        <v>159316996.1349608</v>
      </c>
    </row>
    <row r="708" spans="1:18">
      <c r="A708" s="20">
        <v>707</v>
      </c>
      <c r="B708" s="3">
        <f ca="1">_xlfn.NORM.INV(RAND(),AVERAGE(Assumptions!$D$4,Assumptions!$F$4),(Assumptions!$F$4-Assumptions!$D$4)/3.29)*44</f>
        <v>1220517.8665116031</v>
      </c>
      <c r="C708" s="6">
        <f ca="1">_xlfn.NORM.INV(RAND(),AVERAGE(Assumptions!$D$5,Assumptions!$F$5),(Assumptions!$F$5-Assumptions!$D$5)/3.29)*44</f>
        <v>1924078.3798714345</v>
      </c>
      <c r="D708" s="9">
        <f ca="1">_xlfn.NORM.INV(RAND(),AVERAGE(Assumptions!$D$6,Assumptions!$F$6),(Assumptions!$F$6-Assumptions!$D$6)/3.29)*RANDBETWEEN(2,5)</f>
        <v>5347582.6530299503</v>
      </c>
      <c r="E708" s="12">
        <f ca="1">_xlfn.NORM.INV(RAND(),AVERAGE(Assumptions!$D$17,Assumptions!$F$17),(Assumptions!$F$17-Assumptions!$D$17)/3.29)*8</f>
        <v>941663.10539827216</v>
      </c>
      <c r="F708" s="15">
        <f ca="1">_xlfn.NORM.INV(RAND(),AVERAGE(Assumptions!$D$7,Assumptions!$F$7),(Assumptions!$F$7-Assumptions!$D$7)/3.29)*RANDBETWEEN(1,3)</f>
        <v>7262493.5455029393</v>
      </c>
      <c r="G708" s="3">
        <f ca="1">_xlfn.NORM.INV(RAND(),AVERAGE(Assumptions!$D$8,Assumptions!$F$8),(Assumptions!$F$8-Assumptions!$D$8)/3.29)*44</f>
        <v>1265493.0195324179</v>
      </c>
      <c r="H708" s="6">
        <f ca="1">_xlfn.NORM.INV(RAND(),AVERAGE(Assumptions!$D$9,Assumptions!$F$9),(Assumptions!$F$9-Assumptions!$D$9)/3.29)*21</f>
        <v>3066873.457452944</v>
      </c>
      <c r="I708" s="9">
        <f ca="1">_xlfn.NORM.INV(RAND(),AVERAGE(Assumptions!$D$10,Assumptions!$F$10),(Assumptions!$F$10-Assumptions!$D$10)/3.29)*21</f>
        <v>1042162.4489760105</v>
      </c>
      <c r="J708" s="12">
        <f ca="1">NORMINV(RAND(),AVERAGE(Assumptions!$D$11,Assumptions!$F$11),(Assumptions!$F$11-Assumptions!$D$11)/3.29)*44</f>
        <v>4071625.7663518386</v>
      </c>
      <c r="K708" s="15">
        <f ca="1">_xlfn.NORM.INV(RAND(),AVERAGE(Assumptions!$D$12,Assumptions!$F$12),(Assumptions!$F$12-Assumptions!$D$12)/3.29)*44</f>
        <v>5585711.4859230472</v>
      </c>
      <c r="L708" s="3">
        <f ca="1">_xlfn.NORM.INV(RAND(),AVERAGE(Assumptions!$D$13,Assumptions!$F$13),(Assumptions!$F$13-Assumptions!$D$13)/3.29)*44</f>
        <v>10127455.03893893</v>
      </c>
      <c r="M708" s="6">
        <f ca="1">_xlfn.NORM.INV(RAND(),AVERAGE(Assumptions!$D$14,Assumptions!$F$14),(Assumptions!$F$14-Assumptions!$D$14)/3.29)*44</f>
        <v>7559196.364774934</v>
      </c>
      <c r="N708" s="9">
        <f ca="1">_xlfn.NORM.INV(RAND(),AVERAGE(Assumptions!$D$16,Assumptions!$F$16),(Assumptions!$F$16-Assumptions!$D$16)/3.29)*44</f>
        <v>14144047.805496916</v>
      </c>
      <c r="O708" s="12">
        <f ca="1">_xlfn.NORM.INV(RAND(),AVERAGE(Assumptions!$D$15,Assumptions!$F$15),(Assumptions!$F$15-Assumptions!$D$15)/3.29)*44</f>
        <v>104149496.89771065</v>
      </c>
      <c r="P708" s="15">
        <f>Assumptions!$D$18</f>
        <v>14641750.345627395</v>
      </c>
      <c r="Q708" s="3">
        <f t="shared" ca="1" si="22"/>
        <v>40590595.959949404</v>
      </c>
      <c r="R708" s="6">
        <f t="shared" ca="1" si="23"/>
        <v>55232346.305576801</v>
      </c>
    </row>
    <row r="709" spans="1:18">
      <c r="A709" s="20">
        <v>708</v>
      </c>
      <c r="B709" s="3">
        <f ca="1">_xlfn.NORM.INV(RAND(),AVERAGE(Assumptions!$D$4,Assumptions!$F$4),(Assumptions!$F$4-Assumptions!$D$4)/3.29)*44</f>
        <v>1284928.9890149953</v>
      </c>
      <c r="C709" s="6">
        <f ca="1">_xlfn.NORM.INV(RAND(),AVERAGE(Assumptions!$D$5,Assumptions!$F$5),(Assumptions!$F$5-Assumptions!$D$5)/3.29)*44</f>
        <v>1987776.2153137971</v>
      </c>
      <c r="D709" s="9">
        <f ca="1">_xlfn.NORM.INV(RAND(),AVERAGE(Assumptions!$D$6,Assumptions!$F$6),(Assumptions!$F$6-Assumptions!$D$6)/3.29)*RANDBETWEEN(2,5)</f>
        <v>3846762.2832149463</v>
      </c>
      <c r="E709" s="12">
        <f ca="1">_xlfn.NORM.INV(RAND(),AVERAGE(Assumptions!$D$17,Assumptions!$F$17),(Assumptions!$F$17-Assumptions!$D$17)/3.29)*8</f>
        <v>1013174.2513061572</v>
      </c>
      <c r="F709" s="15">
        <f ca="1">_xlfn.NORM.INV(RAND(),AVERAGE(Assumptions!$D$7,Assumptions!$F$7),(Assumptions!$F$7-Assumptions!$D$7)/3.29)*RANDBETWEEN(1,3)</f>
        <v>1978692.5824493603</v>
      </c>
      <c r="G709" s="3">
        <f ca="1">_xlfn.NORM.INV(RAND(),AVERAGE(Assumptions!$D$8,Assumptions!$F$8),(Assumptions!$F$8-Assumptions!$D$8)/3.29)*44</f>
        <v>1471339.0450871005</v>
      </c>
      <c r="H709" s="6">
        <f ca="1">_xlfn.NORM.INV(RAND(),AVERAGE(Assumptions!$D$9,Assumptions!$F$9),(Assumptions!$F$9-Assumptions!$D$9)/3.29)*21</f>
        <v>5560659.5388935013</v>
      </c>
      <c r="I709" s="9">
        <f ca="1">_xlfn.NORM.INV(RAND(),AVERAGE(Assumptions!$D$10,Assumptions!$F$10),(Assumptions!$F$10-Assumptions!$D$10)/3.29)*21</f>
        <v>742832.80723125604</v>
      </c>
      <c r="J709" s="12">
        <f ca="1">NORMINV(RAND(),AVERAGE(Assumptions!$D$11,Assumptions!$F$11),(Assumptions!$F$11-Assumptions!$D$11)/3.29)*44</f>
        <v>1937404.2916710302</v>
      </c>
      <c r="K709" s="15">
        <f ca="1">_xlfn.NORM.INV(RAND(),AVERAGE(Assumptions!$D$12,Assumptions!$F$12),(Assumptions!$F$12-Assumptions!$D$12)/3.29)*44</f>
        <v>9061431.3487916123</v>
      </c>
      <c r="L709" s="3">
        <f ca="1">_xlfn.NORM.INV(RAND(),AVERAGE(Assumptions!$D$13,Assumptions!$F$13),(Assumptions!$F$13-Assumptions!$D$13)/3.29)*44</f>
        <v>18072332.915323023</v>
      </c>
      <c r="M709" s="6">
        <f ca="1">_xlfn.NORM.INV(RAND(),AVERAGE(Assumptions!$D$14,Assumptions!$F$14),(Assumptions!$F$14-Assumptions!$D$14)/3.29)*44</f>
        <v>7561222.0944710365</v>
      </c>
      <c r="N709" s="9">
        <f ca="1">_xlfn.NORM.INV(RAND(),AVERAGE(Assumptions!$D$16,Assumptions!$F$16),(Assumptions!$F$16-Assumptions!$D$16)/3.29)*44</f>
        <v>6804171.1783017237</v>
      </c>
      <c r="O709" s="12">
        <f ca="1">_xlfn.NORM.INV(RAND(),AVERAGE(Assumptions!$D$15,Assumptions!$F$15),(Assumptions!$F$15-Assumptions!$D$15)/3.29)*44</f>
        <v>50519367.994160391</v>
      </c>
      <c r="P709" s="15">
        <f>Assumptions!$D$18</f>
        <v>14641750.345627395</v>
      </c>
      <c r="Q709" s="3">
        <f t="shared" ca="1" si="22"/>
        <v>-10803359.546909139</v>
      </c>
      <c r="R709" s="6">
        <f t="shared" ca="1" si="23"/>
        <v>3838390.7987182569</v>
      </c>
    </row>
    <row r="710" spans="1:18">
      <c r="A710" s="20">
        <v>709</v>
      </c>
      <c r="B710" s="3">
        <f ca="1">_xlfn.NORM.INV(RAND(),AVERAGE(Assumptions!$D$4,Assumptions!$F$4),(Assumptions!$F$4-Assumptions!$D$4)/3.29)*44</f>
        <v>1391042.0204435771</v>
      </c>
      <c r="C710" s="6">
        <f ca="1">_xlfn.NORM.INV(RAND(),AVERAGE(Assumptions!$D$5,Assumptions!$F$5),(Assumptions!$F$5-Assumptions!$D$5)/3.29)*44</f>
        <v>1809818.5044978829</v>
      </c>
      <c r="D710" s="9">
        <f ca="1">_xlfn.NORM.INV(RAND(),AVERAGE(Assumptions!$D$6,Assumptions!$F$6),(Assumptions!$F$6-Assumptions!$D$6)/3.29)*RANDBETWEEN(2,5)</f>
        <v>6509539.47681404</v>
      </c>
      <c r="E710" s="12">
        <f ca="1">_xlfn.NORM.INV(RAND(),AVERAGE(Assumptions!$D$17,Assumptions!$F$17),(Assumptions!$F$17-Assumptions!$D$17)/3.29)*8</f>
        <v>1044550.6396404108</v>
      </c>
      <c r="F710" s="15">
        <f ca="1">_xlfn.NORM.INV(RAND(),AVERAGE(Assumptions!$D$7,Assumptions!$F$7),(Assumptions!$F$7-Assumptions!$D$7)/3.29)*RANDBETWEEN(1,3)</f>
        <v>8215608.0619625244</v>
      </c>
      <c r="G710" s="3">
        <f ca="1">_xlfn.NORM.INV(RAND(),AVERAGE(Assumptions!$D$8,Assumptions!$F$8),(Assumptions!$F$8-Assumptions!$D$8)/3.29)*44</f>
        <v>950825.35307813459</v>
      </c>
      <c r="H710" s="6">
        <f ca="1">_xlfn.NORM.INV(RAND(),AVERAGE(Assumptions!$D$9,Assumptions!$F$9),(Assumptions!$F$9-Assumptions!$D$9)/3.29)*21</f>
        <v>5366229.9585256884</v>
      </c>
      <c r="I710" s="9">
        <f ca="1">_xlfn.NORM.INV(RAND(),AVERAGE(Assumptions!$D$10,Assumptions!$F$10),(Assumptions!$F$10-Assumptions!$D$10)/3.29)*21</f>
        <v>1068677.879662266</v>
      </c>
      <c r="J710" s="12">
        <f ca="1">NORMINV(RAND(),AVERAGE(Assumptions!$D$11,Assumptions!$F$11),(Assumptions!$F$11-Assumptions!$D$11)/3.29)*44</f>
        <v>3019033.7245281287</v>
      </c>
      <c r="K710" s="15">
        <f ca="1">_xlfn.NORM.INV(RAND(),AVERAGE(Assumptions!$D$12,Assumptions!$F$12),(Assumptions!$F$12-Assumptions!$D$12)/3.29)*44</f>
        <v>6705879.638810141</v>
      </c>
      <c r="L710" s="3">
        <f ca="1">_xlfn.NORM.INV(RAND(),AVERAGE(Assumptions!$D$13,Assumptions!$F$13),(Assumptions!$F$13-Assumptions!$D$13)/3.29)*44</f>
        <v>8983126.3195584975</v>
      </c>
      <c r="M710" s="6">
        <f ca="1">_xlfn.NORM.INV(RAND(),AVERAGE(Assumptions!$D$14,Assumptions!$F$14),(Assumptions!$F$14-Assumptions!$D$14)/3.29)*44</f>
        <v>7105050.4648034582</v>
      </c>
      <c r="N710" s="9">
        <f ca="1">_xlfn.NORM.INV(RAND(),AVERAGE(Assumptions!$D$16,Assumptions!$F$16),(Assumptions!$F$16-Assumptions!$D$16)/3.29)*44</f>
        <v>11632223.394993566</v>
      </c>
      <c r="O710" s="12">
        <f ca="1">_xlfn.NORM.INV(RAND(),AVERAGE(Assumptions!$D$15,Assumptions!$F$15),(Assumptions!$F$15-Assumptions!$D$15)/3.29)*44</f>
        <v>47191077.579629354</v>
      </c>
      <c r="P710" s="15">
        <f>Assumptions!$D$18</f>
        <v>14641750.345627395</v>
      </c>
      <c r="Q710" s="3">
        <f t="shared" ca="1" si="22"/>
        <v>-16610527.857688956</v>
      </c>
      <c r="R710" s="6">
        <f t="shared" ca="1" si="23"/>
        <v>-1968777.5120615605</v>
      </c>
    </row>
    <row r="711" spans="1:18">
      <c r="A711" s="20">
        <v>710</v>
      </c>
      <c r="B711" s="3">
        <f ca="1">_xlfn.NORM.INV(RAND(),AVERAGE(Assumptions!$D$4,Assumptions!$F$4),(Assumptions!$F$4-Assumptions!$D$4)/3.29)*44</f>
        <v>1189609.7127959146</v>
      </c>
      <c r="C711" s="6">
        <f ca="1">_xlfn.NORM.INV(RAND(),AVERAGE(Assumptions!$D$5,Assumptions!$F$5),(Assumptions!$F$5-Assumptions!$D$5)/3.29)*44</f>
        <v>1705234.9872295344</v>
      </c>
      <c r="D711" s="9">
        <f ca="1">_xlfn.NORM.INV(RAND(),AVERAGE(Assumptions!$D$6,Assumptions!$F$6),(Assumptions!$F$6-Assumptions!$D$6)/3.29)*RANDBETWEEN(2,5)</f>
        <v>7524841.3219786286</v>
      </c>
      <c r="E711" s="12">
        <f ca="1">_xlfn.NORM.INV(RAND(),AVERAGE(Assumptions!$D$17,Assumptions!$F$17),(Assumptions!$F$17-Assumptions!$D$17)/3.29)*8</f>
        <v>763231.33627583738</v>
      </c>
      <c r="F711" s="15">
        <f ca="1">_xlfn.NORM.INV(RAND(),AVERAGE(Assumptions!$D$7,Assumptions!$F$7),(Assumptions!$F$7-Assumptions!$D$7)/3.29)*RANDBETWEEN(1,3)</f>
        <v>11164763.556819674</v>
      </c>
      <c r="G711" s="3">
        <f ca="1">_xlfn.NORM.INV(RAND(),AVERAGE(Assumptions!$D$8,Assumptions!$F$8),(Assumptions!$F$8-Assumptions!$D$8)/3.29)*44</f>
        <v>1514424.278890531</v>
      </c>
      <c r="H711" s="6">
        <f ca="1">_xlfn.NORM.INV(RAND(),AVERAGE(Assumptions!$D$9,Assumptions!$F$9),(Assumptions!$F$9-Assumptions!$D$9)/3.29)*21</f>
        <v>3573934.0001544682</v>
      </c>
      <c r="I711" s="9">
        <f ca="1">_xlfn.NORM.INV(RAND(),AVERAGE(Assumptions!$D$10,Assumptions!$F$10),(Assumptions!$F$10-Assumptions!$D$10)/3.29)*21</f>
        <v>983924.21788481949</v>
      </c>
      <c r="J711" s="12">
        <f ca="1">NORMINV(RAND(),AVERAGE(Assumptions!$D$11,Assumptions!$F$11),(Assumptions!$F$11-Assumptions!$D$11)/3.29)*44</f>
        <v>4046311.03860845</v>
      </c>
      <c r="K711" s="15">
        <f ca="1">_xlfn.NORM.INV(RAND(),AVERAGE(Assumptions!$D$12,Assumptions!$F$12),(Assumptions!$F$12-Assumptions!$D$12)/3.29)*44</f>
        <v>10604173.175851585</v>
      </c>
      <c r="L711" s="3">
        <f ca="1">_xlfn.NORM.INV(RAND(),AVERAGE(Assumptions!$D$13,Assumptions!$F$13),(Assumptions!$F$13-Assumptions!$D$13)/3.29)*44</f>
        <v>12974305.520639785</v>
      </c>
      <c r="M711" s="6">
        <f ca="1">_xlfn.NORM.INV(RAND(),AVERAGE(Assumptions!$D$14,Assumptions!$F$14),(Assumptions!$F$14-Assumptions!$D$14)/3.29)*44</f>
        <v>7449125.0752348928</v>
      </c>
      <c r="N711" s="9">
        <f ca="1">_xlfn.NORM.INV(RAND(),AVERAGE(Assumptions!$D$16,Assumptions!$F$16),(Assumptions!$F$16-Assumptions!$D$16)/3.29)*44</f>
        <v>8778573.3995649628</v>
      </c>
      <c r="O711" s="12">
        <f ca="1">_xlfn.NORM.INV(RAND(),AVERAGE(Assumptions!$D$15,Assumptions!$F$15),(Assumptions!$F$15-Assumptions!$D$15)/3.29)*44</f>
        <v>92017814.837318391</v>
      </c>
      <c r="P711" s="15">
        <f>Assumptions!$D$18</f>
        <v>14641750.345627395</v>
      </c>
      <c r="Q711" s="3">
        <f t="shared" ca="1" si="22"/>
        <v>19745363.215389311</v>
      </c>
      <c r="R711" s="6">
        <f t="shared" ca="1" si="23"/>
        <v>34387113.561016709</v>
      </c>
    </row>
    <row r="712" spans="1:18">
      <c r="A712" s="20">
        <v>711</v>
      </c>
      <c r="B712" s="3">
        <f ca="1">_xlfn.NORM.INV(RAND(),AVERAGE(Assumptions!$D$4,Assumptions!$F$4),(Assumptions!$F$4-Assumptions!$D$4)/3.29)*44</f>
        <v>1241171.1795561733</v>
      </c>
      <c r="C712" s="6">
        <f ca="1">_xlfn.NORM.INV(RAND(),AVERAGE(Assumptions!$D$5,Assumptions!$F$5),(Assumptions!$F$5-Assumptions!$D$5)/3.29)*44</f>
        <v>1806093.1549378326</v>
      </c>
      <c r="D712" s="9">
        <f ca="1">_xlfn.NORM.INV(RAND(),AVERAGE(Assumptions!$D$6,Assumptions!$F$6),(Assumptions!$F$6-Assumptions!$D$6)/3.29)*RANDBETWEEN(2,5)</f>
        <v>4894024.5417390084</v>
      </c>
      <c r="E712" s="12">
        <f ca="1">_xlfn.NORM.INV(RAND(),AVERAGE(Assumptions!$D$17,Assumptions!$F$17),(Assumptions!$F$17-Assumptions!$D$17)/3.29)*8</f>
        <v>1101978.0771612213</v>
      </c>
      <c r="F712" s="15">
        <f ca="1">_xlfn.NORM.INV(RAND(),AVERAGE(Assumptions!$D$7,Assumptions!$F$7),(Assumptions!$F$7-Assumptions!$D$7)/3.29)*RANDBETWEEN(1,3)</f>
        <v>8327318.205396113</v>
      </c>
      <c r="G712" s="3">
        <f ca="1">_xlfn.NORM.INV(RAND(),AVERAGE(Assumptions!$D$8,Assumptions!$F$8),(Assumptions!$F$8-Assumptions!$D$8)/3.29)*44</f>
        <v>1379025.3300987799</v>
      </c>
      <c r="H712" s="6">
        <f ca="1">_xlfn.NORM.INV(RAND(),AVERAGE(Assumptions!$D$9,Assumptions!$F$9),(Assumptions!$F$9-Assumptions!$D$9)/3.29)*21</f>
        <v>3155879.8152098209</v>
      </c>
      <c r="I712" s="9">
        <f ca="1">_xlfn.NORM.INV(RAND(),AVERAGE(Assumptions!$D$10,Assumptions!$F$10),(Assumptions!$F$10-Assumptions!$D$10)/3.29)*21</f>
        <v>1184529.6452154852</v>
      </c>
      <c r="J712" s="12">
        <f ca="1">NORMINV(RAND(),AVERAGE(Assumptions!$D$11,Assumptions!$F$11),(Assumptions!$F$11-Assumptions!$D$11)/3.29)*44</f>
        <v>3593884.4238007017</v>
      </c>
      <c r="K712" s="15">
        <f ca="1">_xlfn.NORM.INV(RAND(),AVERAGE(Assumptions!$D$12,Assumptions!$F$12),(Assumptions!$F$12-Assumptions!$D$12)/3.29)*44</f>
        <v>5994903.2432756219</v>
      </c>
      <c r="L712" s="3">
        <f ca="1">_xlfn.NORM.INV(RAND(),AVERAGE(Assumptions!$D$13,Assumptions!$F$13),(Assumptions!$F$13-Assumptions!$D$13)/3.29)*44</f>
        <v>15995593.852123018</v>
      </c>
      <c r="M712" s="6">
        <f ca="1">_xlfn.NORM.INV(RAND(),AVERAGE(Assumptions!$D$14,Assumptions!$F$14),(Assumptions!$F$14-Assumptions!$D$14)/3.29)*44</f>
        <v>4269305.630172505</v>
      </c>
      <c r="N712" s="9">
        <f ca="1">_xlfn.NORM.INV(RAND(),AVERAGE(Assumptions!$D$16,Assumptions!$F$16),(Assumptions!$F$16-Assumptions!$D$16)/3.29)*44</f>
        <v>5301010.4587411387</v>
      </c>
      <c r="O712" s="12">
        <f ca="1">_xlfn.NORM.INV(RAND(),AVERAGE(Assumptions!$D$15,Assumptions!$F$15),(Assumptions!$F$15-Assumptions!$D$15)/3.29)*44</f>
        <v>100457267.99377653</v>
      </c>
      <c r="P712" s="15">
        <f>Assumptions!$D$18</f>
        <v>14641750.345627395</v>
      </c>
      <c r="Q712" s="3">
        <f t="shared" ca="1" si="22"/>
        <v>42212550.436349116</v>
      </c>
      <c r="R712" s="6">
        <f t="shared" ca="1" si="23"/>
        <v>56854300.781976514</v>
      </c>
    </row>
    <row r="713" spans="1:18">
      <c r="A713" s="20">
        <v>712</v>
      </c>
      <c r="B713" s="3">
        <f ca="1">_xlfn.NORM.INV(RAND(),AVERAGE(Assumptions!$D$4,Assumptions!$F$4),(Assumptions!$F$4-Assumptions!$D$4)/3.29)*44</f>
        <v>1166090.3541227097</v>
      </c>
      <c r="C713" s="6">
        <f ca="1">_xlfn.NORM.INV(RAND(),AVERAGE(Assumptions!$D$5,Assumptions!$F$5),(Assumptions!$F$5-Assumptions!$D$5)/3.29)*44</f>
        <v>1749998.0345553434</v>
      </c>
      <c r="D713" s="9">
        <f ca="1">_xlfn.NORM.INV(RAND(),AVERAGE(Assumptions!$D$6,Assumptions!$F$6),(Assumptions!$F$6-Assumptions!$D$6)/3.29)*RANDBETWEEN(2,5)</f>
        <v>4785166.8300140155</v>
      </c>
      <c r="E713" s="12">
        <f ca="1">_xlfn.NORM.INV(RAND(),AVERAGE(Assumptions!$D$17,Assumptions!$F$17),(Assumptions!$F$17-Assumptions!$D$17)/3.29)*8</f>
        <v>1028198.4495468892</v>
      </c>
      <c r="F713" s="15">
        <f ca="1">_xlfn.NORM.INV(RAND(),AVERAGE(Assumptions!$D$7,Assumptions!$F$7),(Assumptions!$F$7-Assumptions!$D$7)/3.29)*RANDBETWEEN(1,3)</f>
        <v>4550443.6118300008</v>
      </c>
      <c r="G713" s="3">
        <f ca="1">_xlfn.NORM.INV(RAND(),AVERAGE(Assumptions!$D$8,Assumptions!$F$8),(Assumptions!$F$8-Assumptions!$D$8)/3.29)*44</f>
        <v>1279898.3049212703</v>
      </c>
      <c r="H713" s="6">
        <f ca="1">_xlfn.NORM.INV(RAND(),AVERAGE(Assumptions!$D$9,Assumptions!$F$9),(Assumptions!$F$9-Assumptions!$D$9)/3.29)*21</f>
        <v>3940884.3193990123</v>
      </c>
      <c r="I713" s="9">
        <f ca="1">_xlfn.NORM.INV(RAND(),AVERAGE(Assumptions!$D$10,Assumptions!$F$10),(Assumptions!$F$10-Assumptions!$D$10)/3.29)*21</f>
        <v>1055418.1197518338</v>
      </c>
      <c r="J713" s="12">
        <f ca="1">NORMINV(RAND(),AVERAGE(Assumptions!$D$11,Assumptions!$F$11),(Assumptions!$F$11-Assumptions!$D$11)/3.29)*44</f>
        <v>2598803.3381217406</v>
      </c>
      <c r="K713" s="15">
        <f ca="1">_xlfn.NORM.INV(RAND(),AVERAGE(Assumptions!$D$12,Assumptions!$F$12),(Assumptions!$F$12-Assumptions!$D$12)/3.29)*44</f>
        <v>10232179.02329707</v>
      </c>
      <c r="L713" s="3">
        <f ca="1">_xlfn.NORM.INV(RAND(),AVERAGE(Assumptions!$D$13,Assumptions!$F$13),(Assumptions!$F$13-Assumptions!$D$13)/3.29)*44</f>
        <v>10858929.540464336</v>
      </c>
      <c r="M713" s="6">
        <f ca="1">_xlfn.NORM.INV(RAND(),AVERAGE(Assumptions!$D$14,Assumptions!$F$14),(Assumptions!$F$14-Assumptions!$D$14)/3.29)*44</f>
        <v>4902195.7489445889</v>
      </c>
      <c r="N713" s="9">
        <f ca="1">_xlfn.NORM.INV(RAND(),AVERAGE(Assumptions!$D$16,Assumptions!$F$16),(Assumptions!$F$16-Assumptions!$D$16)/3.29)*44</f>
        <v>15038215.131518723</v>
      </c>
      <c r="O713" s="12">
        <f ca="1">_xlfn.NORM.INV(RAND(),AVERAGE(Assumptions!$D$15,Assumptions!$F$15),(Assumptions!$F$15-Assumptions!$D$15)/3.29)*44</f>
        <v>156429932.34299996</v>
      </c>
      <c r="P713" s="15">
        <f>Assumptions!$D$18</f>
        <v>14641750.345627395</v>
      </c>
      <c r="Q713" s="3">
        <f t="shared" ca="1" si="22"/>
        <v>93243511.536512434</v>
      </c>
      <c r="R713" s="6">
        <f t="shared" ca="1" si="23"/>
        <v>107885261.88213983</v>
      </c>
    </row>
    <row r="714" spans="1:18">
      <c r="A714" s="20">
        <v>713</v>
      </c>
      <c r="B714" s="3">
        <f ca="1">_xlfn.NORM.INV(RAND(),AVERAGE(Assumptions!$D$4,Assumptions!$F$4),(Assumptions!$F$4-Assumptions!$D$4)/3.29)*44</f>
        <v>1175397.1859612621</v>
      </c>
      <c r="C714" s="6">
        <f ca="1">_xlfn.NORM.INV(RAND(),AVERAGE(Assumptions!$D$5,Assumptions!$F$5),(Assumptions!$F$5-Assumptions!$D$5)/3.29)*44</f>
        <v>1644400.035640029</v>
      </c>
      <c r="D714" s="9">
        <f ca="1">_xlfn.NORM.INV(RAND(),AVERAGE(Assumptions!$D$6,Assumptions!$F$6),(Assumptions!$F$6-Assumptions!$D$6)/3.29)*RANDBETWEEN(2,5)</f>
        <v>3206631.9823803985</v>
      </c>
      <c r="E714" s="12">
        <f ca="1">_xlfn.NORM.INV(RAND(),AVERAGE(Assumptions!$D$17,Assumptions!$F$17),(Assumptions!$F$17-Assumptions!$D$17)/3.29)*8</f>
        <v>1056958.0676461617</v>
      </c>
      <c r="F714" s="15">
        <f ca="1">_xlfn.NORM.INV(RAND(),AVERAGE(Assumptions!$D$7,Assumptions!$F$7),(Assumptions!$F$7-Assumptions!$D$7)/3.29)*RANDBETWEEN(1,3)</f>
        <v>2334168.2296410413</v>
      </c>
      <c r="G714" s="3">
        <f ca="1">_xlfn.NORM.INV(RAND(),AVERAGE(Assumptions!$D$8,Assumptions!$F$8),(Assumptions!$F$8-Assumptions!$D$8)/3.29)*44</f>
        <v>1537304.7596502933</v>
      </c>
      <c r="H714" s="6">
        <f ca="1">_xlfn.NORM.INV(RAND(),AVERAGE(Assumptions!$D$9,Assumptions!$F$9),(Assumptions!$F$9-Assumptions!$D$9)/3.29)*21</f>
        <v>4307407.1366035845</v>
      </c>
      <c r="I714" s="9">
        <f ca="1">_xlfn.NORM.INV(RAND(),AVERAGE(Assumptions!$D$10,Assumptions!$F$10),(Assumptions!$F$10-Assumptions!$D$10)/3.29)*21</f>
        <v>582089.57166884199</v>
      </c>
      <c r="J714" s="12">
        <f ca="1">NORMINV(RAND(),AVERAGE(Assumptions!$D$11,Assumptions!$F$11),(Assumptions!$F$11-Assumptions!$D$11)/3.29)*44</f>
        <v>1055499.6884389813</v>
      </c>
      <c r="K714" s="15">
        <f ca="1">_xlfn.NORM.INV(RAND(),AVERAGE(Assumptions!$D$12,Assumptions!$F$12),(Assumptions!$F$12-Assumptions!$D$12)/3.29)*44</f>
        <v>7388890.2752215983</v>
      </c>
      <c r="L714" s="3">
        <f ca="1">_xlfn.NORM.INV(RAND(),AVERAGE(Assumptions!$D$13,Assumptions!$F$13),(Assumptions!$F$13-Assumptions!$D$13)/3.29)*44</f>
        <v>3557441.5200191895</v>
      </c>
      <c r="M714" s="6">
        <f ca="1">_xlfn.NORM.INV(RAND(),AVERAGE(Assumptions!$D$14,Assumptions!$F$14),(Assumptions!$F$14-Assumptions!$D$14)/3.29)*44</f>
        <v>5443384.6857526889</v>
      </c>
      <c r="N714" s="9">
        <f ca="1">_xlfn.NORM.INV(RAND(),AVERAGE(Assumptions!$D$16,Assumptions!$F$16),(Assumptions!$F$16-Assumptions!$D$16)/3.29)*44</f>
        <v>15722550.767384617</v>
      </c>
      <c r="O714" s="12">
        <f ca="1">_xlfn.NORM.INV(RAND(),AVERAGE(Assumptions!$D$15,Assumptions!$F$15),(Assumptions!$F$15-Assumptions!$D$15)/3.29)*44</f>
        <v>147092245.0595119</v>
      </c>
      <c r="P714" s="15">
        <f>Assumptions!$D$18</f>
        <v>14641750.345627395</v>
      </c>
      <c r="Q714" s="3">
        <f t="shared" ca="1" si="22"/>
        <v>98080121.153503209</v>
      </c>
      <c r="R714" s="6">
        <f t="shared" ca="1" si="23"/>
        <v>112721871.49913061</v>
      </c>
    </row>
    <row r="715" spans="1:18">
      <c r="A715" s="20">
        <v>714</v>
      </c>
      <c r="B715" s="3">
        <f ca="1">_xlfn.NORM.INV(RAND(),AVERAGE(Assumptions!$D$4,Assumptions!$F$4),(Assumptions!$F$4-Assumptions!$D$4)/3.29)*44</f>
        <v>1327830.9778302945</v>
      </c>
      <c r="C715" s="6">
        <f ca="1">_xlfn.NORM.INV(RAND(),AVERAGE(Assumptions!$D$5,Assumptions!$F$5),(Assumptions!$F$5-Assumptions!$D$5)/3.29)*44</f>
        <v>1818755.3554719039</v>
      </c>
      <c r="D715" s="9">
        <f ca="1">_xlfn.NORM.INV(RAND(),AVERAGE(Assumptions!$D$6,Assumptions!$F$6),(Assumptions!$F$6-Assumptions!$D$6)/3.29)*RANDBETWEEN(2,5)</f>
        <v>1690313.731237404</v>
      </c>
      <c r="E715" s="12">
        <f ca="1">_xlfn.NORM.INV(RAND(),AVERAGE(Assumptions!$D$17,Assumptions!$F$17),(Assumptions!$F$17-Assumptions!$D$17)/3.29)*8</f>
        <v>968633.49625201093</v>
      </c>
      <c r="F715" s="15">
        <f ca="1">_xlfn.NORM.INV(RAND(),AVERAGE(Assumptions!$D$7,Assumptions!$F$7),(Assumptions!$F$7-Assumptions!$D$7)/3.29)*RANDBETWEEN(1,3)</f>
        <v>4300979.8904433604</v>
      </c>
      <c r="G715" s="3">
        <f ca="1">_xlfn.NORM.INV(RAND(),AVERAGE(Assumptions!$D$8,Assumptions!$F$8),(Assumptions!$F$8-Assumptions!$D$8)/3.29)*44</f>
        <v>1308326.7007486769</v>
      </c>
      <c r="H715" s="6">
        <f ca="1">_xlfn.NORM.INV(RAND(),AVERAGE(Assumptions!$D$9,Assumptions!$F$9),(Assumptions!$F$9-Assumptions!$D$9)/3.29)*21</f>
        <v>6589993.5128949638</v>
      </c>
      <c r="I715" s="9">
        <f ca="1">_xlfn.NORM.INV(RAND(),AVERAGE(Assumptions!$D$10,Assumptions!$F$10),(Assumptions!$F$10-Assumptions!$D$10)/3.29)*21</f>
        <v>730948.48308285733</v>
      </c>
      <c r="J715" s="12">
        <f ca="1">NORMINV(RAND(),AVERAGE(Assumptions!$D$11,Assumptions!$F$11),(Assumptions!$F$11-Assumptions!$D$11)/3.29)*44</f>
        <v>5682311.9513511425</v>
      </c>
      <c r="K715" s="15">
        <f ca="1">_xlfn.NORM.INV(RAND(),AVERAGE(Assumptions!$D$12,Assumptions!$F$12),(Assumptions!$F$12-Assumptions!$D$12)/3.29)*44</f>
        <v>8453662.594309561</v>
      </c>
      <c r="L715" s="3">
        <f ca="1">_xlfn.NORM.INV(RAND(),AVERAGE(Assumptions!$D$13,Assumptions!$F$13),(Assumptions!$F$13-Assumptions!$D$13)/3.29)*44</f>
        <v>8483824.4260031655</v>
      </c>
      <c r="M715" s="6">
        <f ca="1">_xlfn.NORM.INV(RAND(),AVERAGE(Assumptions!$D$14,Assumptions!$F$14),(Assumptions!$F$14-Assumptions!$D$14)/3.29)*44</f>
        <v>5734545.1024731165</v>
      </c>
      <c r="N715" s="9">
        <f ca="1">_xlfn.NORM.INV(RAND(),AVERAGE(Assumptions!$D$16,Assumptions!$F$16),(Assumptions!$F$16-Assumptions!$D$16)/3.29)*44</f>
        <v>12861024.8065906</v>
      </c>
      <c r="O715" s="12">
        <f ca="1">_xlfn.NORM.INV(RAND(),AVERAGE(Assumptions!$D$15,Assumptions!$F$15),(Assumptions!$F$15-Assumptions!$D$15)/3.29)*44</f>
        <v>108763599.52397975</v>
      </c>
      <c r="P715" s="15">
        <f>Assumptions!$D$18</f>
        <v>14641750.345627395</v>
      </c>
      <c r="Q715" s="3">
        <f t="shared" ca="1" si="22"/>
        <v>48812448.495290697</v>
      </c>
      <c r="R715" s="6">
        <f t="shared" ca="1" si="23"/>
        <v>63454198.840918094</v>
      </c>
    </row>
    <row r="716" spans="1:18">
      <c r="A716" s="20">
        <v>715</v>
      </c>
      <c r="B716" s="3">
        <f ca="1">_xlfn.NORM.INV(RAND(),AVERAGE(Assumptions!$D$4,Assumptions!$F$4),(Assumptions!$F$4-Assumptions!$D$4)/3.29)*44</f>
        <v>1308740.2507723211</v>
      </c>
      <c r="C716" s="6">
        <f ca="1">_xlfn.NORM.INV(RAND(),AVERAGE(Assumptions!$D$5,Assumptions!$F$5),(Assumptions!$F$5-Assumptions!$D$5)/3.29)*44</f>
        <v>1872398.9593397272</v>
      </c>
      <c r="D716" s="9">
        <f ca="1">_xlfn.NORM.INV(RAND(),AVERAGE(Assumptions!$D$6,Assumptions!$F$6),(Assumptions!$F$6-Assumptions!$D$6)/3.29)*RANDBETWEEN(2,5)</f>
        <v>7607937.4593949765</v>
      </c>
      <c r="E716" s="12">
        <f ca="1">_xlfn.NORM.INV(RAND(),AVERAGE(Assumptions!$D$17,Assumptions!$F$17),(Assumptions!$F$17-Assumptions!$D$17)/3.29)*8</f>
        <v>989193.75854118727</v>
      </c>
      <c r="F716" s="15">
        <f ca="1">_xlfn.NORM.INV(RAND(),AVERAGE(Assumptions!$D$7,Assumptions!$F$7),(Assumptions!$F$7-Assumptions!$D$7)/3.29)*RANDBETWEEN(1,3)</f>
        <v>9967035.5144045297</v>
      </c>
      <c r="G716" s="3">
        <f ca="1">_xlfn.NORM.INV(RAND(),AVERAGE(Assumptions!$D$8,Assumptions!$F$8),(Assumptions!$F$8-Assumptions!$D$8)/3.29)*44</f>
        <v>1627017.4340523458</v>
      </c>
      <c r="H716" s="6">
        <f ca="1">_xlfn.NORM.INV(RAND(),AVERAGE(Assumptions!$D$9,Assumptions!$F$9),(Assumptions!$F$9-Assumptions!$D$9)/3.29)*21</f>
        <v>3108568.4014933561</v>
      </c>
      <c r="I716" s="9">
        <f ca="1">_xlfn.NORM.INV(RAND(),AVERAGE(Assumptions!$D$10,Assumptions!$F$10),(Assumptions!$F$10-Assumptions!$D$10)/3.29)*21</f>
        <v>1213464.8924667323</v>
      </c>
      <c r="J716" s="12">
        <f ca="1">NORMINV(RAND(),AVERAGE(Assumptions!$D$11,Assumptions!$F$11),(Assumptions!$F$11-Assumptions!$D$11)/3.29)*44</f>
        <v>5807148.3911983809</v>
      </c>
      <c r="K716" s="15">
        <f ca="1">_xlfn.NORM.INV(RAND(),AVERAGE(Assumptions!$D$12,Assumptions!$F$12),(Assumptions!$F$12-Assumptions!$D$12)/3.29)*44</f>
        <v>11273199.139089935</v>
      </c>
      <c r="L716" s="3">
        <f ca="1">_xlfn.NORM.INV(RAND(),AVERAGE(Assumptions!$D$13,Assumptions!$F$13),(Assumptions!$F$13-Assumptions!$D$13)/3.29)*44</f>
        <v>22650906.227925286</v>
      </c>
      <c r="M716" s="6">
        <f ca="1">_xlfn.NORM.INV(RAND(),AVERAGE(Assumptions!$D$14,Assumptions!$F$14),(Assumptions!$F$14-Assumptions!$D$14)/3.29)*44</f>
        <v>4557723.9556186963</v>
      </c>
      <c r="N716" s="9">
        <f ca="1">_xlfn.NORM.INV(RAND(),AVERAGE(Assumptions!$D$16,Assumptions!$F$16),(Assumptions!$F$16-Assumptions!$D$16)/3.29)*44</f>
        <v>17752003.991109841</v>
      </c>
      <c r="O716" s="12">
        <f ca="1">_xlfn.NORM.INV(RAND(),AVERAGE(Assumptions!$D$15,Assumptions!$F$15),(Assumptions!$F$15-Assumptions!$D$15)/3.29)*44</f>
        <v>51312090.440440349</v>
      </c>
      <c r="P716" s="15">
        <f>Assumptions!$D$18</f>
        <v>14641750.345627395</v>
      </c>
      <c r="Q716" s="3">
        <f t="shared" ca="1" si="22"/>
        <v>-38423247.934966944</v>
      </c>
      <c r="R716" s="6">
        <f t="shared" ca="1" si="23"/>
        <v>-23781497.589339547</v>
      </c>
    </row>
    <row r="717" spans="1:18">
      <c r="A717" s="20">
        <v>716</v>
      </c>
      <c r="B717" s="3">
        <f ca="1">_xlfn.NORM.INV(RAND(),AVERAGE(Assumptions!$D$4,Assumptions!$F$4),(Assumptions!$F$4-Assumptions!$D$4)/3.29)*44</f>
        <v>1113433.7746382272</v>
      </c>
      <c r="C717" s="6">
        <f ca="1">_xlfn.NORM.INV(RAND(),AVERAGE(Assumptions!$D$5,Assumptions!$F$5),(Assumptions!$F$5-Assumptions!$D$5)/3.29)*44</f>
        <v>2016552.3740358881</v>
      </c>
      <c r="D717" s="9">
        <f ca="1">_xlfn.NORM.INV(RAND(),AVERAGE(Assumptions!$D$6,Assumptions!$F$6),(Assumptions!$F$6-Assumptions!$D$6)/3.29)*RANDBETWEEN(2,5)</f>
        <v>3815373.3350211047</v>
      </c>
      <c r="E717" s="12">
        <f ca="1">_xlfn.NORM.INV(RAND(),AVERAGE(Assumptions!$D$17,Assumptions!$F$17),(Assumptions!$F$17-Assumptions!$D$17)/3.29)*8</f>
        <v>834285.04665935342</v>
      </c>
      <c r="F717" s="15">
        <f ca="1">_xlfn.NORM.INV(RAND(),AVERAGE(Assumptions!$D$7,Assumptions!$F$7),(Assumptions!$F$7-Assumptions!$D$7)/3.29)*RANDBETWEEN(1,3)</f>
        <v>9737057.9132050741</v>
      </c>
      <c r="G717" s="3">
        <f ca="1">_xlfn.NORM.INV(RAND(),AVERAGE(Assumptions!$D$8,Assumptions!$F$8),(Assumptions!$F$8-Assumptions!$D$8)/3.29)*44</f>
        <v>1153418.0194016045</v>
      </c>
      <c r="H717" s="6">
        <f ca="1">_xlfn.NORM.INV(RAND(),AVERAGE(Assumptions!$D$9,Assumptions!$F$9),(Assumptions!$F$9-Assumptions!$D$9)/3.29)*21</f>
        <v>5627737.4573173374</v>
      </c>
      <c r="I717" s="9">
        <f ca="1">_xlfn.NORM.INV(RAND(),AVERAGE(Assumptions!$D$10,Assumptions!$F$10),(Assumptions!$F$10-Assumptions!$D$10)/3.29)*21</f>
        <v>842534.20959078334</v>
      </c>
      <c r="J717" s="12">
        <f ca="1">NORMINV(RAND(),AVERAGE(Assumptions!$D$11,Assumptions!$F$11),(Assumptions!$F$11-Assumptions!$D$11)/3.29)*44</f>
        <v>1870872.100028214</v>
      </c>
      <c r="K717" s="15">
        <f ca="1">_xlfn.NORM.INV(RAND(),AVERAGE(Assumptions!$D$12,Assumptions!$F$12),(Assumptions!$F$12-Assumptions!$D$12)/3.29)*44</f>
        <v>8821105.8751602974</v>
      </c>
      <c r="L717" s="3">
        <f ca="1">_xlfn.NORM.INV(RAND(),AVERAGE(Assumptions!$D$13,Assumptions!$F$13),(Assumptions!$F$13-Assumptions!$D$13)/3.29)*44</f>
        <v>7960273.1082435809</v>
      </c>
      <c r="M717" s="6">
        <f ca="1">_xlfn.NORM.INV(RAND(),AVERAGE(Assumptions!$D$14,Assumptions!$F$14),(Assumptions!$F$14-Assumptions!$D$14)/3.29)*44</f>
        <v>5777910.9236353245</v>
      </c>
      <c r="N717" s="9">
        <f ca="1">_xlfn.NORM.INV(RAND(),AVERAGE(Assumptions!$D$16,Assumptions!$F$16),(Assumptions!$F$16-Assumptions!$D$16)/3.29)*44</f>
        <v>12408526.934619263</v>
      </c>
      <c r="O717" s="12">
        <f ca="1">_xlfn.NORM.INV(RAND(),AVERAGE(Assumptions!$D$15,Assumptions!$F$15),(Assumptions!$F$15-Assumptions!$D$15)/3.29)*44</f>
        <v>51075455.323862255</v>
      </c>
      <c r="P717" s="15">
        <f>Assumptions!$D$18</f>
        <v>14641750.345627395</v>
      </c>
      <c r="Q717" s="3">
        <f t="shared" ca="1" si="22"/>
        <v>-10903625.747693799</v>
      </c>
      <c r="R717" s="6">
        <f t="shared" ca="1" si="23"/>
        <v>3738124.597933596</v>
      </c>
    </row>
    <row r="718" spans="1:18">
      <c r="A718" s="20">
        <v>717</v>
      </c>
      <c r="B718" s="3">
        <f ca="1">_xlfn.NORM.INV(RAND(),AVERAGE(Assumptions!$D$4,Assumptions!$F$4),(Assumptions!$F$4-Assumptions!$D$4)/3.29)*44</f>
        <v>1327937.4746962865</v>
      </c>
      <c r="C718" s="6">
        <f ca="1">_xlfn.NORM.INV(RAND(),AVERAGE(Assumptions!$D$5,Assumptions!$F$5),(Assumptions!$F$5-Assumptions!$D$5)/3.29)*44</f>
        <v>1871688.5700605875</v>
      </c>
      <c r="D718" s="9">
        <f ca="1">_xlfn.NORM.INV(RAND(),AVERAGE(Assumptions!$D$6,Assumptions!$F$6),(Assumptions!$F$6-Assumptions!$D$6)/3.29)*RANDBETWEEN(2,5)</f>
        <v>3014438.6770233782</v>
      </c>
      <c r="E718" s="12">
        <f ca="1">_xlfn.NORM.INV(RAND(),AVERAGE(Assumptions!$D$17,Assumptions!$F$17),(Assumptions!$F$17-Assumptions!$D$17)/3.29)*8</f>
        <v>831606.13385119475</v>
      </c>
      <c r="F718" s="15">
        <f ca="1">_xlfn.NORM.INV(RAND(),AVERAGE(Assumptions!$D$7,Assumptions!$F$7),(Assumptions!$F$7-Assumptions!$D$7)/3.29)*RANDBETWEEN(1,3)</f>
        <v>2505352.4762206846</v>
      </c>
      <c r="G718" s="3">
        <f ca="1">_xlfn.NORM.INV(RAND(),AVERAGE(Assumptions!$D$8,Assumptions!$F$8),(Assumptions!$F$8-Assumptions!$D$8)/3.29)*44</f>
        <v>1319031.2105442882</v>
      </c>
      <c r="H718" s="6">
        <f ca="1">_xlfn.NORM.INV(RAND(),AVERAGE(Assumptions!$D$9,Assumptions!$F$9),(Assumptions!$F$9-Assumptions!$D$9)/3.29)*21</f>
        <v>1744435.8207183816</v>
      </c>
      <c r="I718" s="9">
        <f ca="1">_xlfn.NORM.INV(RAND(),AVERAGE(Assumptions!$D$10,Assumptions!$F$10),(Assumptions!$F$10-Assumptions!$D$10)/3.29)*21</f>
        <v>393274.87523287011</v>
      </c>
      <c r="J718" s="12">
        <f ca="1">NORMINV(RAND(),AVERAGE(Assumptions!$D$11,Assumptions!$F$11),(Assumptions!$F$11-Assumptions!$D$11)/3.29)*44</f>
        <v>4927629.8306469433</v>
      </c>
      <c r="K718" s="15">
        <f ca="1">_xlfn.NORM.INV(RAND(),AVERAGE(Assumptions!$D$12,Assumptions!$F$12),(Assumptions!$F$12-Assumptions!$D$12)/3.29)*44</f>
        <v>7672693.2221914558</v>
      </c>
      <c r="L718" s="3">
        <f ca="1">_xlfn.NORM.INV(RAND(),AVERAGE(Assumptions!$D$13,Assumptions!$F$13),(Assumptions!$F$13-Assumptions!$D$13)/3.29)*44</f>
        <v>15731424.134760277</v>
      </c>
      <c r="M718" s="6">
        <f ca="1">_xlfn.NORM.INV(RAND(),AVERAGE(Assumptions!$D$14,Assumptions!$F$14),(Assumptions!$F$14-Assumptions!$D$14)/3.29)*44</f>
        <v>7612694.5772540784</v>
      </c>
      <c r="N718" s="9">
        <f ca="1">_xlfn.NORM.INV(RAND(),AVERAGE(Assumptions!$D$16,Assumptions!$F$16),(Assumptions!$F$16-Assumptions!$D$16)/3.29)*44</f>
        <v>14602758.389716998</v>
      </c>
      <c r="O718" s="12">
        <f ca="1">_xlfn.NORM.INV(RAND(),AVERAGE(Assumptions!$D$15,Assumptions!$F$15),(Assumptions!$F$15-Assumptions!$D$15)/3.29)*44</f>
        <v>117478835.61615701</v>
      </c>
      <c r="P718" s="15">
        <f>Assumptions!$D$18</f>
        <v>14641750.345627395</v>
      </c>
      <c r="Q718" s="3">
        <f t="shared" ca="1" si="22"/>
        <v>53923870.223239586</v>
      </c>
      <c r="R718" s="6">
        <f t="shared" ca="1" si="23"/>
        <v>68565620.568866983</v>
      </c>
    </row>
    <row r="719" spans="1:18">
      <c r="A719" s="20">
        <v>718</v>
      </c>
      <c r="B719" s="3">
        <f ca="1">_xlfn.NORM.INV(RAND(),AVERAGE(Assumptions!$D$4,Assumptions!$F$4),(Assumptions!$F$4-Assumptions!$D$4)/3.29)*44</f>
        <v>1161599.6772754912</v>
      </c>
      <c r="C719" s="6">
        <f ca="1">_xlfn.NORM.INV(RAND(),AVERAGE(Assumptions!$D$5,Assumptions!$F$5),(Assumptions!$F$5-Assumptions!$D$5)/3.29)*44</f>
        <v>1838821.8385005489</v>
      </c>
      <c r="D719" s="9">
        <f ca="1">_xlfn.NORM.INV(RAND(),AVERAGE(Assumptions!$D$6,Assumptions!$F$6),(Assumptions!$F$6-Assumptions!$D$6)/3.29)*RANDBETWEEN(2,5)</f>
        <v>9481345.0057399459</v>
      </c>
      <c r="E719" s="12">
        <f ca="1">_xlfn.NORM.INV(RAND(),AVERAGE(Assumptions!$D$17,Assumptions!$F$17),(Assumptions!$F$17-Assumptions!$D$17)/3.29)*8</f>
        <v>1146994.0730901742</v>
      </c>
      <c r="F719" s="15">
        <f ca="1">_xlfn.NORM.INV(RAND(),AVERAGE(Assumptions!$D$7,Assumptions!$F$7),(Assumptions!$F$7-Assumptions!$D$7)/3.29)*RANDBETWEEN(1,3)</f>
        <v>10393628.565282661</v>
      </c>
      <c r="G719" s="3">
        <f ca="1">_xlfn.NORM.INV(RAND(),AVERAGE(Assumptions!$D$8,Assumptions!$F$8),(Assumptions!$F$8-Assumptions!$D$8)/3.29)*44</f>
        <v>946049.13050693716</v>
      </c>
      <c r="H719" s="6">
        <f ca="1">_xlfn.NORM.INV(RAND(),AVERAGE(Assumptions!$D$9,Assumptions!$F$9),(Assumptions!$F$9-Assumptions!$D$9)/3.29)*21</f>
        <v>3334996.2277321815</v>
      </c>
      <c r="I719" s="9">
        <f ca="1">_xlfn.NORM.INV(RAND(),AVERAGE(Assumptions!$D$10,Assumptions!$F$10),(Assumptions!$F$10-Assumptions!$D$10)/3.29)*21</f>
        <v>833937.28995881858</v>
      </c>
      <c r="J719" s="12">
        <f ca="1">NORMINV(RAND(),AVERAGE(Assumptions!$D$11,Assumptions!$F$11),(Assumptions!$F$11-Assumptions!$D$11)/3.29)*44</f>
        <v>5238123.613078949</v>
      </c>
      <c r="K719" s="15">
        <f ca="1">_xlfn.NORM.INV(RAND(),AVERAGE(Assumptions!$D$12,Assumptions!$F$12),(Assumptions!$F$12-Assumptions!$D$12)/3.29)*44</f>
        <v>8789088.8308432922</v>
      </c>
      <c r="L719" s="3">
        <f ca="1">_xlfn.NORM.INV(RAND(),AVERAGE(Assumptions!$D$13,Assumptions!$F$13),(Assumptions!$F$13-Assumptions!$D$13)/3.29)*44</f>
        <v>5017126.0149114924</v>
      </c>
      <c r="M719" s="6">
        <f ca="1">_xlfn.NORM.INV(RAND(),AVERAGE(Assumptions!$D$14,Assumptions!$F$14),(Assumptions!$F$14-Assumptions!$D$14)/3.29)*44</f>
        <v>6176706.3870658083</v>
      </c>
      <c r="N719" s="9">
        <f ca="1">_xlfn.NORM.INV(RAND(),AVERAGE(Assumptions!$D$16,Assumptions!$F$16),(Assumptions!$F$16-Assumptions!$D$16)/3.29)*44</f>
        <v>9396858.7916402426</v>
      </c>
      <c r="O719" s="12">
        <f ca="1">_xlfn.NORM.INV(RAND(),AVERAGE(Assumptions!$D$15,Assumptions!$F$15),(Assumptions!$F$15-Assumptions!$D$15)/3.29)*44</f>
        <v>18750054.667002089</v>
      </c>
      <c r="P719" s="15">
        <f>Assumptions!$D$18</f>
        <v>14641750.345627395</v>
      </c>
      <c r="Q719" s="3">
        <f t="shared" ca="1" si="22"/>
        <v>-45005220.778624453</v>
      </c>
      <c r="R719" s="6">
        <f t="shared" ca="1" si="23"/>
        <v>-30363470.432997055</v>
      </c>
    </row>
    <row r="720" spans="1:18">
      <c r="A720" s="20">
        <v>719</v>
      </c>
      <c r="B720" s="3">
        <f ca="1">_xlfn.NORM.INV(RAND(),AVERAGE(Assumptions!$D$4,Assumptions!$F$4),(Assumptions!$F$4-Assumptions!$D$4)/3.29)*44</f>
        <v>1081822.721899498</v>
      </c>
      <c r="C720" s="6">
        <f ca="1">_xlfn.NORM.INV(RAND(),AVERAGE(Assumptions!$D$5,Assumptions!$F$5),(Assumptions!$F$5-Assumptions!$D$5)/3.29)*44</f>
        <v>1682505.8707958194</v>
      </c>
      <c r="D720" s="9">
        <f ca="1">_xlfn.NORM.INV(RAND(),AVERAGE(Assumptions!$D$6,Assumptions!$F$6),(Assumptions!$F$6-Assumptions!$D$6)/3.29)*RANDBETWEEN(2,5)</f>
        <v>5134666.2107287254</v>
      </c>
      <c r="E720" s="12">
        <f ca="1">_xlfn.NORM.INV(RAND(),AVERAGE(Assumptions!$D$17,Assumptions!$F$17),(Assumptions!$F$17-Assumptions!$D$17)/3.29)*8</f>
        <v>884379.43928181496</v>
      </c>
      <c r="F720" s="15">
        <f ca="1">_xlfn.NORM.INV(RAND(),AVERAGE(Assumptions!$D$7,Assumptions!$F$7),(Assumptions!$F$7-Assumptions!$D$7)/3.29)*RANDBETWEEN(1,3)</f>
        <v>10841100.353994884</v>
      </c>
      <c r="G720" s="3">
        <f ca="1">_xlfn.NORM.INV(RAND(),AVERAGE(Assumptions!$D$8,Assumptions!$F$8),(Assumptions!$F$8-Assumptions!$D$8)/3.29)*44</f>
        <v>1123839.5962875104</v>
      </c>
      <c r="H720" s="6">
        <f ca="1">_xlfn.NORM.INV(RAND(),AVERAGE(Assumptions!$D$9,Assumptions!$F$9),(Assumptions!$F$9-Assumptions!$D$9)/3.29)*21</f>
        <v>4112078.8793380377</v>
      </c>
      <c r="I720" s="9">
        <f ca="1">_xlfn.NORM.INV(RAND(),AVERAGE(Assumptions!$D$10,Assumptions!$F$10),(Assumptions!$F$10-Assumptions!$D$10)/3.29)*21</f>
        <v>667780.45117505873</v>
      </c>
      <c r="J720" s="12">
        <f ca="1">NORMINV(RAND(),AVERAGE(Assumptions!$D$11,Assumptions!$F$11),(Assumptions!$F$11-Assumptions!$D$11)/3.29)*44</f>
        <v>3454018.0786144324</v>
      </c>
      <c r="K720" s="15">
        <f ca="1">_xlfn.NORM.INV(RAND(),AVERAGE(Assumptions!$D$12,Assumptions!$F$12),(Assumptions!$F$12-Assumptions!$D$12)/3.29)*44</f>
        <v>9548812.4462785143</v>
      </c>
      <c r="L720" s="3">
        <f ca="1">_xlfn.NORM.INV(RAND(),AVERAGE(Assumptions!$D$13,Assumptions!$F$13),(Assumptions!$F$13-Assumptions!$D$13)/3.29)*44</f>
        <v>19141108.964694142</v>
      </c>
      <c r="M720" s="6">
        <f ca="1">_xlfn.NORM.INV(RAND(),AVERAGE(Assumptions!$D$14,Assumptions!$F$14),(Assumptions!$F$14-Assumptions!$D$14)/3.29)*44</f>
        <v>7839648.7945761848</v>
      </c>
      <c r="N720" s="9">
        <f ca="1">_xlfn.NORM.INV(RAND(),AVERAGE(Assumptions!$D$16,Assumptions!$F$16),(Assumptions!$F$16-Assumptions!$D$16)/3.29)*44</f>
        <v>17335272.501775142</v>
      </c>
      <c r="O720" s="12">
        <f ca="1">_xlfn.NORM.INV(RAND(),AVERAGE(Assumptions!$D$15,Assumptions!$F$15),(Assumptions!$F$15-Assumptions!$D$15)/3.29)*44</f>
        <v>117073815.35443388</v>
      </c>
      <c r="P720" s="15">
        <f>Assumptions!$D$18</f>
        <v>14641750.345627395</v>
      </c>
      <c r="Q720" s="3">
        <f t="shared" ca="1" si="22"/>
        <v>34226781.044994116</v>
      </c>
      <c r="R720" s="6">
        <f t="shared" ca="1" si="23"/>
        <v>48868531.390621513</v>
      </c>
    </row>
    <row r="721" spans="1:18">
      <c r="A721" s="20">
        <v>720</v>
      </c>
      <c r="B721" s="3">
        <f ca="1">_xlfn.NORM.INV(RAND(),AVERAGE(Assumptions!$D$4,Assumptions!$F$4),(Assumptions!$F$4-Assumptions!$D$4)/3.29)*44</f>
        <v>1058789.6693303164</v>
      </c>
      <c r="C721" s="6">
        <f ca="1">_xlfn.NORM.INV(RAND(),AVERAGE(Assumptions!$D$5,Assumptions!$F$5),(Assumptions!$F$5-Assumptions!$D$5)/3.29)*44</f>
        <v>1449016.7746893573</v>
      </c>
      <c r="D721" s="9">
        <f ca="1">_xlfn.NORM.INV(RAND(),AVERAGE(Assumptions!$D$6,Assumptions!$F$6),(Assumptions!$F$6-Assumptions!$D$6)/3.29)*RANDBETWEEN(2,5)</f>
        <v>6481826.1241334351</v>
      </c>
      <c r="E721" s="12">
        <f ca="1">_xlfn.NORM.INV(RAND(),AVERAGE(Assumptions!$D$17,Assumptions!$F$17),(Assumptions!$F$17-Assumptions!$D$17)/3.29)*8</f>
        <v>962117.32758544385</v>
      </c>
      <c r="F721" s="15">
        <f ca="1">_xlfn.NORM.INV(RAND(),AVERAGE(Assumptions!$D$7,Assumptions!$F$7),(Assumptions!$F$7-Assumptions!$D$7)/3.29)*RANDBETWEEN(1,3)</f>
        <v>3126344.1268686368</v>
      </c>
      <c r="G721" s="3">
        <f ca="1">_xlfn.NORM.INV(RAND(),AVERAGE(Assumptions!$D$8,Assumptions!$F$8),(Assumptions!$F$8-Assumptions!$D$8)/3.29)*44</f>
        <v>1240566.5521073665</v>
      </c>
      <c r="H721" s="6">
        <f ca="1">_xlfn.NORM.INV(RAND(),AVERAGE(Assumptions!$D$9,Assumptions!$F$9),(Assumptions!$F$9-Assumptions!$D$9)/3.29)*21</f>
        <v>2928776.6959378985</v>
      </c>
      <c r="I721" s="9">
        <f ca="1">_xlfn.NORM.INV(RAND(),AVERAGE(Assumptions!$D$10,Assumptions!$F$10),(Assumptions!$F$10-Assumptions!$D$10)/3.29)*21</f>
        <v>1354992.8732562638</v>
      </c>
      <c r="J721" s="12">
        <f ca="1">NORMINV(RAND(),AVERAGE(Assumptions!$D$11,Assumptions!$F$11),(Assumptions!$F$11-Assumptions!$D$11)/3.29)*44</f>
        <v>3114373.936033885</v>
      </c>
      <c r="K721" s="15">
        <f ca="1">_xlfn.NORM.INV(RAND(),AVERAGE(Assumptions!$D$12,Assumptions!$F$12),(Assumptions!$F$12-Assumptions!$D$12)/3.29)*44</f>
        <v>10020320.824561208</v>
      </c>
      <c r="L721" s="3">
        <f ca="1">_xlfn.NORM.INV(RAND(),AVERAGE(Assumptions!$D$13,Assumptions!$F$13),(Assumptions!$F$13-Assumptions!$D$13)/3.29)*44</f>
        <v>6889292.8373349924</v>
      </c>
      <c r="M721" s="6">
        <f ca="1">_xlfn.NORM.INV(RAND(),AVERAGE(Assumptions!$D$14,Assumptions!$F$14),(Assumptions!$F$14-Assumptions!$D$14)/3.29)*44</f>
        <v>7237135.5227867998</v>
      </c>
      <c r="N721" s="9">
        <f ca="1">_xlfn.NORM.INV(RAND(),AVERAGE(Assumptions!$D$16,Assumptions!$F$16),(Assumptions!$F$16-Assumptions!$D$16)/3.29)*44</f>
        <v>13804524.791963166</v>
      </c>
      <c r="O721" s="12">
        <f ca="1">_xlfn.NORM.INV(RAND(),AVERAGE(Assumptions!$D$15,Assumptions!$F$15),(Assumptions!$F$15-Assumptions!$D$15)/3.29)*44</f>
        <v>72971788.891888246</v>
      </c>
      <c r="P721" s="15">
        <f>Assumptions!$D$18</f>
        <v>14641750.345627395</v>
      </c>
      <c r="Q721" s="3">
        <f t="shared" ca="1" si="22"/>
        <v>13303710.83529947</v>
      </c>
      <c r="R721" s="6">
        <f t="shared" ca="1" si="23"/>
        <v>27945461.180926867</v>
      </c>
    </row>
    <row r="722" spans="1:18">
      <c r="A722" s="20">
        <v>721</v>
      </c>
      <c r="B722" s="3">
        <f ca="1">_xlfn.NORM.INV(RAND(),AVERAGE(Assumptions!$D$4,Assumptions!$F$4),(Assumptions!$F$4-Assumptions!$D$4)/3.29)*44</f>
        <v>1215607.1593807575</v>
      </c>
      <c r="C722" s="6">
        <f ca="1">_xlfn.NORM.INV(RAND(),AVERAGE(Assumptions!$D$5,Assumptions!$F$5),(Assumptions!$F$5-Assumptions!$D$5)/3.29)*44</f>
        <v>1770436.7052257759</v>
      </c>
      <c r="D722" s="9">
        <f ca="1">_xlfn.NORM.INV(RAND(),AVERAGE(Assumptions!$D$6,Assumptions!$F$6),(Assumptions!$F$6-Assumptions!$D$6)/3.29)*RANDBETWEEN(2,5)</f>
        <v>2714280.5756240296</v>
      </c>
      <c r="E722" s="12">
        <f ca="1">_xlfn.NORM.INV(RAND(),AVERAGE(Assumptions!$D$17,Assumptions!$F$17),(Assumptions!$F$17-Assumptions!$D$17)/3.29)*8</f>
        <v>878120.89585950074</v>
      </c>
      <c r="F722" s="15">
        <f ca="1">_xlfn.NORM.INV(RAND(),AVERAGE(Assumptions!$D$7,Assumptions!$F$7),(Assumptions!$F$7-Assumptions!$D$7)/3.29)*RANDBETWEEN(1,3)</f>
        <v>2596392.341733967</v>
      </c>
      <c r="G722" s="3">
        <f ca="1">_xlfn.NORM.INV(RAND(),AVERAGE(Assumptions!$D$8,Assumptions!$F$8),(Assumptions!$F$8-Assumptions!$D$8)/3.29)*44</f>
        <v>1262647.34120701</v>
      </c>
      <c r="H722" s="6">
        <f ca="1">_xlfn.NORM.INV(RAND(),AVERAGE(Assumptions!$D$9,Assumptions!$F$9),(Assumptions!$F$9-Assumptions!$D$9)/3.29)*21</f>
        <v>4006292.7298297319</v>
      </c>
      <c r="I722" s="9">
        <f ca="1">_xlfn.NORM.INV(RAND(),AVERAGE(Assumptions!$D$10,Assumptions!$F$10),(Assumptions!$F$10-Assumptions!$D$10)/3.29)*21</f>
        <v>1099736.2002546657</v>
      </c>
      <c r="J722" s="12">
        <f ca="1">NORMINV(RAND(),AVERAGE(Assumptions!$D$11,Assumptions!$F$11),(Assumptions!$F$11-Assumptions!$D$11)/3.29)*44</f>
        <v>2854679.8131242334</v>
      </c>
      <c r="K722" s="15">
        <f ca="1">_xlfn.NORM.INV(RAND(),AVERAGE(Assumptions!$D$12,Assumptions!$F$12),(Assumptions!$F$12-Assumptions!$D$12)/3.29)*44</f>
        <v>8220671.3618880529</v>
      </c>
      <c r="L722" s="3">
        <f ca="1">_xlfn.NORM.INV(RAND(),AVERAGE(Assumptions!$D$13,Assumptions!$F$13),(Assumptions!$F$13-Assumptions!$D$13)/3.29)*44</f>
        <v>14666993.901272075</v>
      </c>
      <c r="M722" s="6">
        <f ca="1">_xlfn.NORM.INV(RAND(),AVERAGE(Assumptions!$D$14,Assumptions!$F$14),(Assumptions!$F$14-Assumptions!$D$14)/3.29)*44</f>
        <v>6302670.808436038</v>
      </c>
      <c r="N722" s="9">
        <f ca="1">_xlfn.NORM.INV(RAND(),AVERAGE(Assumptions!$D$16,Assumptions!$F$16),(Assumptions!$F$16-Assumptions!$D$16)/3.29)*44</f>
        <v>15397927.724784821</v>
      </c>
      <c r="O722" s="12">
        <f ca="1">_xlfn.NORM.INV(RAND(),AVERAGE(Assumptions!$D$15,Assumptions!$F$15),(Assumptions!$F$15-Assumptions!$D$15)/3.29)*44</f>
        <v>138119866.67358774</v>
      </c>
      <c r="P722" s="15">
        <f>Assumptions!$D$18</f>
        <v>14641750.345627395</v>
      </c>
      <c r="Q722" s="3">
        <f t="shared" ca="1" si="22"/>
        <v>75133409.114967078</v>
      </c>
      <c r="R722" s="6">
        <f t="shared" ca="1" si="23"/>
        <v>89775159.460594475</v>
      </c>
    </row>
    <row r="723" spans="1:18">
      <c r="A723" s="20">
        <v>722</v>
      </c>
      <c r="B723" s="3">
        <f ca="1">_xlfn.NORM.INV(RAND(),AVERAGE(Assumptions!$D$4,Assumptions!$F$4),(Assumptions!$F$4-Assumptions!$D$4)/3.29)*44</f>
        <v>1172935.450506249</v>
      </c>
      <c r="C723" s="6">
        <f ca="1">_xlfn.NORM.INV(RAND(),AVERAGE(Assumptions!$D$5,Assumptions!$F$5),(Assumptions!$F$5-Assumptions!$D$5)/3.29)*44</f>
        <v>1812528.2110975399</v>
      </c>
      <c r="D723" s="9">
        <f ca="1">_xlfn.NORM.INV(RAND(),AVERAGE(Assumptions!$D$6,Assumptions!$F$6),(Assumptions!$F$6-Assumptions!$D$6)/3.29)*RANDBETWEEN(2,5)</f>
        <v>1630533.2294547253</v>
      </c>
      <c r="E723" s="12">
        <f ca="1">_xlfn.NORM.INV(RAND(),AVERAGE(Assumptions!$D$17,Assumptions!$F$17),(Assumptions!$F$17-Assumptions!$D$17)/3.29)*8</f>
        <v>938478.12779738184</v>
      </c>
      <c r="F723" s="15">
        <f ca="1">_xlfn.NORM.INV(RAND(),AVERAGE(Assumptions!$D$7,Assumptions!$F$7),(Assumptions!$F$7-Assumptions!$D$7)/3.29)*RANDBETWEEN(1,3)</f>
        <v>8362484.8522348609</v>
      </c>
      <c r="G723" s="3">
        <f ca="1">_xlfn.NORM.INV(RAND(),AVERAGE(Assumptions!$D$8,Assumptions!$F$8),(Assumptions!$F$8-Assumptions!$D$8)/3.29)*44</f>
        <v>1008999.0289979015</v>
      </c>
      <c r="H723" s="6">
        <f ca="1">_xlfn.NORM.INV(RAND(),AVERAGE(Assumptions!$D$9,Assumptions!$F$9),(Assumptions!$F$9-Assumptions!$D$9)/3.29)*21</f>
        <v>4639947.5372246252</v>
      </c>
      <c r="I723" s="9">
        <f ca="1">_xlfn.NORM.INV(RAND(),AVERAGE(Assumptions!$D$10,Assumptions!$F$10),(Assumptions!$F$10-Assumptions!$D$10)/3.29)*21</f>
        <v>655727.18382105534</v>
      </c>
      <c r="J723" s="12">
        <f ca="1">NORMINV(RAND(),AVERAGE(Assumptions!$D$11,Assumptions!$F$11),(Assumptions!$F$11-Assumptions!$D$11)/3.29)*44</f>
        <v>3315058.8055074327</v>
      </c>
      <c r="K723" s="15">
        <f ca="1">_xlfn.NORM.INV(RAND(),AVERAGE(Assumptions!$D$12,Assumptions!$F$12),(Assumptions!$F$12-Assumptions!$D$12)/3.29)*44</f>
        <v>8631858.6103673019</v>
      </c>
      <c r="L723" s="3">
        <f ca="1">_xlfn.NORM.INV(RAND(),AVERAGE(Assumptions!$D$13,Assumptions!$F$13),(Assumptions!$F$13-Assumptions!$D$13)/3.29)*44</f>
        <v>10023009.965196494</v>
      </c>
      <c r="M723" s="6">
        <f ca="1">_xlfn.NORM.INV(RAND(),AVERAGE(Assumptions!$D$14,Assumptions!$F$14),(Assumptions!$F$14-Assumptions!$D$14)/3.29)*44</f>
        <v>5928529.6599216191</v>
      </c>
      <c r="N723" s="9">
        <f ca="1">_xlfn.NORM.INV(RAND(),AVERAGE(Assumptions!$D$16,Assumptions!$F$16),(Assumptions!$F$16-Assumptions!$D$16)/3.29)*44</f>
        <v>5525383.5520211281</v>
      </c>
      <c r="O723" s="12">
        <f ca="1">_xlfn.NORM.INV(RAND(),AVERAGE(Assumptions!$D$15,Assumptions!$F$15),(Assumptions!$F$15-Assumptions!$D$15)/3.29)*44</f>
        <v>89028290.006497383</v>
      </c>
      <c r="P723" s="15">
        <f>Assumptions!$D$18</f>
        <v>14641750.345627395</v>
      </c>
      <c r="Q723" s="3">
        <f t="shared" ca="1" si="22"/>
        <v>35382815.79234907</v>
      </c>
      <c r="R723" s="6">
        <f t="shared" ca="1" si="23"/>
        <v>50024566.137976468</v>
      </c>
    </row>
    <row r="724" spans="1:18">
      <c r="A724" s="20">
        <v>723</v>
      </c>
      <c r="B724" s="3">
        <f ca="1">_xlfn.NORM.INV(RAND(),AVERAGE(Assumptions!$D$4,Assumptions!$F$4),(Assumptions!$F$4-Assumptions!$D$4)/3.29)*44</f>
        <v>1242643.6952185524</v>
      </c>
      <c r="C724" s="6">
        <f ca="1">_xlfn.NORM.INV(RAND(),AVERAGE(Assumptions!$D$5,Assumptions!$F$5),(Assumptions!$F$5-Assumptions!$D$5)/3.29)*44</f>
        <v>1911907.2313813702</v>
      </c>
      <c r="D724" s="9">
        <f ca="1">_xlfn.NORM.INV(RAND(),AVERAGE(Assumptions!$D$6,Assumptions!$F$6),(Assumptions!$F$6-Assumptions!$D$6)/3.29)*RANDBETWEEN(2,5)</f>
        <v>2648053.5732484725</v>
      </c>
      <c r="E724" s="12">
        <f ca="1">_xlfn.NORM.INV(RAND(),AVERAGE(Assumptions!$D$17,Assumptions!$F$17),(Assumptions!$F$17-Assumptions!$D$17)/3.29)*8</f>
        <v>1075933.2663414991</v>
      </c>
      <c r="F724" s="15">
        <f ca="1">_xlfn.NORM.INV(RAND(),AVERAGE(Assumptions!$D$7,Assumptions!$F$7),(Assumptions!$F$7-Assumptions!$D$7)/3.29)*RANDBETWEEN(1,3)</f>
        <v>2735048.1585449218</v>
      </c>
      <c r="G724" s="3">
        <f ca="1">_xlfn.NORM.INV(RAND(),AVERAGE(Assumptions!$D$8,Assumptions!$F$8),(Assumptions!$F$8-Assumptions!$D$8)/3.29)*44</f>
        <v>1505700.4328184691</v>
      </c>
      <c r="H724" s="6">
        <f ca="1">_xlfn.NORM.INV(RAND(),AVERAGE(Assumptions!$D$9,Assumptions!$F$9),(Assumptions!$F$9-Assumptions!$D$9)/3.29)*21</f>
        <v>2600247.1774026505</v>
      </c>
      <c r="I724" s="9">
        <f ca="1">_xlfn.NORM.INV(RAND(),AVERAGE(Assumptions!$D$10,Assumptions!$F$10),(Assumptions!$F$10-Assumptions!$D$10)/3.29)*21</f>
        <v>939170.12951175077</v>
      </c>
      <c r="J724" s="12">
        <f ca="1">NORMINV(RAND(),AVERAGE(Assumptions!$D$11,Assumptions!$F$11),(Assumptions!$F$11-Assumptions!$D$11)/3.29)*44</f>
        <v>1380179.8567202692</v>
      </c>
      <c r="K724" s="15">
        <f ca="1">_xlfn.NORM.INV(RAND(),AVERAGE(Assumptions!$D$12,Assumptions!$F$12),(Assumptions!$F$12-Assumptions!$D$12)/3.29)*44</f>
        <v>7904522.6339151049</v>
      </c>
      <c r="L724" s="3">
        <f ca="1">_xlfn.NORM.INV(RAND(),AVERAGE(Assumptions!$D$13,Assumptions!$F$13),(Assumptions!$F$13-Assumptions!$D$13)/3.29)*44</f>
        <v>20878453.535676368</v>
      </c>
      <c r="M724" s="6">
        <f ca="1">_xlfn.NORM.INV(RAND(),AVERAGE(Assumptions!$D$14,Assumptions!$F$14),(Assumptions!$F$14-Assumptions!$D$14)/3.29)*44</f>
        <v>5583965.6235474348</v>
      </c>
      <c r="N724" s="9">
        <f ca="1">_xlfn.NORM.INV(RAND(),AVERAGE(Assumptions!$D$16,Assumptions!$F$16),(Assumptions!$F$16-Assumptions!$D$16)/3.29)*44</f>
        <v>5525759.394370595</v>
      </c>
      <c r="O724" s="12">
        <f ca="1">_xlfn.NORM.INV(RAND(),AVERAGE(Assumptions!$D$15,Assumptions!$F$15),(Assumptions!$F$15-Assumptions!$D$15)/3.29)*44</f>
        <v>122261342.98028582</v>
      </c>
      <c r="P724" s="15">
        <f>Assumptions!$D$18</f>
        <v>14641750.345627395</v>
      </c>
      <c r="Q724" s="3">
        <f t="shared" ca="1" si="22"/>
        <v>66329758.27158837</v>
      </c>
      <c r="R724" s="6">
        <f t="shared" ca="1" si="23"/>
        <v>80971508.617215768</v>
      </c>
    </row>
    <row r="725" spans="1:18">
      <c r="A725" s="20">
        <v>724</v>
      </c>
      <c r="B725" s="3">
        <f ca="1">_xlfn.NORM.INV(RAND(),AVERAGE(Assumptions!$D$4,Assumptions!$F$4),(Assumptions!$F$4-Assumptions!$D$4)/3.29)*44</f>
        <v>1186539.3460615519</v>
      </c>
      <c r="C725" s="6">
        <f ca="1">_xlfn.NORM.INV(RAND(),AVERAGE(Assumptions!$D$5,Assumptions!$F$5),(Assumptions!$F$5-Assumptions!$D$5)/3.29)*44</f>
        <v>1888354.6687615819</v>
      </c>
      <c r="D725" s="9">
        <f ca="1">_xlfn.NORM.INV(RAND(),AVERAGE(Assumptions!$D$6,Assumptions!$F$6),(Assumptions!$F$6-Assumptions!$D$6)/3.29)*RANDBETWEEN(2,5)</f>
        <v>6336492.6136307642</v>
      </c>
      <c r="E725" s="12">
        <f ca="1">_xlfn.NORM.INV(RAND(),AVERAGE(Assumptions!$D$17,Assumptions!$F$17),(Assumptions!$F$17-Assumptions!$D$17)/3.29)*8</f>
        <v>812809.61495590897</v>
      </c>
      <c r="F725" s="15">
        <f ca="1">_xlfn.NORM.INV(RAND(),AVERAGE(Assumptions!$D$7,Assumptions!$F$7),(Assumptions!$F$7-Assumptions!$D$7)/3.29)*RANDBETWEEN(1,3)</f>
        <v>6310724.3070467012</v>
      </c>
      <c r="G725" s="3">
        <f ca="1">_xlfn.NORM.INV(RAND(),AVERAGE(Assumptions!$D$8,Assumptions!$F$8),(Assumptions!$F$8-Assumptions!$D$8)/3.29)*44</f>
        <v>1457686.0326139438</v>
      </c>
      <c r="H725" s="6">
        <f ca="1">_xlfn.NORM.INV(RAND(),AVERAGE(Assumptions!$D$9,Assumptions!$F$9),(Assumptions!$F$9-Assumptions!$D$9)/3.29)*21</f>
        <v>4930299.5501394533</v>
      </c>
      <c r="I725" s="9">
        <f ca="1">_xlfn.NORM.INV(RAND(),AVERAGE(Assumptions!$D$10,Assumptions!$F$10),(Assumptions!$F$10-Assumptions!$D$10)/3.29)*21</f>
        <v>973148.76519097271</v>
      </c>
      <c r="J725" s="12">
        <f ca="1">NORMINV(RAND(),AVERAGE(Assumptions!$D$11,Assumptions!$F$11),(Assumptions!$F$11-Assumptions!$D$11)/3.29)*44</f>
        <v>3490351.5832658517</v>
      </c>
      <c r="K725" s="15">
        <f ca="1">_xlfn.NORM.INV(RAND(),AVERAGE(Assumptions!$D$12,Assumptions!$F$12),(Assumptions!$F$12-Assumptions!$D$12)/3.29)*44</f>
        <v>9304524.4869938586</v>
      </c>
      <c r="L725" s="3">
        <f ca="1">_xlfn.NORM.INV(RAND(),AVERAGE(Assumptions!$D$13,Assumptions!$F$13),(Assumptions!$F$13-Assumptions!$D$13)/3.29)*44</f>
        <v>17850769.760615807</v>
      </c>
      <c r="M725" s="6">
        <f ca="1">_xlfn.NORM.INV(RAND(),AVERAGE(Assumptions!$D$14,Assumptions!$F$14),(Assumptions!$F$14-Assumptions!$D$14)/3.29)*44</f>
        <v>8183038.2208231054</v>
      </c>
      <c r="N725" s="9">
        <f ca="1">_xlfn.NORM.INV(RAND(),AVERAGE(Assumptions!$D$16,Assumptions!$F$16),(Assumptions!$F$16-Assumptions!$D$16)/3.29)*44</f>
        <v>15149853.714200135</v>
      </c>
      <c r="O725" s="12">
        <f ca="1">_xlfn.NORM.INV(RAND(),AVERAGE(Assumptions!$D$15,Assumptions!$F$15),(Assumptions!$F$15-Assumptions!$D$15)/3.29)*44</f>
        <v>90336216.133111134</v>
      </c>
      <c r="P725" s="15">
        <f>Assumptions!$D$18</f>
        <v>14641750.345627395</v>
      </c>
      <c r="Q725" s="3">
        <f t="shared" ca="1" si="22"/>
        <v>12461623.468811497</v>
      </c>
      <c r="R725" s="6">
        <f t="shared" ca="1" si="23"/>
        <v>27103373.814438894</v>
      </c>
    </row>
    <row r="726" spans="1:18">
      <c r="A726" s="20">
        <v>725</v>
      </c>
      <c r="B726" s="3">
        <f ca="1">_xlfn.NORM.INV(RAND(),AVERAGE(Assumptions!$D$4,Assumptions!$F$4),(Assumptions!$F$4-Assumptions!$D$4)/3.29)*44</f>
        <v>1174787.9041597298</v>
      </c>
      <c r="C726" s="6">
        <f ca="1">_xlfn.NORM.INV(RAND(),AVERAGE(Assumptions!$D$5,Assumptions!$F$5),(Assumptions!$F$5-Assumptions!$D$5)/3.29)*44</f>
        <v>1643064.7318084342</v>
      </c>
      <c r="D726" s="9">
        <f ca="1">_xlfn.NORM.INV(RAND(),AVERAGE(Assumptions!$D$6,Assumptions!$F$6),(Assumptions!$F$6-Assumptions!$D$6)/3.29)*RANDBETWEEN(2,5)</f>
        <v>2723945.176541918</v>
      </c>
      <c r="E726" s="12">
        <f ca="1">_xlfn.NORM.INV(RAND(),AVERAGE(Assumptions!$D$17,Assumptions!$F$17),(Assumptions!$F$17-Assumptions!$D$17)/3.29)*8</f>
        <v>1136483.9838228351</v>
      </c>
      <c r="F726" s="15">
        <f ca="1">_xlfn.NORM.INV(RAND(),AVERAGE(Assumptions!$D$7,Assumptions!$F$7),(Assumptions!$F$7-Assumptions!$D$7)/3.29)*RANDBETWEEN(1,3)</f>
        <v>3345302.9388671536</v>
      </c>
      <c r="G726" s="3">
        <f ca="1">_xlfn.NORM.INV(RAND(),AVERAGE(Assumptions!$D$8,Assumptions!$F$8),(Assumptions!$F$8-Assumptions!$D$8)/3.29)*44</f>
        <v>1062095.5719145203</v>
      </c>
      <c r="H726" s="6">
        <f ca="1">_xlfn.NORM.INV(RAND(),AVERAGE(Assumptions!$D$9,Assumptions!$F$9),(Assumptions!$F$9-Assumptions!$D$9)/3.29)*21</f>
        <v>1415184.1667321601</v>
      </c>
      <c r="I726" s="9">
        <f ca="1">_xlfn.NORM.INV(RAND(),AVERAGE(Assumptions!$D$10,Assumptions!$F$10),(Assumptions!$F$10-Assumptions!$D$10)/3.29)*21</f>
        <v>618982.1895585272</v>
      </c>
      <c r="J726" s="12">
        <f ca="1">NORMINV(RAND(),AVERAGE(Assumptions!$D$11,Assumptions!$F$11),(Assumptions!$F$11-Assumptions!$D$11)/3.29)*44</f>
        <v>1870875.7886855009</v>
      </c>
      <c r="K726" s="15">
        <f ca="1">_xlfn.NORM.INV(RAND(),AVERAGE(Assumptions!$D$12,Assumptions!$F$12),(Assumptions!$F$12-Assumptions!$D$12)/3.29)*44</f>
        <v>6610802.882079348</v>
      </c>
      <c r="L726" s="3">
        <f ca="1">_xlfn.NORM.INV(RAND(),AVERAGE(Assumptions!$D$13,Assumptions!$F$13),(Assumptions!$F$13-Assumptions!$D$13)/3.29)*44</f>
        <v>12042977.755788825</v>
      </c>
      <c r="M726" s="6">
        <f ca="1">_xlfn.NORM.INV(RAND(),AVERAGE(Assumptions!$D$14,Assumptions!$F$14),(Assumptions!$F$14-Assumptions!$D$14)/3.29)*44</f>
        <v>6403145.2513914183</v>
      </c>
      <c r="N726" s="9">
        <f ca="1">_xlfn.NORM.INV(RAND(),AVERAGE(Assumptions!$D$16,Assumptions!$F$16),(Assumptions!$F$16-Assumptions!$D$16)/3.29)*44</f>
        <v>13229687.492233889</v>
      </c>
      <c r="O726" s="12">
        <f ca="1">_xlfn.NORM.INV(RAND(),AVERAGE(Assumptions!$D$15,Assumptions!$F$15),(Assumptions!$F$15-Assumptions!$D$15)/3.29)*44</f>
        <v>26797149.705930255</v>
      </c>
      <c r="P726" s="15">
        <f>Assumptions!$D$18</f>
        <v>14641750.345627395</v>
      </c>
      <c r="Q726" s="3">
        <f t="shared" ca="1" si="22"/>
        <v>-26480186.127654009</v>
      </c>
      <c r="R726" s="6">
        <f t="shared" ca="1" si="23"/>
        <v>-11838435.782026613</v>
      </c>
    </row>
    <row r="727" spans="1:18">
      <c r="A727" s="20">
        <v>726</v>
      </c>
      <c r="B727" s="3">
        <f ca="1">_xlfn.NORM.INV(RAND(),AVERAGE(Assumptions!$D$4,Assumptions!$F$4),(Assumptions!$F$4-Assumptions!$D$4)/3.29)*44</f>
        <v>1228518.8328314356</v>
      </c>
      <c r="C727" s="6">
        <f ca="1">_xlfn.NORM.INV(RAND(),AVERAGE(Assumptions!$D$5,Assumptions!$F$5),(Assumptions!$F$5-Assumptions!$D$5)/3.29)*44</f>
        <v>1808832.0768249729</v>
      </c>
      <c r="D727" s="9">
        <f ca="1">_xlfn.NORM.INV(RAND(),AVERAGE(Assumptions!$D$6,Assumptions!$F$6),(Assumptions!$F$6-Assumptions!$D$6)/3.29)*RANDBETWEEN(2,5)</f>
        <v>2094898.3708848748</v>
      </c>
      <c r="E727" s="12">
        <f ca="1">_xlfn.NORM.INV(RAND(),AVERAGE(Assumptions!$D$17,Assumptions!$F$17),(Assumptions!$F$17-Assumptions!$D$17)/3.29)*8</f>
        <v>862536.31675946305</v>
      </c>
      <c r="F727" s="15">
        <f ca="1">_xlfn.NORM.INV(RAND(),AVERAGE(Assumptions!$D$7,Assumptions!$F$7),(Assumptions!$F$7-Assumptions!$D$7)/3.29)*RANDBETWEEN(1,3)</f>
        <v>2822402.574599802</v>
      </c>
      <c r="G727" s="3">
        <f ca="1">_xlfn.NORM.INV(RAND(),AVERAGE(Assumptions!$D$8,Assumptions!$F$8),(Assumptions!$F$8-Assumptions!$D$8)/3.29)*44</f>
        <v>1251277.2061277898</v>
      </c>
      <c r="H727" s="6">
        <f ca="1">_xlfn.NORM.INV(RAND(),AVERAGE(Assumptions!$D$9,Assumptions!$F$9),(Assumptions!$F$9-Assumptions!$D$9)/3.29)*21</f>
        <v>2521120.6996921743</v>
      </c>
      <c r="I727" s="9">
        <f ca="1">_xlfn.NORM.INV(RAND(),AVERAGE(Assumptions!$D$10,Assumptions!$F$10),(Assumptions!$F$10-Assumptions!$D$10)/3.29)*21</f>
        <v>804623.16981256753</v>
      </c>
      <c r="J727" s="12">
        <f ca="1">NORMINV(RAND(),AVERAGE(Assumptions!$D$11,Assumptions!$F$11),(Assumptions!$F$11-Assumptions!$D$11)/3.29)*44</f>
        <v>3706608.0316241179</v>
      </c>
      <c r="K727" s="15">
        <f ca="1">_xlfn.NORM.INV(RAND(),AVERAGE(Assumptions!$D$12,Assumptions!$F$12),(Assumptions!$F$12-Assumptions!$D$12)/3.29)*44</f>
        <v>8183084.9208904831</v>
      </c>
      <c r="L727" s="3">
        <f ca="1">_xlfn.NORM.INV(RAND(),AVERAGE(Assumptions!$D$13,Assumptions!$F$13),(Assumptions!$F$13-Assumptions!$D$13)/3.29)*44</f>
        <v>10126763.352058016</v>
      </c>
      <c r="M727" s="6">
        <f ca="1">_xlfn.NORM.INV(RAND(),AVERAGE(Assumptions!$D$14,Assumptions!$F$14),(Assumptions!$F$14-Assumptions!$D$14)/3.29)*44</f>
        <v>6456637.9164884249</v>
      </c>
      <c r="N727" s="9">
        <f ca="1">_xlfn.NORM.INV(RAND(),AVERAGE(Assumptions!$D$16,Assumptions!$F$16),(Assumptions!$F$16-Assumptions!$D$16)/3.29)*44</f>
        <v>7284229.4248658875</v>
      </c>
      <c r="O727" s="12">
        <f ca="1">_xlfn.NORM.INV(RAND(),AVERAGE(Assumptions!$D$15,Assumptions!$F$15),(Assumptions!$F$15-Assumptions!$D$15)/3.29)*44</f>
        <v>134214225.73498298</v>
      </c>
      <c r="P727" s="15">
        <f>Assumptions!$D$18</f>
        <v>14641750.345627395</v>
      </c>
      <c r="Q727" s="3">
        <f t="shared" ca="1" si="22"/>
        <v>85062692.841522992</v>
      </c>
      <c r="R727" s="6">
        <f t="shared" ca="1" si="23"/>
        <v>99704443.187150389</v>
      </c>
    </row>
    <row r="728" spans="1:18">
      <c r="A728" s="20">
        <v>727</v>
      </c>
      <c r="B728" s="3">
        <f ca="1">_xlfn.NORM.INV(RAND(),AVERAGE(Assumptions!$D$4,Assumptions!$F$4),(Assumptions!$F$4-Assumptions!$D$4)/3.29)*44</f>
        <v>1143177.6328750576</v>
      </c>
      <c r="C728" s="6">
        <f ca="1">_xlfn.NORM.INV(RAND(),AVERAGE(Assumptions!$D$5,Assumptions!$F$5),(Assumptions!$F$5-Assumptions!$D$5)/3.29)*44</f>
        <v>1673115.0688425472</v>
      </c>
      <c r="D728" s="9">
        <f ca="1">_xlfn.NORM.INV(RAND(),AVERAGE(Assumptions!$D$6,Assumptions!$F$6),(Assumptions!$F$6-Assumptions!$D$6)/3.29)*RANDBETWEEN(2,5)</f>
        <v>4644239.0378961712</v>
      </c>
      <c r="E728" s="12">
        <f ca="1">_xlfn.NORM.INV(RAND(),AVERAGE(Assumptions!$D$17,Assumptions!$F$17),(Assumptions!$F$17-Assumptions!$D$17)/3.29)*8</f>
        <v>793670.89147566957</v>
      </c>
      <c r="F728" s="15">
        <f ca="1">_xlfn.NORM.INV(RAND(),AVERAGE(Assumptions!$D$7,Assumptions!$F$7),(Assumptions!$F$7-Assumptions!$D$7)/3.29)*RANDBETWEEN(1,3)</f>
        <v>5403869.0863231337</v>
      </c>
      <c r="G728" s="3">
        <f ca="1">_xlfn.NORM.INV(RAND(),AVERAGE(Assumptions!$D$8,Assumptions!$F$8),(Assumptions!$F$8-Assumptions!$D$8)/3.29)*44</f>
        <v>986689.54637345858</v>
      </c>
      <c r="H728" s="6">
        <f ca="1">_xlfn.NORM.INV(RAND(),AVERAGE(Assumptions!$D$9,Assumptions!$F$9),(Assumptions!$F$9-Assumptions!$D$9)/3.29)*21</f>
        <v>5122906.0298533244</v>
      </c>
      <c r="I728" s="9">
        <f ca="1">_xlfn.NORM.INV(RAND(),AVERAGE(Assumptions!$D$10,Assumptions!$F$10),(Assumptions!$F$10-Assumptions!$D$10)/3.29)*21</f>
        <v>993561.05510735896</v>
      </c>
      <c r="J728" s="12">
        <f ca="1">NORMINV(RAND(),AVERAGE(Assumptions!$D$11,Assumptions!$F$11),(Assumptions!$F$11-Assumptions!$D$11)/3.29)*44</f>
        <v>2943131.0282480563</v>
      </c>
      <c r="K728" s="15">
        <f ca="1">_xlfn.NORM.INV(RAND(),AVERAGE(Assumptions!$D$12,Assumptions!$F$12),(Assumptions!$F$12-Assumptions!$D$12)/3.29)*44</f>
        <v>9312907.8830066789</v>
      </c>
      <c r="L728" s="3">
        <f ca="1">_xlfn.NORM.INV(RAND(),AVERAGE(Assumptions!$D$13,Assumptions!$F$13),(Assumptions!$F$13-Assumptions!$D$13)/3.29)*44</f>
        <v>16827893.038252402</v>
      </c>
      <c r="M728" s="6">
        <f ca="1">_xlfn.NORM.INV(RAND(),AVERAGE(Assumptions!$D$14,Assumptions!$F$14),(Assumptions!$F$14-Assumptions!$D$14)/3.29)*44</f>
        <v>4608591.2588648042</v>
      </c>
      <c r="N728" s="9">
        <f ca="1">_xlfn.NORM.INV(RAND(),AVERAGE(Assumptions!$D$16,Assumptions!$F$16),(Assumptions!$F$16-Assumptions!$D$16)/3.29)*44</f>
        <v>5869180.1235872209</v>
      </c>
      <c r="O728" s="12">
        <f ca="1">_xlfn.NORM.INV(RAND(),AVERAGE(Assumptions!$D$15,Assumptions!$F$15),(Assumptions!$F$15-Assumptions!$D$15)/3.29)*44</f>
        <v>84911625.090703964</v>
      </c>
      <c r="P728" s="15">
        <f>Assumptions!$D$18</f>
        <v>14641750.345627395</v>
      </c>
      <c r="Q728" s="3">
        <f t="shared" ca="1" si="22"/>
        <v>24588693.409998082</v>
      </c>
      <c r="R728" s="6">
        <f t="shared" ca="1" si="23"/>
        <v>39230443.755625479</v>
      </c>
    </row>
    <row r="729" spans="1:18">
      <c r="A729" s="20">
        <v>728</v>
      </c>
      <c r="B729" s="3">
        <f ca="1">_xlfn.NORM.INV(RAND(),AVERAGE(Assumptions!$D$4,Assumptions!$F$4),(Assumptions!$F$4-Assumptions!$D$4)/3.29)*44</f>
        <v>1108051.2629282067</v>
      </c>
      <c r="C729" s="6">
        <f ca="1">_xlfn.NORM.INV(RAND(),AVERAGE(Assumptions!$D$5,Assumptions!$F$5),(Assumptions!$F$5-Assumptions!$D$5)/3.29)*44</f>
        <v>1870580.4311016619</v>
      </c>
      <c r="D729" s="9">
        <f ca="1">_xlfn.NORM.INV(RAND(),AVERAGE(Assumptions!$D$6,Assumptions!$F$6),(Assumptions!$F$6-Assumptions!$D$6)/3.29)*RANDBETWEEN(2,5)</f>
        <v>2196449.5075319917</v>
      </c>
      <c r="E729" s="12">
        <f ca="1">_xlfn.NORM.INV(RAND(),AVERAGE(Assumptions!$D$17,Assumptions!$F$17),(Assumptions!$F$17-Assumptions!$D$17)/3.29)*8</f>
        <v>1297446.2305312431</v>
      </c>
      <c r="F729" s="15">
        <f ca="1">_xlfn.NORM.INV(RAND(),AVERAGE(Assumptions!$D$7,Assumptions!$F$7),(Assumptions!$F$7-Assumptions!$D$7)/3.29)*RANDBETWEEN(1,3)</f>
        <v>3574758.2658335706</v>
      </c>
      <c r="G729" s="3">
        <f ca="1">_xlfn.NORM.INV(RAND(),AVERAGE(Assumptions!$D$8,Assumptions!$F$8),(Assumptions!$F$8-Assumptions!$D$8)/3.29)*44</f>
        <v>1213767.6253964931</v>
      </c>
      <c r="H729" s="6">
        <f ca="1">_xlfn.NORM.INV(RAND(),AVERAGE(Assumptions!$D$9,Assumptions!$F$9),(Assumptions!$F$9-Assumptions!$D$9)/3.29)*21</f>
        <v>4718731.7737007933</v>
      </c>
      <c r="I729" s="9">
        <f ca="1">_xlfn.NORM.INV(RAND(),AVERAGE(Assumptions!$D$10,Assumptions!$F$10),(Assumptions!$F$10-Assumptions!$D$10)/3.29)*21</f>
        <v>799937.89695691795</v>
      </c>
      <c r="J729" s="12">
        <f ca="1">NORMINV(RAND(),AVERAGE(Assumptions!$D$11,Assumptions!$F$11),(Assumptions!$F$11-Assumptions!$D$11)/3.29)*44</f>
        <v>4098068.9031309276</v>
      </c>
      <c r="K729" s="15">
        <f ca="1">_xlfn.NORM.INV(RAND(),AVERAGE(Assumptions!$D$12,Assumptions!$F$12),(Assumptions!$F$12-Assumptions!$D$12)/3.29)*44</f>
        <v>11308559.742492288</v>
      </c>
      <c r="L729" s="3">
        <f ca="1">_xlfn.NORM.INV(RAND(),AVERAGE(Assumptions!$D$13,Assumptions!$F$13),(Assumptions!$F$13-Assumptions!$D$13)/3.29)*44</f>
        <v>12609474.163886404</v>
      </c>
      <c r="M729" s="6">
        <f ca="1">_xlfn.NORM.INV(RAND(),AVERAGE(Assumptions!$D$14,Assumptions!$F$14),(Assumptions!$F$14-Assumptions!$D$14)/3.29)*44</f>
        <v>5501014.6801694818</v>
      </c>
      <c r="N729" s="9">
        <f ca="1">_xlfn.NORM.INV(RAND(),AVERAGE(Assumptions!$D$16,Assumptions!$F$16),(Assumptions!$F$16-Assumptions!$D$16)/3.29)*44</f>
        <v>7215374.9131183941</v>
      </c>
      <c r="O729" s="12">
        <f ca="1">_xlfn.NORM.INV(RAND(),AVERAGE(Assumptions!$D$15,Assumptions!$F$15),(Assumptions!$F$15-Assumptions!$D$15)/3.29)*44</f>
        <v>12419497.11282656</v>
      </c>
      <c r="P729" s="15">
        <f>Assumptions!$D$18</f>
        <v>14641750.345627395</v>
      </c>
      <c r="Q729" s="3">
        <f t="shared" ca="1" si="22"/>
        <v>-45092718.283951819</v>
      </c>
      <c r="R729" s="6">
        <f t="shared" ca="1" si="23"/>
        <v>-30450967.938324422</v>
      </c>
    </row>
    <row r="730" spans="1:18">
      <c r="A730" s="20">
        <v>729</v>
      </c>
      <c r="B730" s="3">
        <f ca="1">_xlfn.NORM.INV(RAND(),AVERAGE(Assumptions!$D$4,Assumptions!$F$4),(Assumptions!$F$4-Assumptions!$D$4)/3.29)*44</f>
        <v>1206300.3260616933</v>
      </c>
      <c r="C730" s="6">
        <f ca="1">_xlfn.NORM.INV(RAND(),AVERAGE(Assumptions!$D$5,Assumptions!$F$5),(Assumptions!$F$5-Assumptions!$D$5)/3.29)*44</f>
        <v>1961388.9358281563</v>
      </c>
      <c r="D730" s="9">
        <f ca="1">_xlfn.NORM.INV(RAND(),AVERAGE(Assumptions!$D$6,Assumptions!$F$6),(Assumptions!$F$6-Assumptions!$D$6)/3.29)*RANDBETWEEN(2,5)</f>
        <v>4297437.742143604</v>
      </c>
      <c r="E730" s="12">
        <f ca="1">_xlfn.NORM.INV(RAND(),AVERAGE(Assumptions!$D$17,Assumptions!$F$17),(Assumptions!$F$17-Assumptions!$D$17)/3.29)*8</f>
        <v>1038210.6020148317</v>
      </c>
      <c r="F730" s="15">
        <f ca="1">_xlfn.NORM.INV(RAND(),AVERAGE(Assumptions!$D$7,Assumptions!$F$7),(Assumptions!$F$7-Assumptions!$D$7)/3.29)*RANDBETWEEN(1,3)</f>
        <v>2542011.1420703651</v>
      </c>
      <c r="G730" s="3">
        <f ca="1">_xlfn.NORM.INV(RAND(),AVERAGE(Assumptions!$D$8,Assumptions!$F$8),(Assumptions!$F$8-Assumptions!$D$8)/3.29)*44</f>
        <v>578599.6368715812</v>
      </c>
      <c r="H730" s="6">
        <f ca="1">_xlfn.NORM.INV(RAND(),AVERAGE(Assumptions!$D$9,Assumptions!$F$9),(Assumptions!$F$9-Assumptions!$D$9)/3.29)*21</f>
        <v>3877921.9841866884</v>
      </c>
      <c r="I730" s="9">
        <f ca="1">_xlfn.NORM.INV(RAND(),AVERAGE(Assumptions!$D$10,Assumptions!$F$10),(Assumptions!$F$10-Assumptions!$D$10)/3.29)*21</f>
        <v>490661.38858911104</v>
      </c>
      <c r="J730" s="12">
        <f ca="1">NORMINV(RAND(),AVERAGE(Assumptions!$D$11,Assumptions!$F$11),(Assumptions!$F$11-Assumptions!$D$11)/3.29)*44</f>
        <v>2740253.9420192647</v>
      </c>
      <c r="K730" s="15">
        <f ca="1">_xlfn.NORM.INV(RAND(),AVERAGE(Assumptions!$D$12,Assumptions!$F$12),(Assumptions!$F$12-Assumptions!$D$12)/3.29)*44</f>
        <v>7958345.812433539</v>
      </c>
      <c r="L730" s="3">
        <f ca="1">_xlfn.NORM.INV(RAND(),AVERAGE(Assumptions!$D$13,Assumptions!$F$13),(Assumptions!$F$13-Assumptions!$D$13)/3.29)*44</f>
        <v>14129470.601233914</v>
      </c>
      <c r="M730" s="6">
        <f ca="1">_xlfn.NORM.INV(RAND(),AVERAGE(Assumptions!$D$14,Assumptions!$F$14),(Assumptions!$F$14-Assumptions!$D$14)/3.29)*44</f>
        <v>7543807.9737823904</v>
      </c>
      <c r="N730" s="9">
        <f ca="1">_xlfn.NORM.INV(RAND(),AVERAGE(Assumptions!$D$16,Assumptions!$F$16),(Assumptions!$F$16-Assumptions!$D$16)/3.29)*44</f>
        <v>11283467.329531521</v>
      </c>
      <c r="O730" s="12">
        <f ca="1">_xlfn.NORM.INV(RAND(),AVERAGE(Assumptions!$D$15,Assumptions!$F$15),(Assumptions!$F$15-Assumptions!$D$15)/3.29)*44</f>
        <v>88386472.650953576</v>
      </c>
      <c r="P730" s="15">
        <f>Assumptions!$D$18</f>
        <v>14641750.345627395</v>
      </c>
      <c r="Q730" s="3">
        <f t="shared" ca="1" si="22"/>
        <v>28738595.234186918</v>
      </c>
      <c r="R730" s="6">
        <f t="shared" ca="1" si="23"/>
        <v>43380345.579814315</v>
      </c>
    </row>
    <row r="731" spans="1:18">
      <c r="A731" s="20">
        <v>730</v>
      </c>
      <c r="B731" s="3">
        <f ca="1">_xlfn.NORM.INV(RAND(),AVERAGE(Assumptions!$D$4,Assumptions!$F$4),(Assumptions!$F$4-Assumptions!$D$4)/3.29)*44</f>
        <v>1096622.890820316</v>
      </c>
      <c r="C731" s="6">
        <f ca="1">_xlfn.NORM.INV(RAND(),AVERAGE(Assumptions!$D$5,Assumptions!$F$5),(Assumptions!$F$5-Assumptions!$D$5)/3.29)*44</f>
        <v>1916227.6142326444</v>
      </c>
      <c r="D731" s="9">
        <f ca="1">_xlfn.NORM.INV(RAND(),AVERAGE(Assumptions!$D$6,Assumptions!$F$6),(Assumptions!$F$6-Assumptions!$D$6)/3.29)*RANDBETWEEN(2,5)</f>
        <v>5924317.5026742406</v>
      </c>
      <c r="E731" s="12">
        <f ca="1">_xlfn.NORM.INV(RAND(),AVERAGE(Assumptions!$D$17,Assumptions!$F$17),(Assumptions!$F$17-Assumptions!$D$17)/3.29)*8</f>
        <v>784267.94297062</v>
      </c>
      <c r="F731" s="15">
        <f ca="1">_xlfn.NORM.INV(RAND(),AVERAGE(Assumptions!$D$7,Assumptions!$F$7),(Assumptions!$F$7-Assumptions!$D$7)/3.29)*RANDBETWEEN(1,3)</f>
        <v>2966485.0182111012</v>
      </c>
      <c r="G731" s="3">
        <f ca="1">_xlfn.NORM.INV(RAND(),AVERAGE(Assumptions!$D$8,Assumptions!$F$8),(Assumptions!$F$8-Assumptions!$D$8)/3.29)*44</f>
        <v>1241702.6407339193</v>
      </c>
      <c r="H731" s="6">
        <f ca="1">_xlfn.NORM.INV(RAND(),AVERAGE(Assumptions!$D$9,Assumptions!$F$9),(Assumptions!$F$9-Assumptions!$D$9)/3.29)*21</f>
        <v>4943140.701455188</v>
      </c>
      <c r="I731" s="9">
        <f ca="1">_xlfn.NORM.INV(RAND(),AVERAGE(Assumptions!$D$10,Assumptions!$F$10),(Assumptions!$F$10-Assumptions!$D$10)/3.29)*21</f>
        <v>824516.14296808385</v>
      </c>
      <c r="J731" s="12">
        <f ca="1">NORMINV(RAND(),AVERAGE(Assumptions!$D$11,Assumptions!$F$11),(Assumptions!$F$11-Assumptions!$D$11)/3.29)*44</f>
        <v>2935677.0113789509</v>
      </c>
      <c r="K731" s="15">
        <f ca="1">_xlfn.NORM.INV(RAND(),AVERAGE(Assumptions!$D$12,Assumptions!$F$12),(Assumptions!$F$12-Assumptions!$D$12)/3.29)*44</f>
        <v>10795488.283332523</v>
      </c>
      <c r="L731" s="3">
        <f ca="1">_xlfn.NORM.INV(RAND(),AVERAGE(Assumptions!$D$13,Assumptions!$F$13),(Assumptions!$F$13-Assumptions!$D$13)/3.29)*44</f>
        <v>17025666.520143773</v>
      </c>
      <c r="M731" s="6">
        <f ca="1">_xlfn.NORM.INV(RAND(),AVERAGE(Assumptions!$D$14,Assumptions!$F$14),(Assumptions!$F$14-Assumptions!$D$14)/3.29)*44</f>
        <v>3885780.5768547347</v>
      </c>
      <c r="N731" s="9">
        <f ca="1">_xlfn.NORM.INV(RAND(),AVERAGE(Assumptions!$D$16,Assumptions!$F$16),(Assumptions!$F$16-Assumptions!$D$16)/3.29)*44</f>
        <v>7609918.0428073816</v>
      </c>
      <c r="O731" s="12">
        <f ca="1">_xlfn.NORM.INV(RAND(),AVERAGE(Assumptions!$D$15,Assumptions!$F$15),(Assumptions!$F$15-Assumptions!$D$15)/3.29)*44</f>
        <v>98326767.103088632</v>
      </c>
      <c r="P731" s="15">
        <f>Assumptions!$D$18</f>
        <v>14641750.345627395</v>
      </c>
      <c r="Q731" s="3">
        <f t="shared" ca="1" si="22"/>
        <v>36376956.214505151</v>
      </c>
      <c r="R731" s="6">
        <f t="shared" ca="1" si="23"/>
        <v>51018706.560132548</v>
      </c>
    </row>
    <row r="732" spans="1:18">
      <c r="A732" s="20">
        <v>731</v>
      </c>
      <c r="B732" s="3">
        <f ca="1">_xlfn.NORM.INV(RAND(),AVERAGE(Assumptions!$D$4,Assumptions!$F$4),(Assumptions!$F$4-Assumptions!$D$4)/3.29)*44</f>
        <v>1236628.7548148825</v>
      </c>
      <c r="C732" s="6">
        <f ca="1">_xlfn.NORM.INV(RAND(),AVERAGE(Assumptions!$D$5,Assumptions!$F$5),(Assumptions!$F$5-Assumptions!$D$5)/3.29)*44</f>
        <v>2024232.8036046629</v>
      </c>
      <c r="D732" s="9">
        <f ca="1">_xlfn.NORM.INV(RAND(),AVERAGE(Assumptions!$D$6,Assumptions!$F$6),(Assumptions!$F$6-Assumptions!$D$6)/3.29)*RANDBETWEEN(2,5)</f>
        <v>2451459.7116285148</v>
      </c>
      <c r="E732" s="12">
        <f ca="1">_xlfn.NORM.INV(RAND(),AVERAGE(Assumptions!$D$17,Assumptions!$F$17),(Assumptions!$F$17-Assumptions!$D$17)/3.29)*8</f>
        <v>980992.94475463277</v>
      </c>
      <c r="F732" s="15">
        <f ca="1">_xlfn.NORM.INV(RAND(),AVERAGE(Assumptions!$D$7,Assumptions!$F$7),(Assumptions!$F$7-Assumptions!$D$7)/3.29)*RANDBETWEEN(1,3)</f>
        <v>5558057.4328168957</v>
      </c>
      <c r="G732" s="3">
        <f ca="1">_xlfn.NORM.INV(RAND(),AVERAGE(Assumptions!$D$8,Assumptions!$F$8),(Assumptions!$F$8-Assumptions!$D$8)/3.29)*44</f>
        <v>1422798.8450303397</v>
      </c>
      <c r="H732" s="6">
        <f ca="1">_xlfn.NORM.INV(RAND(),AVERAGE(Assumptions!$D$9,Assumptions!$F$9),(Assumptions!$F$9-Assumptions!$D$9)/3.29)*21</f>
        <v>4698326.0038569896</v>
      </c>
      <c r="I732" s="9">
        <f ca="1">_xlfn.NORM.INV(RAND(),AVERAGE(Assumptions!$D$10,Assumptions!$F$10),(Assumptions!$F$10-Assumptions!$D$10)/3.29)*21</f>
        <v>1218937.3497666901</v>
      </c>
      <c r="J732" s="12">
        <f ca="1">NORMINV(RAND(),AVERAGE(Assumptions!$D$11,Assumptions!$F$11),(Assumptions!$F$11-Assumptions!$D$11)/3.29)*44</f>
        <v>3155454.1912288205</v>
      </c>
      <c r="K732" s="15">
        <f ca="1">_xlfn.NORM.INV(RAND(),AVERAGE(Assumptions!$D$12,Assumptions!$F$12),(Assumptions!$F$12-Assumptions!$D$12)/3.29)*44</f>
        <v>6894036.8204771541</v>
      </c>
      <c r="L732" s="3">
        <f ca="1">_xlfn.NORM.INV(RAND(),AVERAGE(Assumptions!$D$13,Assumptions!$F$13),(Assumptions!$F$13-Assumptions!$D$13)/3.29)*44</f>
        <v>18690838.013409592</v>
      </c>
      <c r="M732" s="6">
        <f ca="1">_xlfn.NORM.INV(RAND(),AVERAGE(Assumptions!$D$14,Assumptions!$F$14),(Assumptions!$F$14-Assumptions!$D$14)/3.29)*44</f>
        <v>6187401.3579517435</v>
      </c>
      <c r="N732" s="9">
        <f ca="1">_xlfn.NORM.INV(RAND(),AVERAGE(Assumptions!$D$16,Assumptions!$F$16),(Assumptions!$F$16-Assumptions!$D$16)/3.29)*44</f>
        <v>13194725.549205652</v>
      </c>
      <c r="O732" s="12">
        <f ca="1">_xlfn.NORM.INV(RAND(),AVERAGE(Assumptions!$D$15,Assumptions!$F$15),(Assumptions!$F$15-Assumptions!$D$15)/3.29)*44</f>
        <v>109816926.83175005</v>
      </c>
      <c r="P732" s="15">
        <f>Assumptions!$D$18</f>
        <v>14641750.345627395</v>
      </c>
      <c r="Q732" s="3">
        <f t="shared" ca="1" si="22"/>
        <v>42103037.053203478</v>
      </c>
      <c r="R732" s="6">
        <f t="shared" ca="1" si="23"/>
        <v>56744787.398830876</v>
      </c>
    </row>
    <row r="733" spans="1:18">
      <c r="A733" s="20">
        <v>732</v>
      </c>
      <c r="B733" s="3">
        <f ca="1">_xlfn.NORM.INV(RAND(),AVERAGE(Assumptions!$D$4,Assumptions!$F$4),(Assumptions!$F$4-Assumptions!$D$4)/3.29)*44</f>
        <v>1121851.579672103</v>
      </c>
      <c r="C733" s="6">
        <f ca="1">_xlfn.NORM.INV(RAND(),AVERAGE(Assumptions!$D$5,Assumptions!$F$5),(Assumptions!$F$5-Assumptions!$D$5)/3.29)*44</f>
        <v>1930671.1693653287</v>
      </c>
      <c r="D733" s="9">
        <f ca="1">_xlfn.NORM.INV(RAND(),AVERAGE(Assumptions!$D$6,Assumptions!$F$6),(Assumptions!$F$6-Assumptions!$D$6)/3.29)*RANDBETWEEN(2,5)</f>
        <v>5467321.4174908809</v>
      </c>
      <c r="E733" s="12">
        <f ca="1">_xlfn.NORM.INV(RAND(),AVERAGE(Assumptions!$D$17,Assumptions!$F$17),(Assumptions!$F$17-Assumptions!$D$17)/3.29)*8</f>
        <v>932745.28788568429</v>
      </c>
      <c r="F733" s="15">
        <f ca="1">_xlfn.NORM.INV(RAND(),AVERAGE(Assumptions!$D$7,Assumptions!$F$7),(Assumptions!$F$7-Assumptions!$D$7)/3.29)*RANDBETWEEN(1,3)</f>
        <v>3285101.4819815345</v>
      </c>
      <c r="G733" s="3">
        <f ca="1">_xlfn.NORM.INV(RAND(),AVERAGE(Assumptions!$D$8,Assumptions!$F$8),(Assumptions!$F$8-Assumptions!$D$8)/3.29)*44</f>
        <v>1490547.9405273264</v>
      </c>
      <c r="H733" s="6">
        <f ca="1">_xlfn.NORM.INV(RAND(),AVERAGE(Assumptions!$D$9,Assumptions!$F$9),(Assumptions!$F$9-Assumptions!$D$9)/3.29)*21</f>
        <v>3060520.3672702727</v>
      </c>
      <c r="I733" s="9">
        <f ca="1">_xlfn.NORM.INV(RAND(),AVERAGE(Assumptions!$D$10,Assumptions!$F$10),(Assumptions!$F$10-Assumptions!$D$10)/3.29)*21</f>
        <v>1019334.6959431788</v>
      </c>
      <c r="J733" s="12">
        <f ca="1">NORMINV(RAND(),AVERAGE(Assumptions!$D$11,Assumptions!$F$11),(Assumptions!$F$11-Assumptions!$D$11)/3.29)*44</f>
        <v>2745282.7778554498</v>
      </c>
      <c r="K733" s="15">
        <f ca="1">_xlfn.NORM.INV(RAND(),AVERAGE(Assumptions!$D$12,Assumptions!$F$12),(Assumptions!$F$12-Assumptions!$D$12)/3.29)*44</f>
        <v>10699935.999088563</v>
      </c>
      <c r="L733" s="3">
        <f ca="1">_xlfn.NORM.INV(RAND(),AVERAGE(Assumptions!$D$13,Assumptions!$F$13),(Assumptions!$F$13-Assumptions!$D$13)/3.29)*44</f>
        <v>16126246.969227973</v>
      </c>
      <c r="M733" s="6">
        <f ca="1">_xlfn.NORM.INV(RAND(),AVERAGE(Assumptions!$D$14,Assumptions!$F$14),(Assumptions!$F$14-Assumptions!$D$14)/3.29)*44</f>
        <v>5827728.70727628</v>
      </c>
      <c r="N733" s="9">
        <f ca="1">_xlfn.NORM.INV(RAND(),AVERAGE(Assumptions!$D$16,Assumptions!$F$16),(Assumptions!$F$16-Assumptions!$D$16)/3.29)*44</f>
        <v>20269474.798534043</v>
      </c>
      <c r="O733" s="12">
        <f ca="1">_xlfn.NORM.INV(RAND(),AVERAGE(Assumptions!$D$15,Assumptions!$F$15),(Assumptions!$F$15-Assumptions!$D$15)/3.29)*44</f>
        <v>140282174.79957673</v>
      </c>
      <c r="P733" s="15">
        <f>Assumptions!$D$18</f>
        <v>14641750.345627395</v>
      </c>
      <c r="Q733" s="3">
        <f t="shared" ca="1" si="22"/>
        <v>66305411.607458115</v>
      </c>
      <c r="R733" s="6">
        <f t="shared" ca="1" si="23"/>
        <v>80947161.953085512</v>
      </c>
    </row>
    <row r="734" spans="1:18">
      <c r="A734" s="20">
        <v>733</v>
      </c>
      <c r="B734" s="3">
        <f ca="1">_xlfn.NORM.INV(RAND(),AVERAGE(Assumptions!$D$4,Assumptions!$F$4),(Assumptions!$F$4-Assumptions!$D$4)/3.29)*44</f>
        <v>1162708.5168102353</v>
      </c>
      <c r="C734" s="6">
        <f ca="1">_xlfn.NORM.INV(RAND(),AVERAGE(Assumptions!$D$5,Assumptions!$F$5),(Assumptions!$F$5-Assumptions!$D$5)/3.29)*44</f>
        <v>2008271.1367736035</v>
      </c>
      <c r="D734" s="9">
        <f ca="1">_xlfn.NORM.INV(RAND(),AVERAGE(Assumptions!$D$6,Assumptions!$F$6),(Assumptions!$F$6-Assumptions!$D$6)/3.29)*RANDBETWEEN(2,5)</f>
        <v>1543141.8702327185</v>
      </c>
      <c r="E734" s="12">
        <f ca="1">_xlfn.NORM.INV(RAND(),AVERAGE(Assumptions!$D$17,Assumptions!$F$17),(Assumptions!$F$17-Assumptions!$D$17)/3.29)*8</f>
        <v>796048.02229235205</v>
      </c>
      <c r="F734" s="15">
        <f ca="1">_xlfn.NORM.INV(RAND(),AVERAGE(Assumptions!$D$7,Assumptions!$F$7),(Assumptions!$F$7-Assumptions!$D$7)/3.29)*RANDBETWEEN(1,3)</f>
        <v>2651629.9760348578</v>
      </c>
      <c r="G734" s="3">
        <f ca="1">_xlfn.NORM.INV(RAND(),AVERAGE(Assumptions!$D$8,Assumptions!$F$8),(Assumptions!$F$8-Assumptions!$D$8)/3.29)*44</f>
        <v>481195.11612689693</v>
      </c>
      <c r="H734" s="6">
        <f ca="1">_xlfn.NORM.INV(RAND(),AVERAGE(Assumptions!$D$9,Assumptions!$F$9),(Assumptions!$F$9-Assumptions!$D$9)/3.29)*21</f>
        <v>3635867.1009931606</v>
      </c>
      <c r="I734" s="9">
        <f ca="1">_xlfn.NORM.INV(RAND(),AVERAGE(Assumptions!$D$10,Assumptions!$F$10),(Assumptions!$F$10-Assumptions!$D$10)/3.29)*21</f>
        <v>850669.19684147253</v>
      </c>
      <c r="J734" s="12">
        <f ca="1">NORMINV(RAND(),AVERAGE(Assumptions!$D$11,Assumptions!$F$11),(Assumptions!$F$11-Assumptions!$D$11)/3.29)*44</f>
        <v>3734875.4187788018</v>
      </c>
      <c r="K734" s="15">
        <f ca="1">_xlfn.NORM.INV(RAND(),AVERAGE(Assumptions!$D$12,Assumptions!$F$12),(Assumptions!$F$12-Assumptions!$D$12)/3.29)*44</f>
        <v>6521690.7970760921</v>
      </c>
      <c r="L734" s="3">
        <f ca="1">_xlfn.NORM.INV(RAND(),AVERAGE(Assumptions!$D$13,Assumptions!$F$13),(Assumptions!$F$13-Assumptions!$D$13)/3.29)*44</f>
        <v>11100022.440420171</v>
      </c>
      <c r="M734" s="6">
        <f ca="1">_xlfn.NORM.INV(RAND(),AVERAGE(Assumptions!$D$14,Assumptions!$F$14),(Assumptions!$F$14-Assumptions!$D$14)/3.29)*44</f>
        <v>5903426.0343052261</v>
      </c>
      <c r="N734" s="9">
        <f ca="1">_xlfn.NORM.INV(RAND(),AVERAGE(Assumptions!$D$16,Assumptions!$F$16),(Assumptions!$F$16-Assumptions!$D$16)/3.29)*44</f>
        <v>12856377.707808465</v>
      </c>
      <c r="O734" s="12">
        <f ca="1">_xlfn.NORM.INV(RAND(),AVERAGE(Assumptions!$D$15,Assumptions!$F$15),(Assumptions!$F$15-Assumptions!$D$15)/3.29)*44</f>
        <v>68410048.261480093</v>
      </c>
      <c r="P734" s="15">
        <f>Assumptions!$D$18</f>
        <v>14641750.345627395</v>
      </c>
      <c r="Q734" s="3">
        <f t="shared" ca="1" si="22"/>
        <v>15164124.926986046</v>
      </c>
      <c r="R734" s="6">
        <f t="shared" ca="1" si="23"/>
        <v>29805875.272613443</v>
      </c>
    </row>
    <row r="735" spans="1:18">
      <c r="A735" s="20">
        <v>734</v>
      </c>
      <c r="B735" s="3">
        <f ca="1">_xlfn.NORM.INV(RAND(),AVERAGE(Assumptions!$D$4,Assumptions!$F$4),(Assumptions!$F$4-Assumptions!$D$4)/3.29)*44</f>
        <v>1211948.232280304</v>
      </c>
      <c r="C735" s="6">
        <f ca="1">_xlfn.NORM.INV(RAND(),AVERAGE(Assumptions!$D$5,Assumptions!$F$5),(Assumptions!$F$5-Assumptions!$D$5)/3.29)*44</f>
        <v>1729812.5508034076</v>
      </c>
      <c r="D735" s="9">
        <f ca="1">_xlfn.NORM.INV(RAND(),AVERAGE(Assumptions!$D$6,Assumptions!$F$6),(Assumptions!$F$6-Assumptions!$D$6)/3.29)*RANDBETWEEN(2,5)</f>
        <v>2177758.8296212843</v>
      </c>
      <c r="E735" s="12">
        <f ca="1">_xlfn.NORM.INV(RAND(),AVERAGE(Assumptions!$D$17,Assumptions!$F$17),(Assumptions!$F$17-Assumptions!$D$17)/3.29)*8</f>
        <v>954775.5710784964</v>
      </c>
      <c r="F735" s="15">
        <f ca="1">_xlfn.NORM.INV(RAND(),AVERAGE(Assumptions!$D$7,Assumptions!$F$7),(Assumptions!$F$7-Assumptions!$D$7)/3.29)*RANDBETWEEN(1,3)</f>
        <v>9835159.5015349612</v>
      </c>
      <c r="G735" s="3">
        <f ca="1">_xlfn.NORM.INV(RAND(),AVERAGE(Assumptions!$D$8,Assumptions!$F$8),(Assumptions!$F$8-Assumptions!$D$8)/3.29)*44</f>
        <v>1253266.7279994648</v>
      </c>
      <c r="H735" s="6">
        <f ca="1">_xlfn.NORM.INV(RAND(),AVERAGE(Assumptions!$D$9,Assumptions!$F$9),(Assumptions!$F$9-Assumptions!$D$9)/3.29)*21</f>
        <v>5970091.3804070298</v>
      </c>
      <c r="I735" s="9">
        <f ca="1">_xlfn.NORM.INV(RAND(),AVERAGE(Assumptions!$D$10,Assumptions!$F$10),(Assumptions!$F$10-Assumptions!$D$10)/3.29)*21</f>
        <v>892561.11662162608</v>
      </c>
      <c r="J735" s="12">
        <f ca="1">NORMINV(RAND(),AVERAGE(Assumptions!$D$11,Assumptions!$F$11),(Assumptions!$F$11-Assumptions!$D$11)/3.29)*44</f>
        <v>4489452.4445361532</v>
      </c>
      <c r="K735" s="15">
        <f ca="1">_xlfn.NORM.INV(RAND(),AVERAGE(Assumptions!$D$12,Assumptions!$F$12),(Assumptions!$F$12-Assumptions!$D$12)/3.29)*44</f>
        <v>7966605.3774418049</v>
      </c>
      <c r="L735" s="3">
        <f ca="1">_xlfn.NORM.INV(RAND(),AVERAGE(Assumptions!$D$13,Assumptions!$F$13),(Assumptions!$F$13-Assumptions!$D$13)/3.29)*44</f>
        <v>13621424.490088174</v>
      </c>
      <c r="M735" s="6">
        <f ca="1">_xlfn.NORM.INV(RAND(),AVERAGE(Assumptions!$D$14,Assumptions!$F$14),(Assumptions!$F$14-Assumptions!$D$14)/3.29)*44</f>
        <v>6357666.0295643602</v>
      </c>
      <c r="N735" s="9">
        <f ca="1">_xlfn.NORM.INV(RAND(),AVERAGE(Assumptions!$D$16,Assumptions!$F$16),(Assumptions!$F$16-Assumptions!$D$16)/3.29)*44</f>
        <v>14661950.20978334</v>
      </c>
      <c r="O735" s="12">
        <f ca="1">_xlfn.NORM.INV(RAND(),AVERAGE(Assumptions!$D$15,Assumptions!$F$15),(Assumptions!$F$15-Assumptions!$D$15)/3.29)*44</f>
        <v>84453429.180109873</v>
      </c>
      <c r="P735" s="15">
        <f>Assumptions!$D$18</f>
        <v>14641750.345627395</v>
      </c>
      <c r="Q735" s="3">
        <f t="shared" ca="1" si="22"/>
        <v>13330956.718349472</v>
      </c>
      <c r="R735" s="6">
        <f t="shared" ca="1" si="23"/>
        <v>27972707.063976869</v>
      </c>
    </row>
    <row r="736" spans="1:18">
      <c r="A736" s="20">
        <v>735</v>
      </c>
      <c r="B736" s="3">
        <f ca="1">_xlfn.NORM.INV(RAND(),AVERAGE(Assumptions!$D$4,Assumptions!$F$4),(Assumptions!$F$4-Assumptions!$D$4)/3.29)*44</f>
        <v>1284002.0912490878</v>
      </c>
      <c r="C736" s="6">
        <f ca="1">_xlfn.NORM.INV(RAND(),AVERAGE(Assumptions!$D$5,Assumptions!$F$5),(Assumptions!$F$5-Assumptions!$D$5)/3.29)*44</f>
        <v>1704362.8759808536</v>
      </c>
      <c r="D736" s="9">
        <f ca="1">_xlfn.NORM.INV(RAND(),AVERAGE(Assumptions!$D$6,Assumptions!$F$6),(Assumptions!$F$6-Assumptions!$D$6)/3.29)*RANDBETWEEN(2,5)</f>
        <v>3780798.6607203153</v>
      </c>
      <c r="E736" s="12">
        <f ca="1">_xlfn.NORM.INV(RAND(),AVERAGE(Assumptions!$D$17,Assumptions!$F$17),(Assumptions!$F$17-Assumptions!$D$17)/3.29)*8</f>
        <v>980672.17766965181</v>
      </c>
      <c r="F736" s="15">
        <f ca="1">_xlfn.NORM.INV(RAND(),AVERAGE(Assumptions!$D$7,Assumptions!$F$7),(Assumptions!$F$7-Assumptions!$D$7)/3.29)*RANDBETWEEN(1,3)</f>
        <v>3838135.9037365103</v>
      </c>
      <c r="G736" s="3">
        <f ca="1">_xlfn.NORM.INV(RAND(),AVERAGE(Assumptions!$D$8,Assumptions!$F$8),(Assumptions!$F$8-Assumptions!$D$8)/3.29)*44</f>
        <v>1494067.8861966426</v>
      </c>
      <c r="H736" s="6">
        <f ca="1">_xlfn.NORM.INV(RAND(),AVERAGE(Assumptions!$D$9,Assumptions!$F$9),(Assumptions!$F$9-Assumptions!$D$9)/3.29)*21</f>
        <v>5502396.858839605</v>
      </c>
      <c r="I736" s="9">
        <f ca="1">_xlfn.NORM.INV(RAND(),AVERAGE(Assumptions!$D$10,Assumptions!$F$10),(Assumptions!$F$10-Assumptions!$D$10)/3.29)*21</f>
        <v>1279776.5567027626</v>
      </c>
      <c r="J736" s="12">
        <f ca="1">NORMINV(RAND(),AVERAGE(Assumptions!$D$11,Assumptions!$F$11),(Assumptions!$F$11-Assumptions!$D$11)/3.29)*44</f>
        <v>2883063.3472130811</v>
      </c>
      <c r="K736" s="15">
        <f ca="1">_xlfn.NORM.INV(RAND(),AVERAGE(Assumptions!$D$12,Assumptions!$F$12),(Assumptions!$F$12-Assumptions!$D$12)/3.29)*44</f>
        <v>8264908.6567746187</v>
      </c>
      <c r="L736" s="3">
        <f ca="1">_xlfn.NORM.INV(RAND(),AVERAGE(Assumptions!$D$13,Assumptions!$F$13),(Assumptions!$F$13-Assumptions!$D$13)/3.29)*44</f>
        <v>14665994.616279671</v>
      </c>
      <c r="M736" s="6">
        <f ca="1">_xlfn.NORM.INV(RAND(),AVERAGE(Assumptions!$D$14,Assumptions!$F$14),(Assumptions!$F$14-Assumptions!$D$14)/3.29)*44</f>
        <v>7242074.7205324769</v>
      </c>
      <c r="N736" s="9">
        <f ca="1">_xlfn.NORM.INV(RAND(),AVERAGE(Assumptions!$D$16,Assumptions!$F$16),(Assumptions!$F$16-Assumptions!$D$16)/3.29)*44</f>
        <v>10239905.430059198</v>
      </c>
      <c r="O736" s="12">
        <f ca="1">_xlfn.NORM.INV(RAND(),AVERAGE(Assumptions!$D$15,Assumptions!$F$15),(Assumptions!$F$15-Assumptions!$D$15)/3.29)*44</f>
        <v>64546069.798423968</v>
      </c>
      <c r="P736" s="15">
        <f>Assumptions!$D$18</f>
        <v>14641750.345627395</v>
      </c>
      <c r="Q736" s="3">
        <f t="shared" ca="1" si="22"/>
        <v>1385910.0164694935</v>
      </c>
      <c r="R736" s="6">
        <f t="shared" ca="1" si="23"/>
        <v>16027660.362096889</v>
      </c>
    </row>
    <row r="737" spans="1:18">
      <c r="A737" s="20">
        <v>736</v>
      </c>
      <c r="B737" s="3">
        <f ca="1">_xlfn.NORM.INV(RAND(),AVERAGE(Assumptions!$D$4,Assumptions!$F$4),(Assumptions!$F$4-Assumptions!$D$4)/3.29)*44</f>
        <v>1069606.8193686453</v>
      </c>
      <c r="C737" s="6">
        <f ca="1">_xlfn.NORM.INV(RAND(),AVERAGE(Assumptions!$D$5,Assumptions!$F$5),(Assumptions!$F$5-Assumptions!$D$5)/3.29)*44</f>
        <v>2011474.6687424642</v>
      </c>
      <c r="D737" s="9">
        <f ca="1">_xlfn.NORM.INV(RAND(),AVERAGE(Assumptions!$D$6,Assumptions!$F$6),(Assumptions!$F$6-Assumptions!$D$6)/3.29)*RANDBETWEEN(2,5)</f>
        <v>2463360.2606932996</v>
      </c>
      <c r="E737" s="12">
        <f ca="1">_xlfn.NORM.INV(RAND(),AVERAGE(Assumptions!$D$17,Assumptions!$F$17),(Assumptions!$F$17-Assumptions!$D$17)/3.29)*8</f>
        <v>836837.91179551091</v>
      </c>
      <c r="F737" s="15">
        <f ca="1">_xlfn.NORM.INV(RAND(),AVERAGE(Assumptions!$D$7,Assumptions!$F$7),(Assumptions!$F$7-Assumptions!$D$7)/3.29)*RANDBETWEEN(1,3)</f>
        <v>5426515.0663626697</v>
      </c>
      <c r="G737" s="3">
        <f ca="1">_xlfn.NORM.INV(RAND(),AVERAGE(Assumptions!$D$8,Assumptions!$F$8),(Assumptions!$F$8-Assumptions!$D$8)/3.29)*44</f>
        <v>1162482.5610100818</v>
      </c>
      <c r="H737" s="6">
        <f ca="1">_xlfn.NORM.INV(RAND(),AVERAGE(Assumptions!$D$9,Assumptions!$F$9),(Assumptions!$F$9-Assumptions!$D$9)/3.29)*21</f>
        <v>5443986.5233138679</v>
      </c>
      <c r="I737" s="9">
        <f ca="1">_xlfn.NORM.INV(RAND(),AVERAGE(Assumptions!$D$10,Assumptions!$F$10),(Assumptions!$F$10-Assumptions!$D$10)/3.29)*21</f>
        <v>922375.9913042573</v>
      </c>
      <c r="J737" s="12">
        <f ca="1">NORMINV(RAND(),AVERAGE(Assumptions!$D$11,Assumptions!$F$11),(Assumptions!$F$11-Assumptions!$D$11)/3.29)*44</f>
        <v>5108003.1749251876</v>
      </c>
      <c r="K737" s="15">
        <f ca="1">_xlfn.NORM.INV(RAND(),AVERAGE(Assumptions!$D$12,Assumptions!$F$12),(Assumptions!$F$12-Assumptions!$D$12)/3.29)*44</f>
        <v>7563611.7782397289</v>
      </c>
      <c r="L737" s="3">
        <f ca="1">_xlfn.NORM.INV(RAND(),AVERAGE(Assumptions!$D$13,Assumptions!$F$13),(Assumptions!$F$13-Assumptions!$D$13)/3.29)*44</f>
        <v>15424772.107822908</v>
      </c>
      <c r="M737" s="6">
        <f ca="1">_xlfn.NORM.INV(RAND(),AVERAGE(Assumptions!$D$14,Assumptions!$F$14),(Assumptions!$F$14-Assumptions!$D$14)/3.29)*44</f>
        <v>7696644.9312569192</v>
      </c>
      <c r="N737" s="9">
        <f ca="1">_xlfn.NORM.INV(RAND(),AVERAGE(Assumptions!$D$16,Assumptions!$F$16),(Assumptions!$F$16-Assumptions!$D$16)/3.29)*44</f>
        <v>6768346.5913841063</v>
      </c>
      <c r="O737" s="12">
        <f ca="1">_xlfn.NORM.INV(RAND(),AVERAGE(Assumptions!$D$15,Assumptions!$F$15),(Assumptions!$F$15-Assumptions!$D$15)/3.29)*44</f>
        <v>78044726.692830712</v>
      </c>
      <c r="P737" s="15">
        <f>Assumptions!$D$18</f>
        <v>14641750.345627395</v>
      </c>
      <c r="Q737" s="3">
        <f t="shared" ca="1" si="22"/>
        <v>16146708.306611069</v>
      </c>
      <c r="R737" s="6">
        <f t="shared" ca="1" si="23"/>
        <v>30788458.652238466</v>
      </c>
    </row>
    <row r="738" spans="1:18">
      <c r="A738" s="20">
        <v>737</v>
      </c>
      <c r="B738" s="3">
        <f ca="1">_xlfn.NORM.INV(RAND(),AVERAGE(Assumptions!$D$4,Assumptions!$F$4),(Assumptions!$F$4-Assumptions!$D$4)/3.29)*44</f>
        <v>1233446.7971730225</v>
      </c>
      <c r="C738" s="6">
        <f ca="1">_xlfn.NORM.INV(RAND(),AVERAGE(Assumptions!$D$5,Assumptions!$F$5),(Assumptions!$F$5-Assumptions!$D$5)/3.29)*44</f>
        <v>1716361.6293693853</v>
      </c>
      <c r="D738" s="9">
        <f ca="1">_xlfn.NORM.INV(RAND(),AVERAGE(Assumptions!$D$6,Assumptions!$F$6),(Assumptions!$F$6-Assumptions!$D$6)/3.29)*RANDBETWEEN(2,5)</f>
        <v>7072870.103963186</v>
      </c>
      <c r="E738" s="12">
        <f ca="1">_xlfn.NORM.INV(RAND(),AVERAGE(Assumptions!$D$17,Assumptions!$F$17),(Assumptions!$F$17-Assumptions!$D$17)/3.29)*8</f>
        <v>808033.50068302511</v>
      </c>
      <c r="F738" s="15">
        <f ca="1">_xlfn.NORM.INV(RAND(),AVERAGE(Assumptions!$D$7,Assumptions!$F$7),(Assumptions!$F$7-Assumptions!$D$7)/3.29)*RANDBETWEEN(1,3)</f>
        <v>1937291.7958246148</v>
      </c>
      <c r="G738" s="3">
        <f ca="1">_xlfn.NORM.INV(RAND(),AVERAGE(Assumptions!$D$8,Assumptions!$F$8),(Assumptions!$F$8-Assumptions!$D$8)/3.29)*44</f>
        <v>1059621.7631323054</v>
      </c>
      <c r="H738" s="6">
        <f ca="1">_xlfn.NORM.INV(RAND(),AVERAGE(Assumptions!$D$9,Assumptions!$F$9),(Assumptions!$F$9-Assumptions!$D$9)/3.29)*21</f>
        <v>5249808.598509348</v>
      </c>
      <c r="I738" s="9">
        <f ca="1">_xlfn.NORM.INV(RAND(),AVERAGE(Assumptions!$D$10,Assumptions!$F$10),(Assumptions!$F$10-Assumptions!$D$10)/3.29)*21</f>
        <v>1205031.112088518</v>
      </c>
      <c r="J738" s="12">
        <f ca="1">NORMINV(RAND(),AVERAGE(Assumptions!$D$11,Assumptions!$F$11),(Assumptions!$F$11-Assumptions!$D$11)/3.29)*44</f>
        <v>2601533.8060068437</v>
      </c>
      <c r="K738" s="15">
        <f ca="1">_xlfn.NORM.INV(RAND(),AVERAGE(Assumptions!$D$12,Assumptions!$F$12),(Assumptions!$F$12-Assumptions!$D$12)/3.29)*44</f>
        <v>8218769.2089576824</v>
      </c>
      <c r="L738" s="3">
        <f ca="1">_xlfn.NORM.INV(RAND(),AVERAGE(Assumptions!$D$13,Assumptions!$F$13),(Assumptions!$F$13-Assumptions!$D$13)/3.29)*44</f>
        <v>5365939.8094357029</v>
      </c>
      <c r="M738" s="6">
        <f ca="1">_xlfn.NORM.INV(RAND(),AVERAGE(Assumptions!$D$14,Assumptions!$F$14),(Assumptions!$F$14-Assumptions!$D$14)/3.29)*44</f>
        <v>4609410.1691337945</v>
      </c>
      <c r="N738" s="9">
        <f ca="1">_xlfn.NORM.INV(RAND(),AVERAGE(Assumptions!$D$16,Assumptions!$F$16),(Assumptions!$F$16-Assumptions!$D$16)/3.29)*44</f>
        <v>4228041.9101853874</v>
      </c>
      <c r="O738" s="12">
        <f ca="1">_xlfn.NORM.INV(RAND(),AVERAGE(Assumptions!$D$15,Assumptions!$F$15),(Assumptions!$F$15-Assumptions!$D$15)/3.29)*44</f>
        <v>87062945.113312915</v>
      </c>
      <c r="P738" s="15">
        <f>Assumptions!$D$18</f>
        <v>14641750.345627395</v>
      </c>
      <c r="Q738" s="3">
        <f t="shared" ca="1" si="22"/>
        <v>41756784.908850096</v>
      </c>
      <c r="R738" s="6">
        <f t="shared" ca="1" si="23"/>
        <v>56398535.254477493</v>
      </c>
    </row>
    <row r="739" spans="1:18">
      <c r="A739" s="20">
        <v>738</v>
      </c>
      <c r="B739" s="3">
        <f ca="1">_xlfn.NORM.INV(RAND(),AVERAGE(Assumptions!$D$4,Assumptions!$F$4),(Assumptions!$F$4-Assumptions!$D$4)/3.29)*44</f>
        <v>1330898.7563405784</v>
      </c>
      <c r="C739" s="6">
        <f ca="1">_xlfn.NORM.INV(RAND(),AVERAGE(Assumptions!$D$5,Assumptions!$F$5),(Assumptions!$F$5-Assumptions!$D$5)/3.29)*44</f>
        <v>2002838.8484749726</v>
      </c>
      <c r="D739" s="9">
        <f ca="1">_xlfn.NORM.INV(RAND(),AVERAGE(Assumptions!$D$6,Assumptions!$F$6),(Assumptions!$F$6-Assumptions!$D$6)/3.29)*RANDBETWEEN(2,5)</f>
        <v>3420625.3796088239</v>
      </c>
      <c r="E739" s="12">
        <f ca="1">_xlfn.NORM.INV(RAND(),AVERAGE(Assumptions!$D$17,Assumptions!$F$17),(Assumptions!$F$17-Assumptions!$D$17)/3.29)*8</f>
        <v>873991.40872655902</v>
      </c>
      <c r="F739" s="15">
        <f ca="1">_xlfn.NORM.INV(RAND(),AVERAGE(Assumptions!$D$7,Assumptions!$F$7),(Assumptions!$F$7-Assumptions!$D$7)/3.29)*RANDBETWEEN(1,3)</f>
        <v>7587812.2184194736</v>
      </c>
      <c r="G739" s="3">
        <f ca="1">_xlfn.NORM.INV(RAND(),AVERAGE(Assumptions!$D$8,Assumptions!$F$8),(Assumptions!$F$8-Assumptions!$D$8)/3.29)*44</f>
        <v>1584038.0135751998</v>
      </c>
      <c r="H739" s="6">
        <f ca="1">_xlfn.NORM.INV(RAND(),AVERAGE(Assumptions!$D$9,Assumptions!$F$9),(Assumptions!$F$9-Assumptions!$D$9)/3.29)*21</f>
        <v>1773859.3668906773</v>
      </c>
      <c r="I739" s="9">
        <f ca="1">_xlfn.NORM.INV(RAND(),AVERAGE(Assumptions!$D$10,Assumptions!$F$10),(Assumptions!$F$10-Assumptions!$D$10)/3.29)*21</f>
        <v>637034.32169124729</v>
      </c>
      <c r="J739" s="12">
        <f ca="1">NORMINV(RAND(),AVERAGE(Assumptions!$D$11,Assumptions!$F$11),(Assumptions!$F$11-Assumptions!$D$11)/3.29)*44</f>
        <v>2605638.4807030773</v>
      </c>
      <c r="K739" s="15">
        <f ca="1">_xlfn.NORM.INV(RAND(),AVERAGE(Assumptions!$D$12,Assumptions!$F$12),(Assumptions!$F$12-Assumptions!$D$12)/3.29)*44</f>
        <v>6751590.2863392998</v>
      </c>
      <c r="L739" s="3">
        <f ca="1">_xlfn.NORM.INV(RAND(),AVERAGE(Assumptions!$D$13,Assumptions!$F$13),(Assumptions!$F$13-Assumptions!$D$13)/3.29)*44</f>
        <v>18933370.211076207</v>
      </c>
      <c r="M739" s="6">
        <f ca="1">_xlfn.NORM.INV(RAND(),AVERAGE(Assumptions!$D$14,Assumptions!$F$14),(Assumptions!$F$14-Assumptions!$D$14)/3.29)*44</f>
        <v>7502556.5833151396</v>
      </c>
      <c r="N739" s="9">
        <f ca="1">_xlfn.NORM.INV(RAND(),AVERAGE(Assumptions!$D$16,Assumptions!$F$16),(Assumptions!$F$16-Assumptions!$D$16)/3.29)*44</f>
        <v>10641418.945866017</v>
      </c>
      <c r="O739" s="12">
        <f ca="1">_xlfn.NORM.INV(RAND(),AVERAGE(Assumptions!$D$15,Assumptions!$F$15),(Assumptions!$F$15-Assumptions!$D$15)/3.29)*44</f>
        <v>92375726.37917231</v>
      </c>
      <c r="P739" s="15">
        <f>Assumptions!$D$18</f>
        <v>14641750.345627395</v>
      </c>
      <c r="Q739" s="3">
        <f t="shared" ca="1" si="22"/>
        <v>26730053.558145031</v>
      </c>
      <c r="R739" s="6">
        <f t="shared" ca="1" si="23"/>
        <v>41371803.903772429</v>
      </c>
    </row>
    <row r="740" spans="1:18">
      <c r="A740" s="20">
        <v>739</v>
      </c>
      <c r="B740" s="3">
        <f ca="1">_xlfn.NORM.INV(RAND(),AVERAGE(Assumptions!$D$4,Assumptions!$F$4),(Assumptions!$F$4-Assumptions!$D$4)/3.29)*44</f>
        <v>1240820.0062136569</v>
      </c>
      <c r="C740" s="6">
        <f ca="1">_xlfn.NORM.INV(RAND(),AVERAGE(Assumptions!$D$5,Assumptions!$F$5),(Assumptions!$F$5-Assumptions!$D$5)/3.29)*44</f>
        <v>1458521.4729493817</v>
      </c>
      <c r="D740" s="9">
        <f ca="1">_xlfn.NORM.INV(RAND(),AVERAGE(Assumptions!$D$6,Assumptions!$F$6),(Assumptions!$F$6-Assumptions!$D$6)/3.29)*RANDBETWEEN(2,5)</f>
        <v>7111016.1058804002</v>
      </c>
      <c r="E740" s="12">
        <f ca="1">_xlfn.NORM.INV(RAND(),AVERAGE(Assumptions!$D$17,Assumptions!$F$17),(Assumptions!$F$17-Assumptions!$D$17)/3.29)*8</f>
        <v>821348.02402447874</v>
      </c>
      <c r="F740" s="15">
        <f ca="1">_xlfn.NORM.INV(RAND(),AVERAGE(Assumptions!$D$7,Assumptions!$F$7),(Assumptions!$F$7-Assumptions!$D$7)/3.29)*RANDBETWEEN(1,3)</f>
        <v>5959852.4618605105</v>
      </c>
      <c r="G740" s="3">
        <f ca="1">_xlfn.NORM.INV(RAND(),AVERAGE(Assumptions!$D$8,Assumptions!$F$8),(Assumptions!$F$8-Assumptions!$D$8)/3.29)*44</f>
        <v>1372566.1142372503</v>
      </c>
      <c r="H740" s="6">
        <f ca="1">_xlfn.NORM.INV(RAND(),AVERAGE(Assumptions!$D$9,Assumptions!$F$9),(Assumptions!$F$9-Assumptions!$D$9)/3.29)*21</f>
        <v>4237855.9183312329</v>
      </c>
      <c r="I740" s="9">
        <f ca="1">_xlfn.NORM.INV(RAND(),AVERAGE(Assumptions!$D$10,Assumptions!$F$10),(Assumptions!$F$10-Assumptions!$D$10)/3.29)*21</f>
        <v>983313.64314210694</v>
      </c>
      <c r="J740" s="12">
        <f ca="1">NORMINV(RAND(),AVERAGE(Assumptions!$D$11,Assumptions!$F$11),(Assumptions!$F$11-Assumptions!$D$11)/3.29)*44</f>
        <v>2037587.943470584</v>
      </c>
      <c r="K740" s="15">
        <f ca="1">_xlfn.NORM.INV(RAND(),AVERAGE(Assumptions!$D$12,Assumptions!$F$12),(Assumptions!$F$12-Assumptions!$D$12)/3.29)*44</f>
        <v>9029351.0550584197</v>
      </c>
      <c r="L740" s="3">
        <f ca="1">_xlfn.NORM.INV(RAND(),AVERAGE(Assumptions!$D$13,Assumptions!$F$13),(Assumptions!$F$13-Assumptions!$D$13)/3.29)*44</f>
        <v>17946781.953444019</v>
      </c>
      <c r="M740" s="6">
        <f ca="1">_xlfn.NORM.INV(RAND(),AVERAGE(Assumptions!$D$14,Assumptions!$F$14),(Assumptions!$F$14-Assumptions!$D$14)/3.29)*44</f>
        <v>6881875.8467713585</v>
      </c>
      <c r="N740" s="9">
        <f ca="1">_xlfn.NORM.INV(RAND(),AVERAGE(Assumptions!$D$16,Assumptions!$F$16),(Assumptions!$F$16-Assumptions!$D$16)/3.29)*44</f>
        <v>10775622.785945509</v>
      </c>
      <c r="O740" s="12">
        <f ca="1">_xlfn.NORM.INV(RAND(),AVERAGE(Assumptions!$D$15,Assumptions!$F$15),(Assumptions!$F$15-Assumptions!$D$15)/3.29)*44</f>
        <v>168964449.60009778</v>
      </c>
      <c r="P740" s="15">
        <f>Assumptions!$D$18</f>
        <v>14641750.345627395</v>
      </c>
      <c r="Q740" s="3">
        <f t="shared" ca="1" si="22"/>
        <v>99107936.268768877</v>
      </c>
      <c r="R740" s="6">
        <f t="shared" ca="1" si="23"/>
        <v>113749686.61439627</v>
      </c>
    </row>
    <row r="741" spans="1:18">
      <c r="A741" s="20">
        <v>740</v>
      </c>
      <c r="B741" s="3">
        <f ca="1">_xlfn.NORM.INV(RAND(),AVERAGE(Assumptions!$D$4,Assumptions!$F$4),(Assumptions!$F$4-Assumptions!$D$4)/3.29)*44</f>
        <v>1174894.707081174</v>
      </c>
      <c r="C741" s="6">
        <f ca="1">_xlfn.NORM.INV(RAND(),AVERAGE(Assumptions!$D$5,Assumptions!$F$5),(Assumptions!$F$5-Assumptions!$D$5)/3.29)*44</f>
        <v>2169920.4335677801</v>
      </c>
      <c r="D741" s="9">
        <f ca="1">_xlfn.NORM.INV(RAND(),AVERAGE(Assumptions!$D$6,Assumptions!$F$6),(Assumptions!$F$6-Assumptions!$D$6)/3.29)*RANDBETWEEN(2,5)</f>
        <v>3027843.1579031181</v>
      </c>
      <c r="E741" s="12">
        <f ca="1">_xlfn.NORM.INV(RAND(),AVERAGE(Assumptions!$D$17,Assumptions!$F$17),(Assumptions!$F$17-Assumptions!$D$17)/3.29)*8</f>
        <v>965997.60812467686</v>
      </c>
      <c r="F741" s="15">
        <f ca="1">_xlfn.NORM.INV(RAND(),AVERAGE(Assumptions!$D$7,Assumptions!$F$7),(Assumptions!$F$7-Assumptions!$D$7)/3.29)*RANDBETWEEN(1,3)</f>
        <v>9286722.8635233622</v>
      </c>
      <c r="G741" s="3">
        <f ca="1">_xlfn.NORM.INV(RAND(),AVERAGE(Assumptions!$D$8,Assumptions!$F$8),(Assumptions!$F$8-Assumptions!$D$8)/3.29)*44</f>
        <v>1445743.3006837203</v>
      </c>
      <c r="H741" s="6">
        <f ca="1">_xlfn.NORM.INV(RAND(),AVERAGE(Assumptions!$D$9,Assumptions!$F$9),(Assumptions!$F$9-Assumptions!$D$9)/3.29)*21</f>
        <v>4891571.138567565</v>
      </c>
      <c r="I741" s="9">
        <f ca="1">_xlfn.NORM.INV(RAND(),AVERAGE(Assumptions!$D$10,Assumptions!$F$10),(Assumptions!$F$10-Assumptions!$D$10)/3.29)*21</f>
        <v>738394.64344323461</v>
      </c>
      <c r="J741" s="12">
        <f ca="1">NORMINV(RAND(),AVERAGE(Assumptions!$D$11,Assumptions!$F$11),(Assumptions!$F$11-Assumptions!$D$11)/3.29)*44</f>
        <v>2533090.0370328291</v>
      </c>
      <c r="K741" s="15">
        <f ca="1">_xlfn.NORM.INV(RAND(),AVERAGE(Assumptions!$D$12,Assumptions!$F$12),(Assumptions!$F$12-Assumptions!$D$12)/3.29)*44</f>
        <v>8628896.8467592355</v>
      </c>
      <c r="L741" s="3">
        <f ca="1">_xlfn.NORM.INV(RAND(),AVERAGE(Assumptions!$D$13,Assumptions!$F$13),(Assumptions!$F$13-Assumptions!$D$13)/3.29)*44</f>
        <v>13108058.258452713</v>
      </c>
      <c r="M741" s="6">
        <f ca="1">_xlfn.NORM.INV(RAND(),AVERAGE(Assumptions!$D$14,Assumptions!$F$14),(Assumptions!$F$14-Assumptions!$D$14)/3.29)*44</f>
        <v>8184627.3649207139</v>
      </c>
      <c r="N741" s="9">
        <f ca="1">_xlfn.NORM.INV(RAND(),AVERAGE(Assumptions!$D$16,Assumptions!$F$16),(Assumptions!$F$16-Assumptions!$D$16)/3.29)*44</f>
        <v>9453880.3910157867</v>
      </c>
      <c r="O741" s="12">
        <f ca="1">_xlfn.NORM.INV(RAND(),AVERAGE(Assumptions!$D$15,Assumptions!$F$15),(Assumptions!$F$15-Assumptions!$D$15)/3.29)*44</f>
        <v>33504702.234570868</v>
      </c>
      <c r="P741" s="15">
        <f>Assumptions!$D$18</f>
        <v>14641750.345627395</v>
      </c>
      <c r="Q741" s="3">
        <f t="shared" ca="1" si="22"/>
        <v>-32104938.51650504</v>
      </c>
      <c r="R741" s="6">
        <f t="shared" ca="1" si="23"/>
        <v>-17463188.170877643</v>
      </c>
    </row>
    <row r="742" spans="1:18">
      <c r="A742" s="20">
        <v>741</v>
      </c>
      <c r="B742" s="3">
        <f ca="1">_xlfn.NORM.INV(RAND(),AVERAGE(Assumptions!$D$4,Assumptions!$F$4),(Assumptions!$F$4-Assumptions!$D$4)/3.29)*44</f>
        <v>1150639.9175786772</v>
      </c>
      <c r="C742" s="6">
        <f ca="1">_xlfn.NORM.INV(RAND(),AVERAGE(Assumptions!$D$5,Assumptions!$F$5),(Assumptions!$F$5-Assumptions!$D$5)/3.29)*44</f>
        <v>1642182.2248440208</v>
      </c>
      <c r="D742" s="9">
        <f ca="1">_xlfn.NORM.INV(RAND(),AVERAGE(Assumptions!$D$6,Assumptions!$F$6),(Assumptions!$F$6-Assumptions!$D$6)/3.29)*RANDBETWEEN(2,5)</f>
        <v>3733575.9340059431</v>
      </c>
      <c r="E742" s="12">
        <f ca="1">_xlfn.NORM.INV(RAND(),AVERAGE(Assumptions!$D$17,Assumptions!$F$17),(Assumptions!$F$17-Assumptions!$D$17)/3.29)*8</f>
        <v>937963.64532361762</v>
      </c>
      <c r="F742" s="15">
        <f ca="1">_xlfn.NORM.INV(RAND(),AVERAGE(Assumptions!$D$7,Assumptions!$F$7),(Assumptions!$F$7-Assumptions!$D$7)/3.29)*RANDBETWEEN(1,3)</f>
        <v>2069627.4877966798</v>
      </c>
      <c r="G742" s="3">
        <f ca="1">_xlfn.NORM.INV(RAND(),AVERAGE(Assumptions!$D$8,Assumptions!$F$8),(Assumptions!$F$8-Assumptions!$D$8)/3.29)*44</f>
        <v>920889.41414982476</v>
      </c>
      <c r="H742" s="6">
        <f ca="1">_xlfn.NORM.INV(RAND(),AVERAGE(Assumptions!$D$9,Assumptions!$F$9),(Assumptions!$F$9-Assumptions!$D$9)/3.29)*21</f>
        <v>5858110.59872666</v>
      </c>
      <c r="I742" s="9">
        <f ca="1">_xlfn.NORM.INV(RAND(),AVERAGE(Assumptions!$D$10,Assumptions!$F$10),(Assumptions!$F$10-Assumptions!$D$10)/3.29)*21</f>
        <v>1201044.316169888</v>
      </c>
      <c r="J742" s="12">
        <f ca="1">NORMINV(RAND(),AVERAGE(Assumptions!$D$11,Assumptions!$F$11),(Assumptions!$F$11-Assumptions!$D$11)/3.29)*44</f>
        <v>3619645.0892044008</v>
      </c>
      <c r="K742" s="15">
        <f ca="1">_xlfn.NORM.INV(RAND(),AVERAGE(Assumptions!$D$12,Assumptions!$F$12),(Assumptions!$F$12-Assumptions!$D$12)/3.29)*44</f>
        <v>7643473.1362229427</v>
      </c>
      <c r="L742" s="3">
        <f ca="1">_xlfn.NORM.INV(RAND(),AVERAGE(Assumptions!$D$13,Assumptions!$F$13),(Assumptions!$F$13-Assumptions!$D$13)/3.29)*44</f>
        <v>14388635.224891132</v>
      </c>
      <c r="M742" s="6">
        <f ca="1">_xlfn.NORM.INV(RAND(),AVERAGE(Assumptions!$D$14,Assumptions!$F$14),(Assumptions!$F$14-Assumptions!$D$14)/3.29)*44</f>
        <v>7549061.4816659791</v>
      </c>
      <c r="N742" s="9">
        <f ca="1">_xlfn.NORM.INV(RAND(),AVERAGE(Assumptions!$D$16,Assumptions!$F$16),(Assumptions!$F$16-Assumptions!$D$16)/3.29)*44</f>
        <v>8808432.8112959173</v>
      </c>
      <c r="O742" s="12">
        <f ca="1">_xlfn.NORM.INV(RAND(),AVERAGE(Assumptions!$D$15,Assumptions!$F$15),(Assumptions!$F$15-Assumptions!$D$15)/3.29)*44</f>
        <v>143680033.01566246</v>
      </c>
      <c r="P742" s="15">
        <f>Assumptions!$D$18</f>
        <v>14641750.345627395</v>
      </c>
      <c r="Q742" s="3">
        <f t="shared" ca="1" si="22"/>
        <v>84156751.733786777</v>
      </c>
      <c r="R742" s="6">
        <f t="shared" ca="1" si="23"/>
        <v>98798502.079414174</v>
      </c>
    </row>
    <row r="743" spans="1:18">
      <c r="A743" s="20">
        <v>742</v>
      </c>
      <c r="B743" s="3">
        <f ca="1">_xlfn.NORM.INV(RAND(),AVERAGE(Assumptions!$D$4,Assumptions!$F$4),(Assumptions!$F$4-Assumptions!$D$4)/3.29)*44</f>
        <v>1082949.0868093097</v>
      </c>
      <c r="C743" s="6">
        <f ca="1">_xlfn.NORM.INV(RAND(),AVERAGE(Assumptions!$D$5,Assumptions!$F$5),(Assumptions!$F$5-Assumptions!$D$5)/3.29)*44</f>
        <v>1916900.3463295496</v>
      </c>
      <c r="D743" s="9">
        <f ca="1">_xlfn.NORM.INV(RAND(),AVERAGE(Assumptions!$D$6,Assumptions!$F$6),(Assumptions!$F$6-Assumptions!$D$6)/3.29)*RANDBETWEEN(2,5)</f>
        <v>6963547.4842355205</v>
      </c>
      <c r="E743" s="12">
        <f ca="1">_xlfn.NORM.INV(RAND(),AVERAGE(Assumptions!$D$17,Assumptions!$F$17),(Assumptions!$F$17-Assumptions!$D$17)/3.29)*8</f>
        <v>1055492.4330512814</v>
      </c>
      <c r="F743" s="15">
        <f ca="1">_xlfn.NORM.INV(RAND(),AVERAGE(Assumptions!$D$7,Assumptions!$F$7),(Assumptions!$F$7-Assumptions!$D$7)/3.29)*RANDBETWEEN(1,3)</f>
        <v>10373373.558790784</v>
      </c>
      <c r="G743" s="3">
        <f ca="1">_xlfn.NORM.INV(RAND(),AVERAGE(Assumptions!$D$8,Assumptions!$F$8),(Assumptions!$F$8-Assumptions!$D$8)/3.29)*44</f>
        <v>1234834.5042716258</v>
      </c>
      <c r="H743" s="6">
        <f ca="1">_xlfn.NORM.INV(RAND(),AVERAGE(Assumptions!$D$9,Assumptions!$F$9),(Assumptions!$F$9-Assumptions!$D$9)/3.29)*21</f>
        <v>3551965.8321944368</v>
      </c>
      <c r="I743" s="9">
        <f ca="1">_xlfn.NORM.INV(RAND(),AVERAGE(Assumptions!$D$10,Assumptions!$F$10),(Assumptions!$F$10-Assumptions!$D$10)/3.29)*21</f>
        <v>1236478.7113471953</v>
      </c>
      <c r="J743" s="12">
        <f ca="1">NORMINV(RAND(),AVERAGE(Assumptions!$D$11,Assumptions!$F$11),(Assumptions!$F$11-Assumptions!$D$11)/3.29)*44</f>
        <v>3422454.4297645683</v>
      </c>
      <c r="K743" s="15">
        <f ca="1">_xlfn.NORM.INV(RAND(),AVERAGE(Assumptions!$D$12,Assumptions!$F$12),(Assumptions!$F$12-Assumptions!$D$12)/3.29)*44</f>
        <v>8676561.7771234661</v>
      </c>
      <c r="L743" s="3">
        <f ca="1">_xlfn.NORM.INV(RAND(),AVERAGE(Assumptions!$D$13,Assumptions!$F$13),(Assumptions!$F$13-Assumptions!$D$13)/3.29)*44</f>
        <v>16734703.299921872</v>
      </c>
      <c r="M743" s="6">
        <f ca="1">_xlfn.NORM.INV(RAND(),AVERAGE(Assumptions!$D$14,Assumptions!$F$14),(Assumptions!$F$14-Assumptions!$D$14)/3.29)*44</f>
        <v>5419605.120171139</v>
      </c>
      <c r="N743" s="9">
        <f ca="1">_xlfn.NORM.INV(RAND(),AVERAGE(Assumptions!$D$16,Assumptions!$F$16),(Assumptions!$F$16-Assumptions!$D$16)/3.29)*44</f>
        <v>6358641.0923173875</v>
      </c>
      <c r="O743" s="12">
        <f ca="1">_xlfn.NORM.INV(RAND(),AVERAGE(Assumptions!$D$15,Assumptions!$F$15),(Assumptions!$F$15-Assumptions!$D$15)/3.29)*44</f>
        <v>62598760.972095117</v>
      </c>
      <c r="P743" s="15">
        <f>Assumptions!$D$18</f>
        <v>14641750.345627395</v>
      </c>
      <c r="Q743" s="3">
        <f t="shared" ca="1" si="22"/>
        <v>-5428746.7042330205</v>
      </c>
      <c r="R743" s="6">
        <f t="shared" ca="1" si="23"/>
        <v>9213003.6413943749</v>
      </c>
    </row>
    <row r="744" spans="1:18">
      <c r="A744" s="20">
        <v>743</v>
      </c>
      <c r="B744" s="3">
        <f ca="1">_xlfn.NORM.INV(RAND(),AVERAGE(Assumptions!$D$4,Assumptions!$F$4),(Assumptions!$F$4-Assumptions!$D$4)/3.29)*44</f>
        <v>1138376.871088706</v>
      </c>
      <c r="C744" s="6">
        <f ca="1">_xlfn.NORM.INV(RAND(),AVERAGE(Assumptions!$D$5,Assumptions!$F$5),(Assumptions!$F$5-Assumptions!$D$5)/3.29)*44</f>
        <v>1895026.4624455199</v>
      </c>
      <c r="D744" s="9">
        <f ca="1">_xlfn.NORM.INV(RAND(),AVERAGE(Assumptions!$D$6,Assumptions!$F$6),(Assumptions!$F$6-Assumptions!$D$6)/3.29)*RANDBETWEEN(2,5)</f>
        <v>3858867.297577939</v>
      </c>
      <c r="E744" s="12">
        <f ca="1">_xlfn.NORM.INV(RAND(),AVERAGE(Assumptions!$D$17,Assumptions!$F$17),(Assumptions!$F$17-Assumptions!$D$17)/3.29)*8</f>
        <v>971055.41472462181</v>
      </c>
      <c r="F744" s="15">
        <f ca="1">_xlfn.NORM.INV(RAND(),AVERAGE(Assumptions!$D$7,Assumptions!$F$7),(Assumptions!$F$7-Assumptions!$D$7)/3.29)*RANDBETWEEN(1,3)</f>
        <v>6296688.7580340551</v>
      </c>
      <c r="G744" s="3">
        <f ca="1">_xlfn.NORM.INV(RAND(),AVERAGE(Assumptions!$D$8,Assumptions!$F$8),(Assumptions!$F$8-Assumptions!$D$8)/3.29)*44</f>
        <v>1296753.7937312643</v>
      </c>
      <c r="H744" s="6">
        <f ca="1">_xlfn.NORM.INV(RAND(),AVERAGE(Assumptions!$D$9,Assumptions!$F$9),(Assumptions!$F$9-Assumptions!$D$9)/3.29)*21</f>
        <v>3772312.0295227403</v>
      </c>
      <c r="I744" s="9">
        <f ca="1">_xlfn.NORM.INV(RAND(),AVERAGE(Assumptions!$D$10,Assumptions!$F$10),(Assumptions!$F$10-Assumptions!$D$10)/3.29)*21</f>
        <v>549254.97824172478</v>
      </c>
      <c r="J744" s="12">
        <f ca="1">NORMINV(RAND(),AVERAGE(Assumptions!$D$11,Assumptions!$F$11),(Assumptions!$F$11-Assumptions!$D$11)/3.29)*44</f>
        <v>5527275.7166720005</v>
      </c>
      <c r="K744" s="15">
        <f ca="1">_xlfn.NORM.INV(RAND(),AVERAGE(Assumptions!$D$12,Assumptions!$F$12),(Assumptions!$F$12-Assumptions!$D$12)/3.29)*44</f>
        <v>4808823.2389966762</v>
      </c>
      <c r="L744" s="3">
        <f ca="1">_xlfn.NORM.INV(RAND(),AVERAGE(Assumptions!$D$13,Assumptions!$F$13),(Assumptions!$F$13-Assumptions!$D$13)/3.29)*44</f>
        <v>17506239.846139323</v>
      </c>
      <c r="M744" s="6">
        <f ca="1">_xlfn.NORM.INV(RAND(),AVERAGE(Assumptions!$D$14,Assumptions!$F$14),(Assumptions!$F$14-Assumptions!$D$14)/3.29)*44</f>
        <v>4581918.4847916719</v>
      </c>
      <c r="N744" s="9">
        <f ca="1">_xlfn.NORM.INV(RAND(),AVERAGE(Assumptions!$D$16,Assumptions!$F$16),(Assumptions!$F$16-Assumptions!$D$16)/3.29)*44</f>
        <v>11233775.894597333</v>
      </c>
      <c r="O744" s="12">
        <f ca="1">_xlfn.NORM.INV(RAND(),AVERAGE(Assumptions!$D$15,Assumptions!$F$15),(Assumptions!$F$15-Assumptions!$D$15)/3.29)*44</f>
        <v>70154890.227287382</v>
      </c>
      <c r="P744" s="15">
        <f>Assumptions!$D$18</f>
        <v>14641750.345627395</v>
      </c>
      <c r="Q744" s="3">
        <f t="shared" ca="1" si="22"/>
        <v>6718521.4407238066</v>
      </c>
      <c r="R744" s="6">
        <f t="shared" ca="1" si="23"/>
        <v>21360271.786351204</v>
      </c>
    </row>
    <row r="745" spans="1:18">
      <c r="A745" s="20">
        <v>744</v>
      </c>
      <c r="B745" s="3">
        <f ca="1">_xlfn.NORM.INV(RAND(),AVERAGE(Assumptions!$D$4,Assumptions!$F$4),(Assumptions!$F$4-Assumptions!$D$4)/3.29)*44</f>
        <v>1263105.6379111509</v>
      </c>
      <c r="C745" s="6">
        <f ca="1">_xlfn.NORM.INV(RAND(),AVERAGE(Assumptions!$D$5,Assumptions!$F$5),(Assumptions!$F$5-Assumptions!$D$5)/3.29)*44</f>
        <v>1941660.2554048547</v>
      </c>
      <c r="D745" s="9">
        <f ca="1">_xlfn.NORM.INV(RAND(),AVERAGE(Assumptions!$D$6,Assumptions!$F$6),(Assumptions!$F$6-Assumptions!$D$6)/3.29)*RANDBETWEEN(2,5)</f>
        <v>6734032.845984376</v>
      </c>
      <c r="E745" s="12">
        <f ca="1">_xlfn.NORM.INV(RAND(),AVERAGE(Assumptions!$D$17,Assumptions!$F$17),(Assumptions!$F$17-Assumptions!$D$17)/3.29)*8</f>
        <v>867952.61064951913</v>
      </c>
      <c r="F745" s="15">
        <f ca="1">_xlfn.NORM.INV(RAND(),AVERAGE(Assumptions!$D$7,Assumptions!$F$7),(Assumptions!$F$7-Assumptions!$D$7)/3.29)*RANDBETWEEN(1,3)</f>
        <v>8193609.8240671605</v>
      </c>
      <c r="G745" s="3">
        <f ca="1">_xlfn.NORM.INV(RAND(),AVERAGE(Assumptions!$D$8,Assumptions!$F$8),(Assumptions!$F$8-Assumptions!$D$8)/3.29)*44</f>
        <v>826731.53081123135</v>
      </c>
      <c r="H745" s="6">
        <f ca="1">_xlfn.NORM.INV(RAND(),AVERAGE(Assumptions!$D$9,Assumptions!$F$9),(Assumptions!$F$9-Assumptions!$D$9)/3.29)*21</f>
        <v>3355249.1263668789</v>
      </c>
      <c r="I745" s="9">
        <f ca="1">_xlfn.NORM.INV(RAND(),AVERAGE(Assumptions!$D$10,Assumptions!$F$10),(Assumptions!$F$10-Assumptions!$D$10)/3.29)*21</f>
        <v>705397.87511232332</v>
      </c>
      <c r="J745" s="12">
        <f ca="1">NORMINV(RAND(),AVERAGE(Assumptions!$D$11,Assumptions!$F$11),(Assumptions!$F$11-Assumptions!$D$11)/3.29)*44</f>
        <v>5653219.5930713937</v>
      </c>
      <c r="K745" s="15">
        <f ca="1">_xlfn.NORM.INV(RAND(),AVERAGE(Assumptions!$D$12,Assumptions!$F$12),(Assumptions!$F$12-Assumptions!$D$12)/3.29)*44</f>
        <v>8682181.669036625</v>
      </c>
      <c r="L745" s="3">
        <f ca="1">_xlfn.NORM.INV(RAND(),AVERAGE(Assumptions!$D$13,Assumptions!$F$13),(Assumptions!$F$13-Assumptions!$D$13)/3.29)*44</f>
        <v>14300659.002675168</v>
      </c>
      <c r="M745" s="6">
        <f ca="1">_xlfn.NORM.INV(RAND(),AVERAGE(Assumptions!$D$14,Assumptions!$F$14),(Assumptions!$F$14-Assumptions!$D$14)/3.29)*44</f>
        <v>5414089.4214859363</v>
      </c>
      <c r="N745" s="9">
        <f ca="1">_xlfn.NORM.INV(RAND(),AVERAGE(Assumptions!$D$16,Assumptions!$F$16),(Assumptions!$F$16-Assumptions!$D$16)/3.29)*44</f>
        <v>7154983.1798502505</v>
      </c>
      <c r="O745" s="12">
        <f ca="1">_xlfn.NORM.INV(RAND(),AVERAGE(Assumptions!$D$15,Assumptions!$F$15),(Assumptions!$F$15-Assumptions!$D$15)/3.29)*44</f>
        <v>32402843.953643747</v>
      </c>
      <c r="P745" s="15">
        <f>Assumptions!$D$18</f>
        <v>14641750.345627395</v>
      </c>
      <c r="Q745" s="3">
        <f t="shared" ca="1" si="22"/>
        <v>-32690028.618783124</v>
      </c>
      <c r="R745" s="6">
        <f t="shared" ca="1" si="23"/>
        <v>-18048278.273155726</v>
      </c>
    </row>
    <row r="746" spans="1:18">
      <c r="A746" s="20">
        <v>745</v>
      </c>
      <c r="B746" s="3">
        <f ca="1">_xlfn.NORM.INV(RAND(),AVERAGE(Assumptions!$D$4,Assumptions!$F$4),(Assumptions!$F$4-Assumptions!$D$4)/3.29)*44</f>
        <v>1184585.2504662361</v>
      </c>
      <c r="C746" s="6">
        <f ca="1">_xlfn.NORM.INV(RAND(),AVERAGE(Assumptions!$D$5,Assumptions!$F$5),(Assumptions!$F$5-Assumptions!$D$5)/3.29)*44</f>
        <v>1703622.2160290196</v>
      </c>
      <c r="D746" s="9">
        <f ca="1">_xlfn.NORM.INV(RAND(),AVERAGE(Assumptions!$D$6,Assumptions!$F$6),(Assumptions!$F$6-Assumptions!$D$6)/3.29)*RANDBETWEEN(2,5)</f>
        <v>3784965.6372083193</v>
      </c>
      <c r="E746" s="12">
        <f ca="1">_xlfn.NORM.INV(RAND(),AVERAGE(Assumptions!$D$17,Assumptions!$F$17),(Assumptions!$F$17-Assumptions!$D$17)/3.29)*8</f>
        <v>1079802.9864199013</v>
      </c>
      <c r="F746" s="15">
        <f ca="1">_xlfn.NORM.INV(RAND(),AVERAGE(Assumptions!$D$7,Assumptions!$F$7),(Assumptions!$F$7-Assumptions!$D$7)/3.29)*RANDBETWEEN(1,3)</f>
        <v>9827529.2858837992</v>
      </c>
      <c r="G746" s="3">
        <f ca="1">_xlfn.NORM.INV(RAND(),AVERAGE(Assumptions!$D$8,Assumptions!$F$8),(Assumptions!$F$8-Assumptions!$D$8)/3.29)*44</f>
        <v>945274.98367634718</v>
      </c>
      <c r="H746" s="6">
        <f ca="1">_xlfn.NORM.INV(RAND(),AVERAGE(Assumptions!$D$9,Assumptions!$F$9),(Assumptions!$F$9-Assumptions!$D$9)/3.29)*21</f>
        <v>3319154.6788864783</v>
      </c>
      <c r="I746" s="9">
        <f ca="1">_xlfn.NORM.INV(RAND(),AVERAGE(Assumptions!$D$10,Assumptions!$F$10),(Assumptions!$F$10-Assumptions!$D$10)/3.29)*21</f>
        <v>1132657.7728409183</v>
      </c>
      <c r="J746" s="12">
        <f ca="1">NORMINV(RAND(),AVERAGE(Assumptions!$D$11,Assumptions!$F$11),(Assumptions!$F$11-Assumptions!$D$11)/3.29)*44</f>
        <v>3952305.9165016771</v>
      </c>
      <c r="K746" s="15">
        <f ca="1">_xlfn.NORM.INV(RAND(),AVERAGE(Assumptions!$D$12,Assumptions!$F$12),(Assumptions!$F$12-Assumptions!$D$12)/3.29)*44</f>
        <v>8674531.8969656359</v>
      </c>
      <c r="L746" s="3">
        <f ca="1">_xlfn.NORM.INV(RAND(),AVERAGE(Assumptions!$D$13,Assumptions!$F$13),(Assumptions!$F$13-Assumptions!$D$13)/3.29)*44</f>
        <v>12419166.388605192</v>
      </c>
      <c r="M746" s="6">
        <f ca="1">_xlfn.NORM.INV(RAND(),AVERAGE(Assumptions!$D$14,Assumptions!$F$14),(Assumptions!$F$14-Assumptions!$D$14)/3.29)*44</f>
        <v>6501323.1829062998</v>
      </c>
      <c r="N746" s="9">
        <f ca="1">_xlfn.NORM.INV(RAND(),AVERAGE(Assumptions!$D$16,Assumptions!$F$16),(Assumptions!$F$16-Assumptions!$D$16)/3.29)*44</f>
        <v>15048125.868250381</v>
      </c>
      <c r="O746" s="12">
        <f ca="1">_xlfn.NORM.INV(RAND(),AVERAGE(Assumptions!$D$15,Assumptions!$F$15),(Assumptions!$F$15-Assumptions!$D$15)/3.29)*44</f>
        <v>135077017.32171232</v>
      </c>
      <c r="P746" s="15">
        <f>Assumptions!$D$18</f>
        <v>14641750.345627395</v>
      </c>
      <c r="Q746" s="3">
        <f t="shared" ca="1" si="22"/>
        <v>65503971.257072106</v>
      </c>
      <c r="R746" s="6">
        <f t="shared" ca="1" si="23"/>
        <v>80145721.602699503</v>
      </c>
    </row>
    <row r="747" spans="1:18">
      <c r="A747" s="20">
        <v>746</v>
      </c>
      <c r="B747" s="3">
        <f ca="1">_xlfn.NORM.INV(RAND(),AVERAGE(Assumptions!$D$4,Assumptions!$F$4),(Assumptions!$F$4-Assumptions!$D$4)/3.29)*44</f>
        <v>1203595.0364677389</v>
      </c>
      <c r="C747" s="6">
        <f ca="1">_xlfn.NORM.INV(RAND(),AVERAGE(Assumptions!$D$5,Assumptions!$F$5),(Assumptions!$F$5-Assumptions!$D$5)/3.29)*44</f>
        <v>1990288.9028455596</v>
      </c>
      <c r="D747" s="9">
        <f ca="1">_xlfn.NORM.INV(RAND(),AVERAGE(Assumptions!$D$6,Assumptions!$F$6),(Assumptions!$F$6-Assumptions!$D$6)/3.29)*RANDBETWEEN(2,5)</f>
        <v>1533395.494191264</v>
      </c>
      <c r="E747" s="12">
        <f ca="1">_xlfn.NORM.INV(RAND(),AVERAGE(Assumptions!$D$17,Assumptions!$F$17),(Assumptions!$F$17-Assumptions!$D$17)/3.29)*8</f>
        <v>962505.61010268563</v>
      </c>
      <c r="F747" s="15">
        <f ca="1">_xlfn.NORM.INV(RAND(),AVERAGE(Assumptions!$D$7,Assumptions!$F$7),(Assumptions!$F$7-Assumptions!$D$7)/3.29)*RANDBETWEEN(1,3)</f>
        <v>5711012.6586620938</v>
      </c>
      <c r="G747" s="3">
        <f ca="1">_xlfn.NORM.INV(RAND(),AVERAGE(Assumptions!$D$8,Assumptions!$F$8),(Assumptions!$F$8-Assumptions!$D$8)/3.29)*44</f>
        <v>1090047.6776115848</v>
      </c>
      <c r="H747" s="6">
        <f ca="1">_xlfn.NORM.INV(RAND(),AVERAGE(Assumptions!$D$9,Assumptions!$F$9),(Assumptions!$F$9-Assumptions!$D$9)/3.29)*21</f>
        <v>2207840.356838373</v>
      </c>
      <c r="I747" s="9">
        <f ca="1">_xlfn.NORM.INV(RAND(),AVERAGE(Assumptions!$D$10,Assumptions!$F$10),(Assumptions!$F$10-Assumptions!$D$10)/3.29)*21</f>
        <v>850410.39009770611</v>
      </c>
      <c r="J747" s="12">
        <f ca="1">NORMINV(RAND(),AVERAGE(Assumptions!$D$11,Assumptions!$F$11),(Assumptions!$F$11-Assumptions!$D$11)/3.29)*44</f>
        <v>2415154.1888628984</v>
      </c>
      <c r="K747" s="15">
        <f ca="1">_xlfn.NORM.INV(RAND(),AVERAGE(Assumptions!$D$12,Assumptions!$F$12),(Assumptions!$F$12-Assumptions!$D$12)/3.29)*44</f>
        <v>7236946.6119279591</v>
      </c>
      <c r="L747" s="3">
        <f ca="1">_xlfn.NORM.INV(RAND(),AVERAGE(Assumptions!$D$13,Assumptions!$F$13),(Assumptions!$F$13-Assumptions!$D$13)/3.29)*44</f>
        <v>12640173.282299003</v>
      </c>
      <c r="M747" s="6">
        <f ca="1">_xlfn.NORM.INV(RAND(),AVERAGE(Assumptions!$D$14,Assumptions!$F$14),(Assumptions!$F$14-Assumptions!$D$14)/3.29)*44</f>
        <v>5514912.8184930403</v>
      </c>
      <c r="N747" s="9">
        <f ca="1">_xlfn.NORM.INV(RAND(),AVERAGE(Assumptions!$D$16,Assumptions!$F$16),(Assumptions!$F$16-Assumptions!$D$16)/3.29)*44</f>
        <v>14035611.716270568</v>
      </c>
      <c r="O747" s="12">
        <f ca="1">_xlfn.NORM.INV(RAND(),AVERAGE(Assumptions!$D$15,Assumptions!$F$15),(Assumptions!$F$15-Assumptions!$D$15)/3.29)*44</f>
        <v>132211469.37532255</v>
      </c>
      <c r="P747" s="15">
        <f>Assumptions!$D$18</f>
        <v>14641750.345627395</v>
      </c>
      <c r="Q747" s="3">
        <f t="shared" ca="1" si="22"/>
        <v>74819574.630652085</v>
      </c>
      <c r="R747" s="6">
        <f t="shared" ca="1" si="23"/>
        <v>89461324.976279482</v>
      </c>
    </row>
    <row r="748" spans="1:18">
      <c r="A748" s="20">
        <v>747</v>
      </c>
      <c r="B748" s="3">
        <f ca="1">_xlfn.NORM.INV(RAND(),AVERAGE(Assumptions!$D$4,Assumptions!$F$4),(Assumptions!$F$4-Assumptions!$D$4)/3.29)*44</f>
        <v>1307820.4977737572</v>
      </c>
      <c r="C748" s="6">
        <f ca="1">_xlfn.NORM.INV(RAND(),AVERAGE(Assumptions!$D$5,Assumptions!$F$5),(Assumptions!$F$5-Assumptions!$D$5)/3.29)*44</f>
        <v>1958281.299265767</v>
      </c>
      <c r="D748" s="9">
        <f ca="1">_xlfn.NORM.INV(RAND(),AVERAGE(Assumptions!$D$6,Assumptions!$F$6),(Assumptions!$F$6-Assumptions!$D$6)/3.29)*RANDBETWEEN(2,5)</f>
        <v>3156080.7526824325</v>
      </c>
      <c r="E748" s="12">
        <f ca="1">_xlfn.NORM.INV(RAND(),AVERAGE(Assumptions!$D$17,Assumptions!$F$17),(Assumptions!$F$17-Assumptions!$D$17)/3.29)*8</f>
        <v>855751.54267934768</v>
      </c>
      <c r="F748" s="15">
        <f ca="1">_xlfn.NORM.INV(RAND(),AVERAGE(Assumptions!$D$7,Assumptions!$F$7),(Assumptions!$F$7-Assumptions!$D$7)/3.29)*RANDBETWEEN(1,3)</f>
        <v>8674962.3235460669</v>
      </c>
      <c r="G748" s="3">
        <f ca="1">_xlfn.NORM.INV(RAND(),AVERAGE(Assumptions!$D$8,Assumptions!$F$8),(Assumptions!$F$8-Assumptions!$D$8)/3.29)*44</f>
        <v>1342425.909277444</v>
      </c>
      <c r="H748" s="6">
        <f ca="1">_xlfn.NORM.INV(RAND(),AVERAGE(Assumptions!$D$9,Assumptions!$F$9),(Assumptions!$F$9-Assumptions!$D$9)/3.29)*21</f>
        <v>4266066.2180616185</v>
      </c>
      <c r="I748" s="9">
        <f ca="1">_xlfn.NORM.INV(RAND(),AVERAGE(Assumptions!$D$10,Assumptions!$F$10),(Assumptions!$F$10-Assumptions!$D$10)/3.29)*21</f>
        <v>829061.04364838556</v>
      </c>
      <c r="J748" s="12">
        <f ca="1">NORMINV(RAND(),AVERAGE(Assumptions!$D$11,Assumptions!$F$11),(Assumptions!$F$11-Assumptions!$D$11)/3.29)*44</f>
        <v>4447384.4887423422</v>
      </c>
      <c r="K748" s="15">
        <f ca="1">_xlfn.NORM.INV(RAND(),AVERAGE(Assumptions!$D$12,Assumptions!$F$12),(Assumptions!$F$12-Assumptions!$D$12)/3.29)*44</f>
        <v>7784790.6518155392</v>
      </c>
      <c r="L748" s="3">
        <f ca="1">_xlfn.NORM.INV(RAND(),AVERAGE(Assumptions!$D$13,Assumptions!$F$13),(Assumptions!$F$13-Assumptions!$D$13)/3.29)*44</f>
        <v>10196859.36328542</v>
      </c>
      <c r="M748" s="6">
        <f ca="1">_xlfn.NORM.INV(RAND(),AVERAGE(Assumptions!$D$14,Assumptions!$F$14),(Assumptions!$F$14-Assumptions!$D$14)/3.29)*44</f>
        <v>6813345.0311295837</v>
      </c>
      <c r="N748" s="9">
        <f ca="1">_xlfn.NORM.INV(RAND(),AVERAGE(Assumptions!$D$16,Assumptions!$F$16),(Assumptions!$F$16-Assumptions!$D$16)/3.29)*44</f>
        <v>4174051.2347533442</v>
      </c>
      <c r="O748" s="12">
        <f ca="1">_xlfn.NORM.INV(RAND(),AVERAGE(Assumptions!$D$15,Assumptions!$F$15),(Assumptions!$F$15-Assumptions!$D$15)/3.29)*44</f>
        <v>127721088.21845672</v>
      </c>
      <c r="P748" s="15">
        <f>Assumptions!$D$18</f>
        <v>14641750.345627395</v>
      </c>
      <c r="Q748" s="3">
        <f t="shared" ca="1" si="22"/>
        <v>71914207.861795664</v>
      </c>
      <c r="R748" s="6">
        <f t="shared" ca="1" si="23"/>
        <v>86555958.207423061</v>
      </c>
    </row>
    <row r="749" spans="1:18">
      <c r="A749" s="20">
        <v>748</v>
      </c>
      <c r="B749" s="3">
        <f ca="1">_xlfn.NORM.INV(RAND(),AVERAGE(Assumptions!$D$4,Assumptions!$F$4),(Assumptions!$F$4-Assumptions!$D$4)/3.29)*44</f>
        <v>1240121.4896183268</v>
      </c>
      <c r="C749" s="6">
        <f ca="1">_xlfn.NORM.INV(RAND(),AVERAGE(Assumptions!$D$5,Assumptions!$F$5),(Assumptions!$F$5-Assumptions!$D$5)/3.29)*44</f>
        <v>1910961.3224422578</v>
      </c>
      <c r="D749" s="9">
        <f ca="1">_xlfn.NORM.INV(RAND(),AVERAGE(Assumptions!$D$6,Assumptions!$F$6),(Assumptions!$F$6-Assumptions!$D$6)/3.29)*RANDBETWEEN(2,5)</f>
        <v>9061999.9851352144</v>
      </c>
      <c r="E749" s="12">
        <f ca="1">_xlfn.NORM.INV(RAND(),AVERAGE(Assumptions!$D$17,Assumptions!$F$17),(Assumptions!$F$17-Assumptions!$D$17)/3.29)*8</f>
        <v>932758.00736185885</v>
      </c>
      <c r="F749" s="15">
        <f ca="1">_xlfn.NORM.INV(RAND(),AVERAGE(Assumptions!$D$7,Assumptions!$F$7),(Assumptions!$F$7-Assumptions!$D$7)/3.29)*RANDBETWEEN(1,3)</f>
        <v>11349424.44186933</v>
      </c>
      <c r="G749" s="3">
        <f ca="1">_xlfn.NORM.INV(RAND(),AVERAGE(Assumptions!$D$8,Assumptions!$F$8),(Assumptions!$F$8-Assumptions!$D$8)/3.29)*44</f>
        <v>1181154.0469698063</v>
      </c>
      <c r="H749" s="6">
        <f ca="1">_xlfn.NORM.INV(RAND(),AVERAGE(Assumptions!$D$9,Assumptions!$F$9),(Assumptions!$F$9-Assumptions!$D$9)/3.29)*21</f>
        <v>4385397.8038537577</v>
      </c>
      <c r="I749" s="9">
        <f ca="1">_xlfn.NORM.INV(RAND(),AVERAGE(Assumptions!$D$10,Assumptions!$F$10),(Assumptions!$F$10-Assumptions!$D$10)/3.29)*21</f>
        <v>665593.07252207911</v>
      </c>
      <c r="J749" s="12">
        <f ca="1">NORMINV(RAND(),AVERAGE(Assumptions!$D$11,Assumptions!$F$11),(Assumptions!$F$11-Assumptions!$D$11)/3.29)*44</f>
        <v>2784750.5041364692</v>
      </c>
      <c r="K749" s="15">
        <f ca="1">_xlfn.NORM.INV(RAND(),AVERAGE(Assumptions!$D$12,Assumptions!$F$12),(Assumptions!$F$12-Assumptions!$D$12)/3.29)*44</f>
        <v>9805405.7697685845</v>
      </c>
      <c r="L749" s="3">
        <f ca="1">_xlfn.NORM.INV(RAND(),AVERAGE(Assumptions!$D$13,Assumptions!$F$13),(Assumptions!$F$13-Assumptions!$D$13)/3.29)*44</f>
        <v>17114874.118520517</v>
      </c>
      <c r="M749" s="6">
        <f ca="1">_xlfn.NORM.INV(RAND(),AVERAGE(Assumptions!$D$14,Assumptions!$F$14),(Assumptions!$F$14-Assumptions!$D$14)/3.29)*44</f>
        <v>4384056.8391011115</v>
      </c>
      <c r="N749" s="9">
        <f ca="1">_xlfn.NORM.INV(RAND(),AVERAGE(Assumptions!$D$16,Assumptions!$F$16),(Assumptions!$F$16-Assumptions!$D$16)/3.29)*44</f>
        <v>8842819.2936334647</v>
      </c>
      <c r="O749" s="12">
        <f ca="1">_xlfn.NORM.INV(RAND(),AVERAGE(Assumptions!$D$15,Assumptions!$F$15),(Assumptions!$F$15-Assumptions!$D$15)/3.29)*44</f>
        <v>154870111.81079817</v>
      </c>
      <c r="P749" s="15">
        <f>Assumptions!$D$18</f>
        <v>14641750.345627395</v>
      </c>
      <c r="Q749" s="3">
        <f t="shared" ca="1" si="22"/>
        <v>81210795.115865394</v>
      </c>
      <c r="R749" s="6">
        <f t="shared" ca="1" si="23"/>
        <v>95852545.461492792</v>
      </c>
    </row>
    <row r="750" spans="1:18">
      <c r="A750" s="20">
        <v>749</v>
      </c>
      <c r="B750" s="3">
        <f ca="1">_xlfn.NORM.INV(RAND(),AVERAGE(Assumptions!$D$4,Assumptions!$F$4),(Assumptions!$F$4-Assumptions!$D$4)/3.29)*44</f>
        <v>1218562.9827190172</v>
      </c>
      <c r="C750" s="6">
        <f ca="1">_xlfn.NORM.INV(RAND(),AVERAGE(Assumptions!$D$5,Assumptions!$F$5),(Assumptions!$F$5-Assumptions!$D$5)/3.29)*44</f>
        <v>1782902.6255165325</v>
      </c>
      <c r="D750" s="9">
        <f ca="1">_xlfn.NORM.INV(RAND(),AVERAGE(Assumptions!$D$6,Assumptions!$F$6),(Assumptions!$F$6-Assumptions!$D$6)/3.29)*RANDBETWEEN(2,5)</f>
        <v>3311483.1630813726</v>
      </c>
      <c r="E750" s="12">
        <f ca="1">_xlfn.NORM.INV(RAND(),AVERAGE(Assumptions!$D$17,Assumptions!$F$17),(Assumptions!$F$17-Assumptions!$D$17)/3.29)*8</f>
        <v>949575.62094053405</v>
      </c>
      <c r="F750" s="15">
        <f ca="1">_xlfn.NORM.INV(RAND(),AVERAGE(Assumptions!$D$7,Assumptions!$F$7),(Assumptions!$F$7-Assumptions!$D$7)/3.29)*RANDBETWEEN(1,3)</f>
        <v>2955249.0596808325</v>
      </c>
      <c r="G750" s="3">
        <f ca="1">_xlfn.NORM.INV(RAND(),AVERAGE(Assumptions!$D$8,Assumptions!$F$8),(Assumptions!$F$8-Assumptions!$D$8)/3.29)*44</f>
        <v>1139710.2881942478</v>
      </c>
      <c r="H750" s="6">
        <f ca="1">_xlfn.NORM.INV(RAND(),AVERAGE(Assumptions!$D$9,Assumptions!$F$9),(Assumptions!$F$9-Assumptions!$D$9)/3.29)*21</f>
        <v>3622228.6683579511</v>
      </c>
      <c r="I750" s="9">
        <f ca="1">_xlfn.NORM.INV(RAND(),AVERAGE(Assumptions!$D$10,Assumptions!$F$10),(Assumptions!$F$10-Assumptions!$D$10)/3.29)*21</f>
        <v>1076550.3216336039</v>
      </c>
      <c r="J750" s="12">
        <f ca="1">NORMINV(RAND(),AVERAGE(Assumptions!$D$11,Assumptions!$F$11),(Assumptions!$F$11-Assumptions!$D$11)/3.29)*44</f>
        <v>3175261.1187949018</v>
      </c>
      <c r="K750" s="15">
        <f ca="1">_xlfn.NORM.INV(RAND(),AVERAGE(Assumptions!$D$12,Assumptions!$F$12),(Assumptions!$F$12-Assumptions!$D$12)/3.29)*44</f>
        <v>9578623.2064199951</v>
      </c>
      <c r="L750" s="3">
        <f ca="1">_xlfn.NORM.INV(RAND(),AVERAGE(Assumptions!$D$13,Assumptions!$F$13),(Assumptions!$F$13-Assumptions!$D$13)/3.29)*44</f>
        <v>17712268.316424794</v>
      </c>
      <c r="M750" s="6">
        <f ca="1">_xlfn.NORM.INV(RAND(),AVERAGE(Assumptions!$D$14,Assumptions!$F$14),(Assumptions!$F$14-Assumptions!$D$14)/3.29)*44</f>
        <v>8185202.0948124249</v>
      </c>
      <c r="N750" s="9">
        <f ca="1">_xlfn.NORM.INV(RAND(),AVERAGE(Assumptions!$D$16,Assumptions!$F$16),(Assumptions!$F$16-Assumptions!$D$16)/3.29)*44</f>
        <v>11705451.927361069</v>
      </c>
      <c r="O750" s="12">
        <f ca="1">_xlfn.NORM.INV(RAND(),AVERAGE(Assumptions!$D$15,Assumptions!$F$15),(Assumptions!$F$15-Assumptions!$D$15)/3.29)*44</f>
        <v>155383778.4942444</v>
      </c>
      <c r="P750" s="15">
        <f>Assumptions!$D$18</f>
        <v>14641750.345627395</v>
      </c>
      <c r="Q750" s="3">
        <f t="shared" ca="1" si="22"/>
        <v>88970709.100307107</v>
      </c>
      <c r="R750" s="6">
        <f t="shared" ca="1" si="23"/>
        <v>103612459.4459345</v>
      </c>
    </row>
    <row r="751" spans="1:18">
      <c r="A751" s="20">
        <v>750</v>
      </c>
      <c r="B751" s="3">
        <f ca="1">_xlfn.NORM.INV(RAND(),AVERAGE(Assumptions!$D$4,Assumptions!$F$4),(Assumptions!$F$4-Assumptions!$D$4)/3.29)*44</f>
        <v>1218411.1437659026</v>
      </c>
      <c r="C751" s="6">
        <f ca="1">_xlfn.NORM.INV(RAND(),AVERAGE(Assumptions!$D$5,Assumptions!$F$5),(Assumptions!$F$5-Assumptions!$D$5)/3.29)*44</f>
        <v>1984692.4085334295</v>
      </c>
      <c r="D751" s="9">
        <f ca="1">_xlfn.NORM.INV(RAND(),AVERAGE(Assumptions!$D$6,Assumptions!$F$6),(Assumptions!$F$6-Assumptions!$D$6)/3.29)*RANDBETWEEN(2,5)</f>
        <v>4464951.2681953497</v>
      </c>
      <c r="E751" s="12">
        <f ca="1">_xlfn.NORM.INV(RAND(),AVERAGE(Assumptions!$D$17,Assumptions!$F$17),(Assumptions!$F$17-Assumptions!$D$17)/3.29)*8</f>
        <v>868622.59789639455</v>
      </c>
      <c r="F751" s="15">
        <f ca="1">_xlfn.NORM.INV(RAND(),AVERAGE(Assumptions!$D$7,Assumptions!$F$7),(Assumptions!$F$7-Assumptions!$D$7)/3.29)*RANDBETWEEN(1,3)</f>
        <v>4332174.1237833295</v>
      </c>
      <c r="G751" s="3">
        <f ca="1">_xlfn.NORM.INV(RAND(),AVERAGE(Assumptions!$D$8,Assumptions!$F$8),(Assumptions!$F$8-Assumptions!$D$8)/3.29)*44</f>
        <v>982094.80606240744</v>
      </c>
      <c r="H751" s="6">
        <f ca="1">_xlfn.NORM.INV(RAND(),AVERAGE(Assumptions!$D$9,Assumptions!$F$9),(Assumptions!$F$9-Assumptions!$D$9)/3.29)*21</f>
        <v>6517919.7668308718</v>
      </c>
      <c r="I751" s="9">
        <f ca="1">_xlfn.NORM.INV(RAND(),AVERAGE(Assumptions!$D$10,Assumptions!$F$10),(Assumptions!$F$10-Assumptions!$D$10)/3.29)*21</f>
        <v>723501.76532669424</v>
      </c>
      <c r="J751" s="12">
        <f ca="1">NORMINV(RAND(),AVERAGE(Assumptions!$D$11,Assumptions!$F$11),(Assumptions!$F$11-Assumptions!$D$11)/3.29)*44</f>
        <v>3947529.845464061</v>
      </c>
      <c r="K751" s="15">
        <f ca="1">_xlfn.NORM.INV(RAND(),AVERAGE(Assumptions!$D$12,Assumptions!$F$12),(Assumptions!$F$12-Assumptions!$D$12)/3.29)*44</f>
        <v>10923413.899198588</v>
      </c>
      <c r="L751" s="3">
        <f ca="1">_xlfn.NORM.INV(RAND(),AVERAGE(Assumptions!$D$13,Assumptions!$F$13),(Assumptions!$F$13-Assumptions!$D$13)/3.29)*44</f>
        <v>16540148.84742441</v>
      </c>
      <c r="M751" s="6">
        <f ca="1">_xlfn.NORM.INV(RAND(),AVERAGE(Assumptions!$D$14,Assumptions!$F$14),(Assumptions!$F$14-Assumptions!$D$14)/3.29)*44</f>
        <v>4769025.1339039886</v>
      </c>
      <c r="N751" s="9">
        <f ca="1">_xlfn.NORM.INV(RAND(),AVERAGE(Assumptions!$D$16,Assumptions!$F$16),(Assumptions!$F$16-Assumptions!$D$16)/3.29)*44</f>
        <v>11687731.464968612</v>
      </c>
      <c r="O751" s="12">
        <f ca="1">_xlfn.NORM.INV(RAND(),AVERAGE(Assumptions!$D$15,Assumptions!$F$15),(Assumptions!$F$15-Assumptions!$D$15)/3.29)*44</f>
        <v>114340361.33423817</v>
      </c>
      <c r="P751" s="15">
        <f>Assumptions!$D$18</f>
        <v>14641750.345627395</v>
      </c>
      <c r="Q751" s="3">
        <f t="shared" ca="1" si="22"/>
        <v>45380144.26288414</v>
      </c>
      <c r="R751" s="6">
        <f t="shared" ca="1" si="23"/>
        <v>60021894.608511537</v>
      </c>
    </row>
    <row r="752" spans="1:18">
      <c r="A752" s="20">
        <v>751</v>
      </c>
      <c r="B752" s="3">
        <f ca="1">_xlfn.NORM.INV(RAND(),AVERAGE(Assumptions!$D$4,Assumptions!$F$4),(Assumptions!$F$4-Assumptions!$D$4)/3.29)*44</f>
        <v>1345799.7727306073</v>
      </c>
      <c r="C752" s="6">
        <f ca="1">_xlfn.NORM.INV(RAND(),AVERAGE(Assumptions!$D$5,Assumptions!$F$5),(Assumptions!$F$5-Assumptions!$D$5)/3.29)*44</f>
        <v>1872142.6186140471</v>
      </c>
      <c r="D752" s="9">
        <f ca="1">_xlfn.NORM.INV(RAND(),AVERAGE(Assumptions!$D$6,Assumptions!$F$6),(Assumptions!$F$6-Assumptions!$D$6)/3.29)*RANDBETWEEN(2,5)</f>
        <v>2450603.9107385017</v>
      </c>
      <c r="E752" s="12">
        <f ca="1">_xlfn.NORM.INV(RAND(),AVERAGE(Assumptions!$D$17,Assumptions!$F$17),(Assumptions!$F$17-Assumptions!$D$17)/3.29)*8</f>
        <v>1137550.3384871916</v>
      </c>
      <c r="F752" s="15">
        <f ca="1">_xlfn.NORM.INV(RAND(),AVERAGE(Assumptions!$D$7,Assumptions!$F$7),(Assumptions!$F$7-Assumptions!$D$7)/3.29)*RANDBETWEEN(1,3)</f>
        <v>9364826.9326692075</v>
      </c>
      <c r="G752" s="3">
        <f ca="1">_xlfn.NORM.INV(RAND(),AVERAGE(Assumptions!$D$8,Assumptions!$F$8),(Assumptions!$F$8-Assumptions!$D$8)/3.29)*44</f>
        <v>1584772.5635156124</v>
      </c>
      <c r="H752" s="6">
        <f ca="1">_xlfn.NORM.INV(RAND(),AVERAGE(Assumptions!$D$9,Assumptions!$F$9),(Assumptions!$F$9-Assumptions!$D$9)/3.29)*21</f>
        <v>2435067.3614693992</v>
      </c>
      <c r="I752" s="9">
        <f ca="1">_xlfn.NORM.INV(RAND(),AVERAGE(Assumptions!$D$10,Assumptions!$F$10),(Assumptions!$F$10-Assumptions!$D$10)/3.29)*21</f>
        <v>719274.98627199628</v>
      </c>
      <c r="J752" s="12">
        <f ca="1">NORMINV(RAND(),AVERAGE(Assumptions!$D$11,Assumptions!$F$11),(Assumptions!$F$11-Assumptions!$D$11)/3.29)*44</f>
        <v>4234394.3797931876</v>
      </c>
      <c r="K752" s="15">
        <f ca="1">_xlfn.NORM.INV(RAND(),AVERAGE(Assumptions!$D$12,Assumptions!$F$12),(Assumptions!$F$12-Assumptions!$D$12)/3.29)*44</f>
        <v>7984155.4706908586</v>
      </c>
      <c r="L752" s="3">
        <f ca="1">_xlfn.NORM.INV(RAND(),AVERAGE(Assumptions!$D$13,Assumptions!$F$13),(Assumptions!$F$13-Assumptions!$D$13)/3.29)*44</f>
        <v>13287939.622643251</v>
      </c>
      <c r="M752" s="6">
        <f ca="1">_xlfn.NORM.INV(RAND(),AVERAGE(Assumptions!$D$14,Assumptions!$F$14),(Assumptions!$F$14-Assumptions!$D$14)/3.29)*44</f>
        <v>7292881.0232446631</v>
      </c>
      <c r="N752" s="9">
        <f ca="1">_xlfn.NORM.INV(RAND(),AVERAGE(Assumptions!$D$16,Assumptions!$F$16),(Assumptions!$F$16-Assumptions!$D$16)/3.29)*44</f>
        <v>6578186.4005207764</v>
      </c>
      <c r="O752" s="12">
        <f ca="1">_xlfn.NORM.INV(RAND(),AVERAGE(Assumptions!$D$15,Assumptions!$F$15),(Assumptions!$F$15-Assumptions!$D$15)/3.29)*44</f>
        <v>107341751.05087094</v>
      </c>
      <c r="P752" s="15">
        <f>Assumptions!$D$18</f>
        <v>14641750.345627395</v>
      </c>
      <c r="Q752" s="3">
        <f t="shared" ca="1" si="22"/>
        <v>47054155.669481635</v>
      </c>
      <c r="R752" s="6">
        <f t="shared" ca="1" si="23"/>
        <v>61695906.015109032</v>
      </c>
    </row>
    <row r="753" spans="1:18">
      <c r="A753" s="20">
        <v>752</v>
      </c>
      <c r="B753" s="3">
        <f ca="1">_xlfn.NORM.INV(RAND(),AVERAGE(Assumptions!$D$4,Assumptions!$F$4),(Assumptions!$F$4-Assumptions!$D$4)/3.29)*44</f>
        <v>1166505.1360129653</v>
      </c>
      <c r="C753" s="6">
        <f ca="1">_xlfn.NORM.INV(RAND(),AVERAGE(Assumptions!$D$5,Assumptions!$F$5),(Assumptions!$F$5-Assumptions!$D$5)/3.29)*44</f>
        <v>1892643.7881046606</v>
      </c>
      <c r="D753" s="9">
        <f ca="1">_xlfn.NORM.INV(RAND(),AVERAGE(Assumptions!$D$6,Assumptions!$F$6),(Assumptions!$F$6-Assumptions!$D$6)/3.29)*RANDBETWEEN(2,5)</f>
        <v>5013379.53561489</v>
      </c>
      <c r="E753" s="12">
        <f ca="1">_xlfn.NORM.INV(RAND(),AVERAGE(Assumptions!$D$17,Assumptions!$F$17),(Assumptions!$F$17-Assumptions!$D$17)/3.29)*8</f>
        <v>1057938.7842472978</v>
      </c>
      <c r="F753" s="15">
        <f ca="1">_xlfn.NORM.INV(RAND(),AVERAGE(Assumptions!$D$7,Assumptions!$F$7),(Assumptions!$F$7-Assumptions!$D$7)/3.29)*RANDBETWEEN(1,3)</f>
        <v>2511520.5689456393</v>
      </c>
      <c r="G753" s="3">
        <f ca="1">_xlfn.NORM.INV(RAND(),AVERAGE(Assumptions!$D$8,Assumptions!$F$8),(Assumptions!$F$8-Assumptions!$D$8)/3.29)*44</f>
        <v>1172070.5720740133</v>
      </c>
      <c r="H753" s="6">
        <f ca="1">_xlfn.NORM.INV(RAND(),AVERAGE(Assumptions!$D$9,Assumptions!$F$9),(Assumptions!$F$9-Assumptions!$D$9)/3.29)*21</f>
        <v>925956.56236657908</v>
      </c>
      <c r="I753" s="9">
        <f ca="1">_xlfn.NORM.INV(RAND(),AVERAGE(Assumptions!$D$10,Assumptions!$F$10),(Assumptions!$F$10-Assumptions!$D$10)/3.29)*21</f>
        <v>678134.15508753492</v>
      </c>
      <c r="J753" s="12">
        <f ca="1">NORMINV(RAND(),AVERAGE(Assumptions!$D$11,Assumptions!$F$11),(Assumptions!$F$11-Assumptions!$D$11)/3.29)*44</f>
        <v>6258639.0490283016</v>
      </c>
      <c r="K753" s="15">
        <f ca="1">_xlfn.NORM.INV(RAND(),AVERAGE(Assumptions!$D$12,Assumptions!$F$12),(Assumptions!$F$12-Assumptions!$D$12)/3.29)*44</f>
        <v>7002923.2330287853</v>
      </c>
      <c r="L753" s="3">
        <f ca="1">_xlfn.NORM.INV(RAND(),AVERAGE(Assumptions!$D$13,Assumptions!$F$13),(Assumptions!$F$13-Assumptions!$D$13)/3.29)*44</f>
        <v>17519515.407924842</v>
      </c>
      <c r="M753" s="6">
        <f ca="1">_xlfn.NORM.INV(RAND(),AVERAGE(Assumptions!$D$14,Assumptions!$F$14),(Assumptions!$F$14-Assumptions!$D$14)/3.29)*44</f>
        <v>5187640.4683060469</v>
      </c>
      <c r="N753" s="9">
        <f ca="1">_xlfn.NORM.INV(RAND(),AVERAGE(Assumptions!$D$16,Assumptions!$F$16),(Assumptions!$F$16-Assumptions!$D$16)/3.29)*44</f>
        <v>7970775.2185736876</v>
      </c>
      <c r="O753" s="12">
        <f ca="1">_xlfn.NORM.INV(RAND(),AVERAGE(Assumptions!$D$15,Assumptions!$F$15),(Assumptions!$F$15-Assumptions!$D$15)/3.29)*44</f>
        <v>108688696.2379083</v>
      </c>
      <c r="P753" s="15">
        <f>Assumptions!$D$18</f>
        <v>14641750.345627395</v>
      </c>
      <c r="Q753" s="3">
        <f t="shared" ca="1" si="22"/>
        <v>50331053.758593068</v>
      </c>
      <c r="R753" s="6">
        <f t="shared" ca="1" si="23"/>
        <v>64972804.104220465</v>
      </c>
    </row>
    <row r="754" spans="1:18">
      <c r="A754" s="20">
        <v>753</v>
      </c>
      <c r="B754" s="3">
        <f ca="1">_xlfn.NORM.INV(RAND(),AVERAGE(Assumptions!$D$4,Assumptions!$F$4),(Assumptions!$F$4-Assumptions!$D$4)/3.29)*44</f>
        <v>1245219.3370502528</v>
      </c>
      <c r="C754" s="6">
        <f ca="1">_xlfn.NORM.INV(RAND(),AVERAGE(Assumptions!$D$5,Assumptions!$F$5),(Assumptions!$F$5-Assumptions!$D$5)/3.29)*44</f>
        <v>1593625.1545579359</v>
      </c>
      <c r="D754" s="9">
        <f ca="1">_xlfn.NORM.INV(RAND(),AVERAGE(Assumptions!$D$6,Assumptions!$F$6),(Assumptions!$F$6-Assumptions!$D$6)/3.29)*RANDBETWEEN(2,5)</f>
        <v>9268887.4926449005</v>
      </c>
      <c r="E754" s="12">
        <f ca="1">_xlfn.NORM.INV(RAND(),AVERAGE(Assumptions!$D$17,Assumptions!$F$17),(Assumptions!$F$17-Assumptions!$D$17)/3.29)*8</f>
        <v>927731.63324181689</v>
      </c>
      <c r="F754" s="15">
        <f ca="1">_xlfn.NORM.INV(RAND(),AVERAGE(Assumptions!$D$7,Assumptions!$F$7),(Assumptions!$F$7-Assumptions!$D$7)/3.29)*RANDBETWEEN(1,3)</f>
        <v>3786134.4671527841</v>
      </c>
      <c r="G754" s="3">
        <f ca="1">_xlfn.NORM.INV(RAND(),AVERAGE(Assumptions!$D$8,Assumptions!$F$8),(Assumptions!$F$8-Assumptions!$D$8)/3.29)*44</f>
        <v>1134222.3758161629</v>
      </c>
      <c r="H754" s="6">
        <f ca="1">_xlfn.NORM.INV(RAND(),AVERAGE(Assumptions!$D$9,Assumptions!$F$9),(Assumptions!$F$9-Assumptions!$D$9)/3.29)*21</f>
        <v>5385484.1116863601</v>
      </c>
      <c r="I754" s="9">
        <f ca="1">_xlfn.NORM.INV(RAND(),AVERAGE(Assumptions!$D$10,Assumptions!$F$10),(Assumptions!$F$10-Assumptions!$D$10)/3.29)*21</f>
        <v>754635.70837226766</v>
      </c>
      <c r="J754" s="12">
        <f ca="1">NORMINV(RAND(),AVERAGE(Assumptions!$D$11,Assumptions!$F$11),(Assumptions!$F$11-Assumptions!$D$11)/3.29)*44</f>
        <v>3548868.0892437384</v>
      </c>
      <c r="K754" s="15">
        <f ca="1">_xlfn.NORM.INV(RAND(),AVERAGE(Assumptions!$D$12,Assumptions!$F$12),(Assumptions!$F$12-Assumptions!$D$12)/3.29)*44</f>
        <v>7967378.6969793988</v>
      </c>
      <c r="L754" s="3">
        <f ca="1">_xlfn.NORM.INV(RAND(),AVERAGE(Assumptions!$D$13,Assumptions!$F$13),(Assumptions!$F$13-Assumptions!$D$13)/3.29)*44</f>
        <v>13095457.1311434</v>
      </c>
      <c r="M754" s="6">
        <f ca="1">_xlfn.NORM.INV(RAND(),AVERAGE(Assumptions!$D$14,Assumptions!$F$14),(Assumptions!$F$14-Assumptions!$D$14)/3.29)*44</f>
        <v>5024291.6236205427</v>
      </c>
      <c r="N754" s="9">
        <f ca="1">_xlfn.NORM.INV(RAND(),AVERAGE(Assumptions!$D$16,Assumptions!$F$16),(Assumptions!$F$16-Assumptions!$D$16)/3.29)*44</f>
        <v>11719281.821174847</v>
      </c>
      <c r="O754" s="12">
        <f ca="1">_xlfn.NORM.INV(RAND(),AVERAGE(Assumptions!$D$15,Assumptions!$F$15),(Assumptions!$F$15-Assumptions!$D$15)/3.29)*44</f>
        <v>102831769.26009546</v>
      </c>
      <c r="P754" s="15">
        <f>Assumptions!$D$18</f>
        <v>14641750.345627395</v>
      </c>
      <c r="Q754" s="3">
        <f t="shared" ca="1" si="22"/>
        <v>37380551.617411055</v>
      </c>
      <c r="R754" s="6">
        <f t="shared" ca="1" si="23"/>
        <v>52022301.963038452</v>
      </c>
    </row>
    <row r="755" spans="1:18">
      <c r="A755" s="20">
        <v>754</v>
      </c>
      <c r="B755" s="3">
        <f ca="1">_xlfn.NORM.INV(RAND(),AVERAGE(Assumptions!$D$4,Assumptions!$F$4),(Assumptions!$F$4-Assumptions!$D$4)/3.29)*44</f>
        <v>1121668.5072923533</v>
      </c>
      <c r="C755" s="6">
        <f ca="1">_xlfn.NORM.INV(RAND(),AVERAGE(Assumptions!$D$5,Assumptions!$F$5),(Assumptions!$F$5-Assumptions!$D$5)/3.29)*44</f>
        <v>1756203.6779496684</v>
      </c>
      <c r="D755" s="9">
        <f ca="1">_xlfn.NORM.INV(RAND(),AVERAGE(Assumptions!$D$6,Assumptions!$F$6),(Assumptions!$F$6-Assumptions!$D$6)/3.29)*RANDBETWEEN(2,5)</f>
        <v>6284149.6117254365</v>
      </c>
      <c r="E755" s="12">
        <f ca="1">_xlfn.NORM.INV(RAND(),AVERAGE(Assumptions!$D$17,Assumptions!$F$17),(Assumptions!$F$17-Assumptions!$D$17)/3.29)*8</f>
        <v>1005201.6584695529</v>
      </c>
      <c r="F755" s="15">
        <f ca="1">_xlfn.NORM.INV(RAND(),AVERAGE(Assumptions!$D$7,Assumptions!$F$7),(Assumptions!$F$7-Assumptions!$D$7)/3.29)*RANDBETWEEN(1,3)</f>
        <v>6072192.3704580478</v>
      </c>
      <c r="G755" s="3">
        <f ca="1">_xlfn.NORM.INV(RAND(),AVERAGE(Assumptions!$D$8,Assumptions!$F$8),(Assumptions!$F$8-Assumptions!$D$8)/3.29)*44</f>
        <v>1145999.0484931611</v>
      </c>
      <c r="H755" s="6">
        <f ca="1">_xlfn.NORM.INV(RAND(),AVERAGE(Assumptions!$D$9,Assumptions!$F$9),(Assumptions!$F$9-Assumptions!$D$9)/3.29)*21</f>
        <v>4440695.6086630737</v>
      </c>
      <c r="I755" s="9">
        <f ca="1">_xlfn.NORM.INV(RAND(),AVERAGE(Assumptions!$D$10,Assumptions!$F$10),(Assumptions!$F$10-Assumptions!$D$10)/3.29)*21</f>
        <v>1029135.7349761891</v>
      </c>
      <c r="J755" s="12">
        <f ca="1">NORMINV(RAND(),AVERAGE(Assumptions!$D$11,Assumptions!$F$11),(Assumptions!$F$11-Assumptions!$D$11)/3.29)*44</f>
        <v>3594409.256597301</v>
      </c>
      <c r="K755" s="15">
        <f ca="1">_xlfn.NORM.INV(RAND(),AVERAGE(Assumptions!$D$12,Assumptions!$F$12),(Assumptions!$F$12-Assumptions!$D$12)/3.29)*44</f>
        <v>7415139.0513370968</v>
      </c>
      <c r="L755" s="3">
        <f ca="1">_xlfn.NORM.INV(RAND(),AVERAGE(Assumptions!$D$13,Assumptions!$F$13),(Assumptions!$F$13-Assumptions!$D$13)/3.29)*44</f>
        <v>9607387.5692871194</v>
      </c>
      <c r="M755" s="6">
        <f ca="1">_xlfn.NORM.INV(RAND(),AVERAGE(Assumptions!$D$14,Assumptions!$F$14),(Assumptions!$F$14-Assumptions!$D$14)/3.29)*44</f>
        <v>4284953.3008721964</v>
      </c>
      <c r="N755" s="9">
        <f ca="1">_xlfn.NORM.INV(RAND(),AVERAGE(Assumptions!$D$16,Assumptions!$F$16),(Assumptions!$F$16-Assumptions!$D$16)/3.29)*44</f>
        <v>10086088.892918553</v>
      </c>
      <c r="O755" s="12">
        <f ca="1">_xlfn.NORM.INV(RAND(),AVERAGE(Assumptions!$D$15,Assumptions!$F$15),(Assumptions!$F$15-Assumptions!$D$15)/3.29)*44</f>
        <v>107118783.69932638</v>
      </c>
      <c r="P755" s="15">
        <f>Assumptions!$D$18</f>
        <v>14641750.345627395</v>
      </c>
      <c r="Q755" s="3">
        <f t="shared" ca="1" si="22"/>
        <v>49275559.410286628</v>
      </c>
      <c r="R755" s="6">
        <f t="shared" ca="1" si="23"/>
        <v>63917309.755914025</v>
      </c>
    </row>
    <row r="756" spans="1:18">
      <c r="A756" s="20">
        <v>755</v>
      </c>
      <c r="B756" s="3">
        <f ca="1">_xlfn.NORM.INV(RAND(),AVERAGE(Assumptions!$D$4,Assumptions!$F$4),(Assumptions!$F$4-Assumptions!$D$4)/3.29)*44</f>
        <v>1305186.6838647907</v>
      </c>
      <c r="C756" s="6">
        <f ca="1">_xlfn.NORM.INV(RAND(),AVERAGE(Assumptions!$D$5,Assumptions!$F$5),(Assumptions!$F$5-Assumptions!$D$5)/3.29)*44</f>
        <v>1996709.7428876532</v>
      </c>
      <c r="D756" s="9">
        <f ca="1">_xlfn.NORM.INV(RAND(),AVERAGE(Assumptions!$D$6,Assumptions!$F$6),(Assumptions!$F$6-Assumptions!$D$6)/3.29)*RANDBETWEEN(2,5)</f>
        <v>5012306.6835722718</v>
      </c>
      <c r="E756" s="12">
        <f ca="1">_xlfn.NORM.INV(RAND(),AVERAGE(Assumptions!$D$17,Assumptions!$F$17),(Assumptions!$F$17-Assumptions!$D$17)/3.29)*8</f>
        <v>1091286.687520012</v>
      </c>
      <c r="F756" s="15">
        <f ca="1">_xlfn.NORM.INV(RAND(),AVERAGE(Assumptions!$D$7,Assumptions!$F$7),(Assumptions!$F$7-Assumptions!$D$7)/3.29)*RANDBETWEEN(1,3)</f>
        <v>4686331.0456296932</v>
      </c>
      <c r="G756" s="3">
        <f ca="1">_xlfn.NORM.INV(RAND(),AVERAGE(Assumptions!$D$8,Assumptions!$F$8),(Assumptions!$F$8-Assumptions!$D$8)/3.29)*44</f>
        <v>1250043.3352896175</v>
      </c>
      <c r="H756" s="6">
        <f ca="1">_xlfn.NORM.INV(RAND(),AVERAGE(Assumptions!$D$9,Assumptions!$F$9),(Assumptions!$F$9-Assumptions!$D$9)/3.29)*21</f>
        <v>5031983.3097531917</v>
      </c>
      <c r="I756" s="9">
        <f ca="1">_xlfn.NORM.INV(RAND(),AVERAGE(Assumptions!$D$10,Assumptions!$F$10),(Assumptions!$F$10-Assumptions!$D$10)/3.29)*21</f>
        <v>1059633.8751062204</v>
      </c>
      <c r="J756" s="12">
        <f ca="1">NORMINV(RAND(),AVERAGE(Assumptions!$D$11,Assumptions!$F$11),(Assumptions!$F$11-Assumptions!$D$11)/3.29)*44</f>
        <v>3741432.2369272602</v>
      </c>
      <c r="K756" s="15">
        <f ca="1">_xlfn.NORM.INV(RAND(),AVERAGE(Assumptions!$D$12,Assumptions!$F$12),(Assumptions!$F$12-Assumptions!$D$12)/3.29)*44</f>
        <v>9261104.0771075413</v>
      </c>
      <c r="L756" s="3">
        <f ca="1">_xlfn.NORM.INV(RAND(),AVERAGE(Assumptions!$D$13,Assumptions!$F$13),(Assumptions!$F$13-Assumptions!$D$13)/3.29)*44</f>
        <v>19206582.172781661</v>
      </c>
      <c r="M756" s="6">
        <f ca="1">_xlfn.NORM.INV(RAND(),AVERAGE(Assumptions!$D$14,Assumptions!$F$14),(Assumptions!$F$14-Assumptions!$D$14)/3.29)*44</f>
        <v>6070865.1208274364</v>
      </c>
      <c r="N756" s="9">
        <f ca="1">_xlfn.NORM.INV(RAND(),AVERAGE(Assumptions!$D$16,Assumptions!$F$16),(Assumptions!$F$16-Assumptions!$D$16)/3.29)*44</f>
        <v>9816867.383255966</v>
      </c>
      <c r="O756" s="12">
        <f ca="1">_xlfn.NORM.INV(RAND(),AVERAGE(Assumptions!$D$15,Assumptions!$F$15),(Assumptions!$F$15-Assumptions!$D$15)/3.29)*44</f>
        <v>21164373.082942948</v>
      </c>
      <c r="P756" s="15">
        <f>Assumptions!$D$18</f>
        <v>14641750.345627395</v>
      </c>
      <c r="Q756" s="3">
        <f t="shared" ca="1" si="22"/>
        <v>-48365959.271580368</v>
      </c>
      <c r="R756" s="6">
        <f t="shared" ca="1" si="23"/>
        <v>-33724208.925952971</v>
      </c>
    </row>
    <row r="757" spans="1:18">
      <c r="A757" s="20">
        <v>756</v>
      </c>
      <c r="B757" s="3">
        <f ca="1">_xlfn.NORM.INV(RAND(),AVERAGE(Assumptions!$D$4,Assumptions!$F$4),(Assumptions!$F$4-Assumptions!$D$4)/3.29)*44</f>
        <v>1182707.3543110583</v>
      </c>
      <c r="C757" s="6">
        <f ca="1">_xlfn.NORM.INV(RAND(),AVERAGE(Assumptions!$D$5,Assumptions!$F$5),(Assumptions!$F$5-Assumptions!$D$5)/3.29)*44</f>
        <v>1941492.2555893813</v>
      </c>
      <c r="D757" s="9">
        <f ca="1">_xlfn.NORM.INV(RAND(),AVERAGE(Assumptions!$D$6,Assumptions!$F$6),(Assumptions!$F$6-Assumptions!$D$6)/3.29)*RANDBETWEEN(2,5)</f>
        <v>1791155.9056526278</v>
      </c>
      <c r="E757" s="12">
        <f ca="1">_xlfn.NORM.INV(RAND(),AVERAGE(Assumptions!$D$17,Assumptions!$F$17),(Assumptions!$F$17-Assumptions!$D$17)/3.29)*8</f>
        <v>961869.84281134594</v>
      </c>
      <c r="F757" s="15">
        <f ca="1">_xlfn.NORM.INV(RAND(),AVERAGE(Assumptions!$D$7,Assumptions!$F$7),(Assumptions!$F$7-Assumptions!$D$7)/3.29)*RANDBETWEEN(1,3)</f>
        <v>2762023.4624651605</v>
      </c>
      <c r="G757" s="3">
        <f ca="1">_xlfn.NORM.INV(RAND(),AVERAGE(Assumptions!$D$8,Assumptions!$F$8),(Assumptions!$F$8-Assumptions!$D$8)/3.29)*44</f>
        <v>1382618.0637083824</v>
      </c>
      <c r="H757" s="6">
        <f ca="1">_xlfn.NORM.INV(RAND(),AVERAGE(Assumptions!$D$9,Assumptions!$F$9),(Assumptions!$F$9-Assumptions!$D$9)/3.29)*21</f>
        <v>4297288.870662706</v>
      </c>
      <c r="I757" s="9">
        <f ca="1">_xlfn.NORM.INV(RAND(),AVERAGE(Assumptions!$D$10,Assumptions!$F$10),(Assumptions!$F$10-Assumptions!$D$10)/3.29)*21</f>
        <v>612498.04380649934</v>
      </c>
      <c r="J757" s="12">
        <f ca="1">NORMINV(RAND(),AVERAGE(Assumptions!$D$11,Assumptions!$F$11),(Assumptions!$F$11-Assumptions!$D$11)/3.29)*44</f>
        <v>3129863.6644248227</v>
      </c>
      <c r="K757" s="15">
        <f ca="1">_xlfn.NORM.INV(RAND(),AVERAGE(Assumptions!$D$12,Assumptions!$F$12),(Assumptions!$F$12-Assumptions!$D$12)/3.29)*44</f>
        <v>9206900.2383008488</v>
      </c>
      <c r="L757" s="3">
        <f ca="1">_xlfn.NORM.INV(RAND(),AVERAGE(Assumptions!$D$13,Assumptions!$F$13),(Assumptions!$F$13-Assumptions!$D$13)/3.29)*44</f>
        <v>9714992.5946036316</v>
      </c>
      <c r="M757" s="6">
        <f ca="1">_xlfn.NORM.INV(RAND(),AVERAGE(Assumptions!$D$14,Assumptions!$F$14),(Assumptions!$F$14-Assumptions!$D$14)/3.29)*44</f>
        <v>6279071.1874091877</v>
      </c>
      <c r="N757" s="9">
        <f ca="1">_xlfn.NORM.INV(RAND(),AVERAGE(Assumptions!$D$16,Assumptions!$F$16),(Assumptions!$F$16-Assumptions!$D$16)/3.29)*44</f>
        <v>18327087.788137734</v>
      </c>
      <c r="O757" s="12">
        <f ca="1">_xlfn.NORM.INV(RAND(),AVERAGE(Assumptions!$D$15,Assumptions!$F$15),(Assumptions!$F$15-Assumptions!$D$15)/3.29)*44</f>
        <v>155144603.66166115</v>
      </c>
      <c r="P757" s="15">
        <f>Assumptions!$D$18</f>
        <v>14641750.345627395</v>
      </c>
      <c r="Q757" s="3">
        <f t="shared" ca="1" si="22"/>
        <v>93555034.389777765</v>
      </c>
      <c r="R757" s="6">
        <f t="shared" ca="1" si="23"/>
        <v>108196784.73540516</v>
      </c>
    </row>
    <row r="758" spans="1:18">
      <c r="A758" s="20">
        <v>757</v>
      </c>
      <c r="B758" s="3">
        <f ca="1">_xlfn.NORM.INV(RAND(),AVERAGE(Assumptions!$D$4,Assumptions!$F$4),(Assumptions!$F$4-Assumptions!$D$4)/3.29)*44</f>
        <v>1193325.7798762834</v>
      </c>
      <c r="C758" s="6">
        <f ca="1">_xlfn.NORM.INV(RAND(),AVERAGE(Assumptions!$D$5,Assumptions!$F$5),(Assumptions!$F$5-Assumptions!$D$5)/3.29)*44</f>
        <v>1679228.9316115952</v>
      </c>
      <c r="D758" s="9">
        <f ca="1">_xlfn.NORM.INV(RAND(),AVERAGE(Assumptions!$D$6,Assumptions!$F$6),(Assumptions!$F$6-Assumptions!$D$6)/3.29)*RANDBETWEEN(2,5)</f>
        <v>3870051.7085412652</v>
      </c>
      <c r="E758" s="12">
        <f ca="1">_xlfn.NORM.INV(RAND(),AVERAGE(Assumptions!$D$17,Assumptions!$F$17),(Assumptions!$F$17-Assumptions!$D$17)/3.29)*8</f>
        <v>1065580.0846097858</v>
      </c>
      <c r="F758" s="15">
        <f ca="1">_xlfn.NORM.INV(RAND(),AVERAGE(Assumptions!$D$7,Assumptions!$F$7),(Assumptions!$F$7-Assumptions!$D$7)/3.29)*RANDBETWEEN(1,3)</f>
        <v>4983846.177820567</v>
      </c>
      <c r="G758" s="3">
        <f ca="1">_xlfn.NORM.INV(RAND(),AVERAGE(Assumptions!$D$8,Assumptions!$F$8),(Assumptions!$F$8-Assumptions!$D$8)/3.29)*44</f>
        <v>919035.31361097784</v>
      </c>
      <c r="H758" s="6">
        <f ca="1">_xlfn.NORM.INV(RAND(),AVERAGE(Assumptions!$D$9,Assumptions!$F$9),(Assumptions!$F$9-Assumptions!$D$9)/3.29)*21</f>
        <v>5057240.1236930341</v>
      </c>
      <c r="I758" s="9">
        <f ca="1">_xlfn.NORM.INV(RAND(),AVERAGE(Assumptions!$D$10,Assumptions!$F$10),(Assumptions!$F$10-Assumptions!$D$10)/3.29)*21</f>
        <v>1073399.1440650178</v>
      </c>
      <c r="J758" s="12">
        <f ca="1">NORMINV(RAND(),AVERAGE(Assumptions!$D$11,Assumptions!$F$11),(Assumptions!$F$11-Assumptions!$D$11)/3.29)*44</f>
        <v>4788625.0396339698</v>
      </c>
      <c r="K758" s="15">
        <f ca="1">_xlfn.NORM.INV(RAND(),AVERAGE(Assumptions!$D$12,Assumptions!$F$12),(Assumptions!$F$12-Assumptions!$D$12)/3.29)*44</f>
        <v>8720240.4644909706</v>
      </c>
      <c r="L758" s="3">
        <f ca="1">_xlfn.NORM.INV(RAND(),AVERAGE(Assumptions!$D$13,Assumptions!$F$13),(Assumptions!$F$13-Assumptions!$D$13)/3.29)*44</f>
        <v>17214998.779813223</v>
      </c>
      <c r="M758" s="6">
        <f ca="1">_xlfn.NORM.INV(RAND(),AVERAGE(Assumptions!$D$14,Assumptions!$F$14),(Assumptions!$F$14-Assumptions!$D$14)/3.29)*44</f>
        <v>8209483.5639315965</v>
      </c>
      <c r="N758" s="9">
        <f ca="1">_xlfn.NORM.INV(RAND(),AVERAGE(Assumptions!$D$16,Assumptions!$F$16),(Assumptions!$F$16-Assumptions!$D$16)/3.29)*44</f>
        <v>14824925.07425512</v>
      </c>
      <c r="O758" s="12">
        <f ca="1">_xlfn.NORM.INV(RAND(),AVERAGE(Assumptions!$D$15,Assumptions!$F$15),(Assumptions!$F$15-Assumptions!$D$15)/3.29)*44</f>
        <v>138305544.54024822</v>
      </c>
      <c r="P758" s="15">
        <f>Assumptions!$D$18</f>
        <v>14641750.345627395</v>
      </c>
      <c r="Q758" s="3">
        <f t="shared" ca="1" si="22"/>
        <v>64705564.354294792</v>
      </c>
      <c r="R758" s="6">
        <f t="shared" ca="1" si="23"/>
        <v>79347314.699922189</v>
      </c>
    </row>
    <row r="759" spans="1:18">
      <c r="A759" s="20">
        <v>758</v>
      </c>
      <c r="B759" s="3">
        <f ca="1">_xlfn.NORM.INV(RAND(),AVERAGE(Assumptions!$D$4,Assumptions!$F$4),(Assumptions!$F$4-Assumptions!$D$4)/3.29)*44</f>
        <v>1260719.2141668948</v>
      </c>
      <c r="C759" s="6">
        <f ca="1">_xlfn.NORM.INV(RAND(),AVERAGE(Assumptions!$D$5,Assumptions!$F$5),(Assumptions!$F$5-Assumptions!$D$5)/3.29)*44</f>
        <v>2109159.7574228114</v>
      </c>
      <c r="D759" s="9">
        <f ca="1">_xlfn.NORM.INV(RAND(),AVERAGE(Assumptions!$D$6,Assumptions!$F$6),(Assumptions!$F$6-Assumptions!$D$6)/3.29)*RANDBETWEEN(2,5)</f>
        <v>5725063.6089637205</v>
      </c>
      <c r="E759" s="12">
        <f ca="1">_xlfn.NORM.INV(RAND(),AVERAGE(Assumptions!$D$17,Assumptions!$F$17),(Assumptions!$F$17-Assumptions!$D$17)/3.29)*8</f>
        <v>960196.7002522184</v>
      </c>
      <c r="F759" s="15">
        <f ca="1">_xlfn.NORM.INV(RAND(),AVERAGE(Assumptions!$D$7,Assumptions!$F$7),(Assumptions!$F$7-Assumptions!$D$7)/3.29)*RANDBETWEEN(1,3)</f>
        <v>2670867.0082869492</v>
      </c>
      <c r="G759" s="3">
        <f ca="1">_xlfn.NORM.INV(RAND(),AVERAGE(Assumptions!$D$8,Assumptions!$F$8),(Assumptions!$F$8-Assumptions!$D$8)/3.29)*44</f>
        <v>1144345.3554984697</v>
      </c>
      <c r="H759" s="6">
        <f ca="1">_xlfn.NORM.INV(RAND(),AVERAGE(Assumptions!$D$9,Assumptions!$F$9),(Assumptions!$F$9-Assumptions!$D$9)/3.29)*21</f>
        <v>3792076.9782232633</v>
      </c>
      <c r="I759" s="9">
        <f ca="1">_xlfn.NORM.INV(RAND(),AVERAGE(Assumptions!$D$10,Assumptions!$F$10),(Assumptions!$F$10-Assumptions!$D$10)/3.29)*21</f>
        <v>1417427.5592546328</v>
      </c>
      <c r="J759" s="12">
        <f ca="1">NORMINV(RAND(),AVERAGE(Assumptions!$D$11,Assumptions!$F$11),(Assumptions!$F$11-Assumptions!$D$11)/3.29)*44</f>
        <v>2324427.8444521064</v>
      </c>
      <c r="K759" s="15">
        <f ca="1">_xlfn.NORM.INV(RAND(),AVERAGE(Assumptions!$D$12,Assumptions!$F$12),(Assumptions!$F$12-Assumptions!$D$12)/3.29)*44</f>
        <v>9035200.9021278247</v>
      </c>
      <c r="L759" s="3">
        <f ca="1">_xlfn.NORM.INV(RAND(),AVERAGE(Assumptions!$D$13,Assumptions!$F$13),(Assumptions!$F$13-Assumptions!$D$13)/3.29)*44</f>
        <v>24438801.763834506</v>
      </c>
      <c r="M759" s="6">
        <f ca="1">_xlfn.NORM.INV(RAND(),AVERAGE(Assumptions!$D$14,Assumptions!$F$14),(Assumptions!$F$14-Assumptions!$D$14)/3.29)*44</f>
        <v>4665955.4404262444</v>
      </c>
      <c r="N759" s="9">
        <f ca="1">_xlfn.NORM.INV(RAND(),AVERAGE(Assumptions!$D$16,Assumptions!$F$16),(Assumptions!$F$16-Assumptions!$D$16)/3.29)*44</f>
        <v>10407135.296526255</v>
      </c>
      <c r="O759" s="12">
        <f ca="1">_xlfn.NORM.INV(RAND(),AVERAGE(Assumptions!$D$15,Assumptions!$F$15),(Assumptions!$F$15-Assumptions!$D$15)/3.29)*44</f>
        <v>149486597.3276816</v>
      </c>
      <c r="P759" s="15">
        <f>Assumptions!$D$18</f>
        <v>14641750.345627395</v>
      </c>
      <c r="Q759" s="3">
        <f t="shared" ca="1" si="22"/>
        <v>79535219.898245707</v>
      </c>
      <c r="R759" s="6">
        <f t="shared" ca="1" si="23"/>
        <v>94176970.243873104</v>
      </c>
    </row>
    <row r="760" spans="1:18">
      <c r="A760" s="20">
        <v>759</v>
      </c>
      <c r="B760" s="3">
        <f ca="1">_xlfn.NORM.INV(RAND(),AVERAGE(Assumptions!$D$4,Assumptions!$F$4),(Assumptions!$F$4-Assumptions!$D$4)/3.29)*44</f>
        <v>1048667.4079458585</v>
      </c>
      <c r="C760" s="6">
        <f ca="1">_xlfn.NORM.INV(RAND(),AVERAGE(Assumptions!$D$5,Assumptions!$F$5),(Assumptions!$F$5-Assumptions!$D$5)/3.29)*44</f>
        <v>1859505.5319745624</v>
      </c>
      <c r="D760" s="9">
        <f ca="1">_xlfn.NORM.INV(RAND(),AVERAGE(Assumptions!$D$6,Assumptions!$F$6),(Assumptions!$F$6-Assumptions!$D$6)/3.29)*RANDBETWEEN(2,5)</f>
        <v>8299976.048391996</v>
      </c>
      <c r="E760" s="12">
        <f ca="1">_xlfn.NORM.INV(RAND(),AVERAGE(Assumptions!$D$17,Assumptions!$F$17),(Assumptions!$F$17-Assumptions!$D$17)/3.29)*8</f>
        <v>1266405.2260518768</v>
      </c>
      <c r="F760" s="15">
        <f ca="1">_xlfn.NORM.INV(RAND(),AVERAGE(Assumptions!$D$7,Assumptions!$F$7),(Assumptions!$F$7-Assumptions!$D$7)/3.29)*RANDBETWEEN(1,3)</f>
        <v>5132201.083227844</v>
      </c>
      <c r="G760" s="3">
        <f ca="1">_xlfn.NORM.INV(RAND(),AVERAGE(Assumptions!$D$8,Assumptions!$F$8),(Assumptions!$F$8-Assumptions!$D$8)/3.29)*44</f>
        <v>1255734.2543251789</v>
      </c>
      <c r="H760" s="6">
        <f ca="1">_xlfn.NORM.INV(RAND(),AVERAGE(Assumptions!$D$9,Assumptions!$F$9),(Assumptions!$F$9-Assumptions!$D$9)/3.29)*21</f>
        <v>3468267.28244814</v>
      </c>
      <c r="I760" s="9">
        <f ca="1">_xlfn.NORM.INV(RAND(),AVERAGE(Assumptions!$D$10,Assumptions!$F$10),(Assumptions!$F$10-Assumptions!$D$10)/3.29)*21</f>
        <v>1189959.4859365171</v>
      </c>
      <c r="J760" s="12">
        <f ca="1">NORMINV(RAND(),AVERAGE(Assumptions!$D$11,Assumptions!$F$11),(Assumptions!$F$11-Assumptions!$D$11)/3.29)*44</f>
        <v>2817976.983146423</v>
      </c>
      <c r="K760" s="15">
        <f ca="1">_xlfn.NORM.INV(RAND(),AVERAGE(Assumptions!$D$12,Assumptions!$F$12),(Assumptions!$F$12-Assumptions!$D$12)/3.29)*44</f>
        <v>8307036.4810892362</v>
      </c>
      <c r="L760" s="3">
        <f ca="1">_xlfn.NORM.INV(RAND(),AVERAGE(Assumptions!$D$13,Assumptions!$F$13),(Assumptions!$F$13-Assumptions!$D$13)/3.29)*44</f>
        <v>12484621.637606248</v>
      </c>
      <c r="M760" s="6">
        <f ca="1">_xlfn.NORM.INV(RAND(),AVERAGE(Assumptions!$D$14,Assumptions!$F$14),(Assumptions!$F$14-Assumptions!$D$14)/3.29)*44</f>
        <v>4687191.8449315801</v>
      </c>
      <c r="N760" s="9">
        <f ca="1">_xlfn.NORM.INV(RAND(),AVERAGE(Assumptions!$D$16,Assumptions!$F$16),(Assumptions!$F$16-Assumptions!$D$16)/3.29)*44</f>
        <v>12412191.179078357</v>
      </c>
      <c r="O760" s="12">
        <f ca="1">_xlfn.NORM.INV(RAND(),AVERAGE(Assumptions!$D$15,Assumptions!$F$15),(Assumptions!$F$15-Assumptions!$D$15)/3.29)*44</f>
        <v>187235731.71339816</v>
      </c>
      <c r="P760" s="15">
        <f>Assumptions!$D$18</f>
        <v>14641750.345627395</v>
      </c>
      <c r="Q760" s="3">
        <f t="shared" ca="1" si="22"/>
        <v>123005997.26724434</v>
      </c>
      <c r="R760" s="6">
        <f t="shared" ca="1" si="23"/>
        <v>137647747.61287174</v>
      </c>
    </row>
    <row r="761" spans="1:18">
      <c r="A761" s="20">
        <v>760</v>
      </c>
      <c r="B761" s="3">
        <f ca="1">_xlfn.NORM.INV(RAND(),AVERAGE(Assumptions!$D$4,Assumptions!$F$4),(Assumptions!$F$4-Assumptions!$D$4)/3.29)*44</f>
        <v>1279446.7527537213</v>
      </c>
      <c r="C761" s="6">
        <f ca="1">_xlfn.NORM.INV(RAND(),AVERAGE(Assumptions!$D$5,Assumptions!$F$5),(Assumptions!$F$5-Assumptions!$D$5)/3.29)*44</f>
        <v>1783223.8776606945</v>
      </c>
      <c r="D761" s="9">
        <f ca="1">_xlfn.NORM.INV(RAND(),AVERAGE(Assumptions!$D$6,Assumptions!$F$6),(Assumptions!$F$6-Assumptions!$D$6)/3.29)*RANDBETWEEN(2,5)</f>
        <v>2665762.229361074</v>
      </c>
      <c r="E761" s="12">
        <f ca="1">_xlfn.NORM.INV(RAND(),AVERAGE(Assumptions!$D$17,Assumptions!$F$17),(Assumptions!$F$17-Assumptions!$D$17)/3.29)*8</f>
        <v>1246033.86648985</v>
      </c>
      <c r="F761" s="15">
        <f ca="1">_xlfn.NORM.INV(RAND(),AVERAGE(Assumptions!$D$7,Assumptions!$F$7),(Assumptions!$F$7-Assumptions!$D$7)/3.29)*RANDBETWEEN(1,3)</f>
        <v>8774352.6768455934</v>
      </c>
      <c r="G761" s="3">
        <f ca="1">_xlfn.NORM.INV(RAND(),AVERAGE(Assumptions!$D$8,Assumptions!$F$8),(Assumptions!$F$8-Assumptions!$D$8)/3.29)*44</f>
        <v>1364462.2589791769</v>
      </c>
      <c r="H761" s="6">
        <f ca="1">_xlfn.NORM.INV(RAND(),AVERAGE(Assumptions!$D$9,Assumptions!$F$9),(Assumptions!$F$9-Assumptions!$D$9)/3.29)*21</f>
        <v>4518547.9078674344</v>
      </c>
      <c r="I761" s="9">
        <f ca="1">_xlfn.NORM.INV(RAND(),AVERAGE(Assumptions!$D$10,Assumptions!$F$10),(Assumptions!$F$10-Assumptions!$D$10)/3.29)*21</f>
        <v>576567.07946063275</v>
      </c>
      <c r="J761" s="12">
        <f ca="1">NORMINV(RAND(),AVERAGE(Assumptions!$D$11,Assumptions!$F$11),(Assumptions!$F$11-Assumptions!$D$11)/3.29)*44</f>
        <v>3002267.2477184101</v>
      </c>
      <c r="K761" s="15">
        <f ca="1">_xlfn.NORM.INV(RAND(),AVERAGE(Assumptions!$D$12,Assumptions!$F$12),(Assumptions!$F$12-Assumptions!$D$12)/3.29)*44</f>
        <v>8136067.125926109</v>
      </c>
      <c r="L761" s="3">
        <f ca="1">_xlfn.NORM.INV(RAND(),AVERAGE(Assumptions!$D$13,Assumptions!$F$13),(Assumptions!$F$13-Assumptions!$D$13)/3.29)*44</f>
        <v>5307535.8324927157</v>
      </c>
      <c r="M761" s="6">
        <f ca="1">_xlfn.NORM.INV(RAND(),AVERAGE(Assumptions!$D$14,Assumptions!$F$14),(Assumptions!$F$14-Assumptions!$D$14)/3.29)*44</f>
        <v>6994197.6408646526</v>
      </c>
      <c r="N761" s="9">
        <f ca="1">_xlfn.NORM.INV(RAND(),AVERAGE(Assumptions!$D$16,Assumptions!$F$16),(Assumptions!$F$16-Assumptions!$D$16)/3.29)*44</f>
        <v>9657583.5602727011</v>
      </c>
      <c r="O761" s="12">
        <f ca="1">_xlfn.NORM.INV(RAND(),AVERAGE(Assumptions!$D$15,Assumptions!$F$15),(Assumptions!$F$15-Assumptions!$D$15)/3.29)*44</f>
        <v>79887856.629446507</v>
      </c>
      <c r="P761" s="15">
        <f>Assumptions!$D$18</f>
        <v>14641750.345627395</v>
      </c>
      <c r="Q761" s="3">
        <f t="shared" ca="1" si="22"/>
        <v>24581808.572753742</v>
      </c>
      <c r="R761" s="6">
        <f t="shared" ca="1" si="23"/>
        <v>39223558.91838114</v>
      </c>
    </row>
    <row r="762" spans="1:18">
      <c r="A762" s="20">
        <v>761</v>
      </c>
      <c r="B762" s="3">
        <f ca="1">_xlfn.NORM.INV(RAND(),AVERAGE(Assumptions!$D$4,Assumptions!$F$4),(Assumptions!$F$4-Assumptions!$D$4)/3.29)*44</f>
        <v>1245864.1803546683</v>
      </c>
      <c r="C762" s="6">
        <f ca="1">_xlfn.NORM.INV(RAND(),AVERAGE(Assumptions!$D$5,Assumptions!$F$5),(Assumptions!$F$5-Assumptions!$D$5)/3.29)*44</f>
        <v>1707053.6163025398</v>
      </c>
      <c r="D762" s="9">
        <f ca="1">_xlfn.NORM.INV(RAND(),AVERAGE(Assumptions!$D$6,Assumptions!$F$6),(Assumptions!$F$6-Assumptions!$D$6)/3.29)*RANDBETWEEN(2,5)</f>
        <v>4207177.1463842727</v>
      </c>
      <c r="E762" s="12">
        <f ca="1">_xlfn.NORM.INV(RAND(),AVERAGE(Assumptions!$D$17,Assumptions!$F$17),(Assumptions!$F$17-Assumptions!$D$17)/3.29)*8</f>
        <v>895590.01450956881</v>
      </c>
      <c r="F762" s="15">
        <f ca="1">_xlfn.NORM.INV(RAND(),AVERAGE(Assumptions!$D$7,Assumptions!$F$7),(Assumptions!$F$7-Assumptions!$D$7)/3.29)*RANDBETWEEN(1,3)</f>
        <v>3685824.6195661174</v>
      </c>
      <c r="G762" s="3">
        <f ca="1">_xlfn.NORM.INV(RAND(),AVERAGE(Assumptions!$D$8,Assumptions!$F$8),(Assumptions!$F$8-Assumptions!$D$8)/3.29)*44</f>
        <v>957294.4539875167</v>
      </c>
      <c r="H762" s="6">
        <f ca="1">_xlfn.NORM.INV(RAND(),AVERAGE(Assumptions!$D$9,Assumptions!$F$9),(Assumptions!$F$9-Assumptions!$D$9)/3.29)*21</f>
        <v>3905529.7420399962</v>
      </c>
      <c r="I762" s="9">
        <f ca="1">_xlfn.NORM.INV(RAND(),AVERAGE(Assumptions!$D$10,Assumptions!$F$10),(Assumptions!$F$10-Assumptions!$D$10)/3.29)*21</f>
        <v>975216.03820949199</v>
      </c>
      <c r="J762" s="12">
        <f ca="1">NORMINV(RAND(),AVERAGE(Assumptions!$D$11,Assumptions!$F$11),(Assumptions!$F$11-Assumptions!$D$11)/3.29)*44</f>
        <v>2900489.5019249087</v>
      </c>
      <c r="K762" s="15">
        <f ca="1">_xlfn.NORM.INV(RAND(),AVERAGE(Assumptions!$D$12,Assumptions!$F$12),(Assumptions!$F$12-Assumptions!$D$12)/3.29)*44</f>
        <v>9934606.8793234862</v>
      </c>
      <c r="L762" s="3">
        <f ca="1">_xlfn.NORM.INV(RAND(),AVERAGE(Assumptions!$D$13,Assumptions!$F$13),(Assumptions!$F$13-Assumptions!$D$13)/3.29)*44</f>
        <v>10243714.527404495</v>
      </c>
      <c r="M762" s="6">
        <f ca="1">_xlfn.NORM.INV(RAND(),AVERAGE(Assumptions!$D$14,Assumptions!$F$14),(Assumptions!$F$14-Assumptions!$D$14)/3.29)*44</f>
        <v>5131256.4589743558</v>
      </c>
      <c r="N762" s="9">
        <f ca="1">_xlfn.NORM.INV(RAND(),AVERAGE(Assumptions!$D$16,Assumptions!$F$16),(Assumptions!$F$16-Assumptions!$D$16)/3.29)*44</f>
        <v>11857884.120314963</v>
      </c>
      <c r="O762" s="12">
        <f ca="1">_xlfn.NORM.INV(RAND(),AVERAGE(Assumptions!$D$15,Assumptions!$F$15),(Assumptions!$F$15-Assumptions!$D$15)/3.29)*44</f>
        <v>124764622.36500043</v>
      </c>
      <c r="P762" s="15">
        <f>Assumptions!$D$18</f>
        <v>14641750.345627395</v>
      </c>
      <c r="Q762" s="3">
        <f t="shared" ca="1" si="22"/>
        <v>67117121.065704048</v>
      </c>
      <c r="R762" s="6">
        <f t="shared" ca="1" si="23"/>
        <v>81758871.411331445</v>
      </c>
    </row>
    <row r="763" spans="1:18">
      <c r="A763" s="20">
        <v>762</v>
      </c>
      <c r="B763" s="3">
        <f ca="1">_xlfn.NORM.INV(RAND(),AVERAGE(Assumptions!$D$4,Assumptions!$F$4),(Assumptions!$F$4-Assumptions!$D$4)/3.29)*44</f>
        <v>1275530.2212870421</v>
      </c>
      <c r="C763" s="6">
        <f ca="1">_xlfn.NORM.INV(RAND(),AVERAGE(Assumptions!$D$5,Assumptions!$F$5),(Assumptions!$F$5-Assumptions!$D$5)/3.29)*44</f>
        <v>2397531.3191148415</v>
      </c>
      <c r="D763" s="9">
        <f ca="1">_xlfn.NORM.INV(RAND(),AVERAGE(Assumptions!$D$6,Assumptions!$F$6),(Assumptions!$F$6-Assumptions!$D$6)/3.29)*RANDBETWEEN(2,5)</f>
        <v>8028317.9900479419</v>
      </c>
      <c r="E763" s="12">
        <f ca="1">_xlfn.NORM.INV(RAND(),AVERAGE(Assumptions!$D$17,Assumptions!$F$17),(Assumptions!$F$17-Assumptions!$D$17)/3.29)*8</f>
        <v>971031.88863702398</v>
      </c>
      <c r="F763" s="15">
        <f ca="1">_xlfn.NORM.INV(RAND(),AVERAGE(Assumptions!$D$7,Assumptions!$F$7),(Assumptions!$F$7-Assumptions!$D$7)/3.29)*RANDBETWEEN(1,3)</f>
        <v>5945076.1582025057</v>
      </c>
      <c r="G763" s="3">
        <f ca="1">_xlfn.NORM.INV(RAND(),AVERAGE(Assumptions!$D$8,Assumptions!$F$8),(Assumptions!$F$8-Assumptions!$D$8)/3.29)*44</f>
        <v>1028266.8968804128</v>
      </c>
      <c r="H763" s="6">
        <f ca="1">_xlfn.NORM.INV(RAND(),AVERAGE(Assumptions!$D$9,Assumptions!$F$9),(Assumptions!$F$9-Assumptions!$D$9)/3.29)*21</f>
        <v>2755078.461570261</v>
      </c>
      <c r="I763" s="9">
        <f ca="1">_xlfn.NORM.INV(RAND(),AVERAGE(Assumptions!$D$10,Assumptions!$F$10),(Assumptions!$F$10-Assumptions!$D$10)/3.29)*21</f>
        <v>1047761.6551333223</v>
      </c>
      <c r="J763" s="12">
        <f ca="1">NORMINV(RAND(),AVERAGE(Assumptions!$D$11,Assumptions!$F$11),(Assumptions!$F$11-Assumptions!$D$11)/3.29)*44</f>
        <v>2764425.6164690591</v>
      </c>
      <c r="K763" s="15">
        <f ca="1">_xlfn.NORM.INV(RAND(),AVERAGE(Assumptions!$D$12,Assumptions!$F$12),(Assumptions!$F$12-Assumptions!$D$12)/3.29)*44</f>
        <v>7066676.761007404</v>
      </c>
      <c r="L763" s="3">
        <f ca="1">_xlfn.NORM.INV(RAND(),AVERAGE(Assumptions!$D$13,Assumptions!$F$13),(Assumptions!$F$13-Assumptions!$D$13)/3.29)*44</f>
        <v>21408325.411772758</v>
      </c>
      <c r="M763" s="6">
        <f ca="1">_xlfn.NORM.INV(RAND(),AVERAGE(Assumptions!$D$14,Assumptions!$F$14),(Assumptions!$F$14-Assumptions!$D$14)/3.29)*44</f>
        <v>6309297.7181909997</v>
      </c>
      <c r="N763" s="9">
        <f ca="1">_xlfn.NORM.INV(RAND(),AVERAGE(Assumptions!$D$16,Assumptions!$F$16),(Assumptions!$F$16-Assumptions!$D$16)/3.29)*44</f>
        <v>12862178.235085644</v>
      </c>
      <c r="O763" s="12">
        <f ca="1">_xlfn.NORM.INV(RAND(),AVERAGE(Assumptions!$D$15,Assumptions!$F$15),(Assumptions!$F$15-Assumptions!$D$15)/3.29)*44</f>
        <v>146219211.26477641</v>
      </c>
      <c r="P763" s="15">
        <f>Assumptions!$D$18</f>
        <v>14641750.345627395</v>
      </c>
      <c r="Q763" s="3">
        <f t="shared" ca="1" si="22"/>
        <v>72359712.931377187</v>
      </c>
      <c r="R763" s="6">
        <f t="shared" ca="1" si="23"/>
        <v>87001463.277004585</v>
      </c>
    </row>
    <row r="764" spans="1:18">
      <c r="A764" s="20">
        <v>763</v>
      </c>
      <c r="B764" s="3">
        <f ca="1">_xlfn.NORM.INV(RAND(),AVERAGE(Assumptions!$D$4,Assumptions!$F$4),(Assumptions!$F$4-Assumptions!$D$4)/3.29)*44</f>
        <v>1130830.3974111518</v>
      </c>
      <c r="C764" s="6">
        <f ca="1">_xlfn.NORM.INV(RAND(),AVERAGE(Assumptions!$D$5,Assumptions!$F$5),(Assumptions!$F$5-Assumptions!$D$5)/3.29)*44</f>
        <v>1908656.1603038788</v>
      </c>
      <c r="D764" s="9">
        <f ca="1">_xlfn.NORM.INV(RAND(),AVERAGE(Assumptions!$D$6,Assumptions!$F$6),(Assumptions!$F$6-Assumptions!$D$6)/3.29)*RANDBETWEEN(2,5)</f>
        <v>5813878.0086859707</v>
      </c>
      <c r="E764" s="12">
        <f ca="1">_xlfn.NORM.INV(RAND(),AVERAGE(Assumptions!$D$17,Assumptions!$F$17),(Assumptions!$F$17-Assumptions!$D$17)/3.29)*8</f>
        <v>994546.4874298746</v>
      </c>
      <c r="F764" s="15">
        <f ca="1">_xlfn.NORM.INV(RAND(),AVERAGE(Assumptions!$D$7,Assumptions!$F$7),(Assumptions!$F$7-Assumptions!$D$7)/3.29)*RANDBETWEEN(1,3)</f>
        <v>8046987.5750034628</v>
      </c>
      <c r="G764" s="3">
        <f ca="1">_xlfn.NORM.INV(RAND(),AVERAGE(Assumptions!$D$8,Assumptions!$F$8),(Assumptions!$F$8-Assumptions!$D$8)/3.29)*44</f>
        <v>1565468.6169860018</v>
      </c>
      <c r="H764" s="6">
        <f ca="1">_xlfn.NORM.INV(RAND(),AVERAGE(Assumptions!$D$9,Assumptions!$F$9),(Assumptions!$F$9-Assumptions!$D$9)/3.29)*21</f>
        <v>4153090.2046702085</v>
      </c>
      <c r="I764" s="9">
        <f ca="1">_xlfn.NORM.INV(RAND(),AVERAGE(Assumptions!$D$10,Assumptions!$F$10),(Assumptions!$F$10-Assumptions!$D$10)/3.29)*21</f>
        <v>855910.39977997716</v>
      </c>
      <c r="J764" s="12">
        <f ca="1">NORMINV(RAND(),AVERAGE(Assumptions!$D$11,Assumptions!$F$11),(Assumptions!$F$11-Assumptions!$D$11)/3.29)*44</f>
        <v>3464820.456973156</v>
      </c>
      <c r="K764" s="15">
        <f ca="1">_xlfn.NORM.INV(RAND(),AVERAGE(Assumptions!$D$12,Assumptions!$F$12),(Assumptions!$F$12-Assumptions!$D$12)/3.29)*44</f>
        <v>9139195.8164106514</v>
      </c>
      <c r="L764" s="3">
        <f ca="1">_xlfn.NORM.INV(RAND(),AVERAGE(Assumptions!$D$13,Assumptions!$F$13),(Assumptions!$F$13-Assumptions!$D$13)/3.29)*44</f>
        <v>21217165.888989631</v>
      </c>
      <c r="M764" s="6">
        <f ca="1">_xlfn.NORM.INV(RAND(),AVERAGE(Assumptions!$D$14,Assumptions!$F$14),(Assumptions!$F$14-Assumptions!$D$14)/3.29)*44</f>
        <v>7870528.0027067028</v>
      </c>
      <c r="N764" s="9">
        <f ca="1">_xlfn.NORM.INV(RAND(),AVERAGE(Assumptions!$D$16,Assumptions!$F$16),(Assumptions!$F$16-Assumptions!$D$16)/3.29)*44</f>
        <v>5900744.4895251896</v>
      </c>
      <c r="O764" s="12">
        <f ca="1">_xlfn.NORM.INV(RAND(),AVERAGE(Assumptions!$D$15,Assumptions!$F$15),(Assumptions!$F$15-Assumptions!$D$15)/3.29)*44</f>
        <v>92522759.28847596</v>
      </c>
      <c r="P764" s="15">
        <f>Assumptions!$D$18</f>
        <v>14641750.345627395</v>
      </c>
      <c r="Q764" s="3">
        <f t="shared" ca="1" si="22"/>
        <v>20460936.783600107</v>
      </c>
      <c r="R764" s="6">
        <f t="shared" ca="1" si="23"/>
        <v>35102687.129227504</v>
      </c>
    </row>
    <row r="765" spans="1:18">
      <c r="A765" s="20">
        <v>764</v>
      </c>
      <c r="B765" s="3">
        <f ca="1">_xlfn.NORM.INV(RAND(),AVERAGE(Assumptions!$D$4,Assumptions!$F$4),(Assumptions!$F$4-Assumptions!$D$4)/3.29)*44</f>
        <v>1314484.38909544</v>
      </c>
      <c r="C765" s="6">
        <f ca="1">_xlfn.NORM.INV(RAND(),AVERAGE(Assumptions!$D$5,Assumptions!$F$5),(Assumptions!$F$5-Assumptions!$D$5)/3.29)*44</f>
        <v>1748897.9908298887</v>
      </c>
      <c r="D765" s="9">
        <f ca="1">_xlfn.NORM.INV(RAND(),AVERAGE(Assumptions!$D$6,Assumptions!$F$6),(Assumptions!$F$6-Assumptions!$D$6)/3.29)*RANDBETWEEN(2,5)</f>
        <v>7333116.4259269554</v>
      </c>
      <c r="E765" s="12">
        <f ca="1">_xlfn.NORM.INV(RAND(),AVERAGE(Assumptions!$D$17,Assumptions!$F$17),(Assumptions!$F$17-Assumptions!$D$17)/3.29)*8</f>
        <v>1105363.3654811196</v>
      </c>
      <c r="F765" s="15">
        <f ca="1">_xlfn.NORM.INV(RAND(),AVERAGE(Assumptions!$D$7,Assumptions!$F$7),(Assumptions!$F$7-Assumptions!$D$7)/3.29)*RANDBETWEEN(1,3)</f>
        <v>3828544.7685054215</v>
      </c>
      <c r="G765" s="3">
        <f ca="1">_xlfn.NORM.INV(RAND(),AVERAGE(Assumptions!$D$8,Assumptions!$F$8),(Assumptions!$F$8-Assumptions!$D$8)/3.29)*44</f>
        <v>1053903.7959886172</v>
      </c>
      <c r="H765" s="6">
        <f ca="1">_xlfn.NORM.INV(RAND(),AVERAGE(Assumptions!$D$9,Assumptions!$F$9),(Assumptions!$F$9-Assumptions!$D$9)/3.29)*21</f>
        <v>3203304.2476179106</v>
      </c>
      <c r="I765" s="9">
        <f ca="1">_xlfn.NORM.INV(RAND(),AVERAGE(Assumptions!$D$10,Assumptions!$F$10),(Assumptions!$F$10-Assumptions!$D$10)/3.29)*21</f>
        <v>865541.75834823085</v>
      </c>
      <c r="J765" s="12">
        <f ca="1">NORMINV(RAND(),AVERAGE(Assumptions!$D$11,Assumptions!$F$11),(Assumptions!$F$11-Assumptions!$D$11)/3.29)*44</f>
        <v>1701989.5535200853</v>
      </c>
      <c r="K765" s="15">
        <f ca="1">_xlfn.NORM.INV(RAND(),AVERAGE(Assumptions!$D$12,Assumptions!$F$12),(Assumptions!$F$12-Assumptions!$D$12)/3.29)*44</f>
        <v>7801808.3909324873</v>
      </c>
      <c r="L765" s="3">
        <f ca="1">_xlfn.NORM.INV(RAND(),AVERAGE(Assumptions!$D$13,Assumptions!$F$13),(Assumptions!$F$13-Assumptions!$D$13)/3.29)*44</f>
        <v>9165391.051509114</v>
      </c>
      <c r="M765" s="6">
        <f ca="1">_xlfn.NORM.INV(RAND(),AVERAGE(Assumptions!$D$14,Assumptions!$F$14),(Assumptions!$F$14-Assumptions!$D$14)/3.29)*44</f>
        <v>6827686.8321665172</v>
      </c>
      <c r="N765" s="9">
        <f ca="1">_xlfn.NORM.INV(RAND(),AVERAGE(Assumptions!$D$16,Assumptions!$F$16),(Assumptions!$F$16-Assumptions!$D$16)/3.29)*44</f>
        <v>9970057.5836417377</v>
      </c>
      <c r="O765" s="12">
        <f ca="1">_xlfn.NORM.INV(RAND(),AVERAGE(Assumptions!$D$15,Assumptions!$F$15),(Assumptions!$F$15-Assumptions!$D$15)/3.29)*44</f>
        <v>25749892.853854004</v>
      </c>
      <c r="P765" s="15">
        <f>Assumptions!$D$18</f>
        <v>14641750.345627395</v>
      </c>
      <c r="Q765" s="3">
        <f t="shared" ca="1" si="22"/>
        <v>-30170197.29970951</v>
      </c>
      <c r="R765" s="6">
        <f t="shared" ca="1" si="23"/>
        <v>-15528446.954082115</v>
      </c>
    </row>
    <row r="766" spans="1:18">
      <c r="A766" s="20">
        <v>765</v>
      </c>
      <c r="B766" s="3">
        <f ca="1">_xlfn.NORM.INV(RAND(),AVERAGE(Assumptions!$D$4,Assumptions!$F$4),(Assumptions!$F$4-Assumptions!$D$4)/3.29)*44</f>
        <v>1274814.40988362</v>
      </c>
      <c r="C766" s="6">
        <f ca="1">_xlfn.NORM.INV(RAND(),AVERAGE(Assumptions!$D$5,Assumptions!$F$5),(Assumptions!$F$5-Assumptions!$D$5)/3.29)*44</f>
        <v>1952945.0231574615</v>
      </c>
      <c r="D766" s="9">
        <f ca="1">_xlfn.NORM.INV(RAND(),AVERAGE(Assumptions!$D$6,Assumptions!$F$6),(Assumptions!$F$6-Assumptions!$D$6)/3.29)*RANDBETWEEN(2,5)</f>
        <v>2306258.9006784488</v>
      </c>
      <c r="E766" s="12">
        <f ca="1">_xlfn.NORM.INV(RAND(),AVERAGE(Assumptions!$D$17,Assumptions!$F$17),(Assumptions!$F$17-Assumptions!$D$17)/3.29)*8</f>
        <v>982637.11910683091</v>
      </c>
      <c r="F766" s="15">
        <f ca="1">_xlfn.NORM.INV(RAND(),AVERAGE(Assumptions!$D$7,Assumptions!$F$7),(Assumptions!$F$7-Assumptions!$D$7)/3.29)*RANDBETWEEN(1,3)</f>
        <v>7660160.6664937697</v>
      </c>
      <c r="G766" s="3">
        <f ca="1">_xlfn.NORM.INV(RAND(),AVERAGE(Assumptions!$D$8,Assumptions!$F$8),(Assumptions!$F$8-Assumptions!$D$8)/3.29)*44</f>
        <v>1037037.4344528189</v>
      </c>
      <c r="H766" s="6">
        <f ca="1">_xlfn.NORM.INV(RAND(),AVERAGE(Assumptions!$D$9,Assumptions!$F$9),(Assumptions!$F$9-Assumptions!$D$9)/3.29)*21</f>
        <v>3740632.7619557171</v>
      </c>
      <c r="I766" s="9">
        <f ca="1">_xlfn.NORM.INV(RAND(),AVERAGE(Assumptions!$D$10,Assumptions!$F$10),(Assumptions!$F$10-Assumptions!$D$10)/3.29)*21</f>
        <v>674882.30025840213</v>
      </c>
      <c r="J766" s="12">
        <f ca="1">NORMINV(RAND(),AVERAGE(Assumptions!$D$11,Assumptions!$F$11),(Assumptions!$F$11-Assumptions!$D$11)/3.29)*44</f>
        <v>3543404.0638464461</v>
      </c>
      <c r="K766" s="15">
        <f ca="1">_xlfn.NORM.INV(RAND(),AVERAGE(Assumptions!$D$12,Assumptions!$F$12),(Assumptions!$F$12-Assumptions!$D$12)/3.29)*44</f>
        <v>7617459.838370624</v>
      </c>
      <c r="L766" s="3">
        <f ca="1">_xlfn.NORM.INV(RAND(),AVERAGE(Assumptions!$D$13,Assumptions!$F$13),(Assumptions!$F$13-Assumptions!$D$13)/3.29)*44</f>
        <v>11576732.691288996</v>
      </c>
      <c r="M766" s="6">
        <f ca="1">_xlfn.NORM.INV(RAND(),AVERAGE(Assumptions!$D$14,Assumptions!$F$14),(Assumptions!$F$14-Assumptions!$D$14)/3.29)*44</f>
        <v>4288341.8743043672</v>
      </c>
      <c r="N766" s="9">
        <f ca="1">_xlfn.NORM.INV(RAND(),AVERAGE(Assumptions!$D$16,Assumptions!$F$16),(Assumptions!$F$16-Assumptions!$D$16)/3.29)*44</f>
        <v>8980047.6926924735</v>
      </c>
      <c r="O766" s="12">
        <f ca="1">_xlfn.NORM.INV(RAND(),AVERAGE(Assumptions!$D$15,Assumptions!$F$15),(Assumptions!$F$15-Assumptions!$D$15)/3.29)*44</f>
        <v>179086236.35505754</v>
      </c>
      <c r="P766" s="15">
        <f>Assumptions!$D$18</f>
        <v>14641750.345627395</v>
      </c>
      <c r="Q766" s="3">
        <f t="shared" ca="1" si="22"/>
        <v>123450881.57856756</v>
      </c>
      <c r="R766" s="6">
        <f t="shared" ca="1" si="23"/>
        <v>138092631.92419496</v>
      </c>
    </row>
    <row r="767" spans="1:18">
      <c r="A767" s="20">
        <v>766</v>
      </c>
      <c r="B767" s="3">
        <f ca="1">_xlfn.NORM.INV(RAND(),AVERAGE(Assumptions!$D$4,Assumptions!$F$4),(Assumptions!$F$4-Assumptions!$D$4)/3.29)*44</f>
        <v>1188046.0810118238</v>
      </c>
      <c r="C767" s="6">
        <f ca="1">_xlfn.NORM.INV(RAND(),AVERAGE(Assumptions!$D$5,Assumptions!$F$5),(Assumptions!$F$5-Assumptions!$D$5)/3.29)*44</f>
        <v>1707738.1386443982</v>
      </c>
      <c r="D767" s="9">
        <f ca="1">_xlfn.NORM.INV(RAND(),AVERAGE(Assumptions!$D$6,Assumptions!$F$6),(Assumptions!$F$6-Assumptions!$D$6)/3.29)*RANDBETWEEN(2,5)</f>
        <v>2918055.5254288949</v>
      </c>
      <c r="E767" s="12">
        <f ca="1">_xlfn.NORM.INV(RAND(),AVERAGE(Assumptions!$D$17,Assumptions!$F$17),(Assumptions!$F$17-Assumptions!$D$17)/3.29)*8</f>
        <v>788245.57430827362</v>
      </c>
      <c r="F767" s="15">
        <f ca="1">_xlfn.NORM.INV(RAND(),AVERAGE(Assumptions!$D$7,Assumptions!$F$7),(Assumptions!$F$7-Assumptions!$D$7)/3.29)*RANDBETWEEN(1,3)</f>
        <v>5349645.2052764297</v>
      </c>
      <c r="G767" s="3">
        <f ca="1">_xlfn.NORM.INV(RAND(),AVERAGE(Assumptions!$D$8,Assumptions!$F$8),(Assumptions!$F$8-Assumptions!$D$8)/3.29)*44</f>
        <v>1052355.5383949389</v>
      </c>
      <c r="H767" s="6">
        <f ca="1">_xlfn.NORM.INV(RAND(),AVERAGE(Assumptions!$D$9,Assumptions!$F$9),(Assumptions!$F$9-Assumptions!$D$9)/3.29)*21</f>
        <v>5533259.42283569</v>
      </c>
      <c r="I767" s="9">
        <f ca="1">_xlfn.NORM.INV(RAND(),AVERAGE(Assumptions!$D$10,Assumptions!$F$10),(Assumptions!$F$10-Assumptions!$D$10)/3.29)*21</f>
        <v>793734.36861500074</v>
      </c>
      <c r="J767" s="12">
        <f ca="1">NORMINV(RAND(),AVERAGE(Assumptions!$D$11,Assumptions!$F$11),(Assumptions!$F$11-Assumptions!$D$11)/3.29)*44</f>
        <v>3506488.2632759721</v>
      </c>
      <c r="K767" s="15">
        <f ca="1">_xlfn.NORM.INV(RAND(),AVERAGE(Assumptions!$D$12,Assumptions!$F$12),(Assumptions!$F$12-Assumptions!$D$12)/3.29)*44</f>
        <v>8141090.9177808836</v>
      </c>
      <c r="L767" s="3">
        <f ca="1">_xlfn.NORM.INV(RAND(),AVERAGE(Assumptions!$D$13,Assumptions!$F$13),(Assumptions!$F$13-Assumptions!$D$13)/3.29)*44</f>
        <v>9775581.8790294249</v>
      </c>
      <c r="M767" s="6">
        <f ca="1">_xlfn.NORM.INV(RAND(),AVERAGE(Assumptions!$D$14,Assumptions!$F$14),(Assumptions!$F$14-Assumptions!$D$14)/3.29)*44</f>
        <v>6916480.2273881529</v>
      </c>
      <c r="N767" s="9">
        <f ca="1">_xlfn.NORM.INV(RAND(),AVERAGE(Assumptions!$D$16,Assumptions!$F$16),(Assumptions!$F$16-Assumptions!$D$16)/3.29)*44</f>
        <v>14867697.615570005</v>
      </c>
      <c r="O767" s="12">
        <f ca="1">_xlfn.NORM.INV(RAND(),AVERAGE(Assumptions!$D$15,Assumptions!$F$15),(Assumptions!$F$15-Assumptions!$D$15)/3.29)*44</f>
        <v>141369334.16104445</v>
      </c>
      <c r="P767" s="15">
        <f>Assumptions!$D$18</f>
        <v>14641750.345627395</v>
      </c>
      <c r="Q767" s="3">
        <f t="shared" ca="1" si="22"/>
        <v>78830915.403484553</v>
      </c>
      <c r="R767" s="6">
        <f t="shared" ca="1" si="23"/>
        <v>93472665.74911195</v>
      </c>
    </row>
    <row r="768" spans="1:18">
      <c r="A768" s="20">
        <v>767</v>
      </c>
      <c r="B768" s="3">
        <f ca="1">_xlfn.NORM.INV(RAND(),AVERAGE(Assumptions!$D$4,Assumptions!$F$4),(Assumptions!$F$4-Assumptions!$D$4)/3.29)*44</f>
        <v>1201330.2846538736</v>
      </c>
      <c r="C768" s="6">
        <f ca="1">_xlfn.NORM.INV(RAND(),AVERAGE(Assumptions!$D$5,Assumptions!$F$5),(Assumptions!$F$5-Assumptions!$D$5)/3.29)*44</f>
        <v>1783060.7839723497</v>
      </c>
      <c r="D768" s="9">
        <f ca="1">_xlfn.NORM.INV(RAND(),AVERAGE(Assumptions!$D$6,Assumptions!$F$6),(Assumptions!$F$6-Assumptions!$D$6)/3.29)*RANDBETWEEN(2,5)</f>
        <v>6175398.6638786066</v>
      </c>
      <c r="E768" s="12">
        <f ca="1">_xlfn.NORM.INV(RAND(),AVERAGE(Assumptions!$D$17,Assumptions!$F$17),(Assumptions!$F$17-Assumptions!$D$17)/3.29)*8</f>
        <v>1045230.0713659544</v>
      </c>
      <c r="F768" s="15">
        <f ca="1">_xlfn.NORM.INV(RAND(),AVERAGE(Assumptions!$D$7,Assumptions!$F$7),(Assumptions!$F$7-Assumptions!$D$7)/3.29)*RANDBETWEEN(1,3)</f>
        <v>10287908.906925105</v>
      </c>
      <c r="G768" s="3">
        <f ca="1">_xlfn.NORM.INV(RAND(),AVERAGE(Assumptions!$D$8,Assumptions!$F$8),(Assumptions!$F$8-Assumptions!$D$8)/3.29)*44</f>
        <v>1211520.2751431724</v>
      </c>
      <c r="H768" s="6">
        <f ca="1">_xlfn.NORM.INV(RAND(),AVERAGE(Assumptions!$D$9,Assumptions!$F$9),(Assumptions!$F$9-Assumptions!$D$9)/3.29)*21</f>
        <v>2161482.4976075091</v>
      </c>
      <c r="I768" s="9">
        <f ca="1">_xlfn.NORM.INV(RAND(),AVERAGE(Assumptions!$D$10,Assumptions!$F$10),(Assumptions!$F$10-Assumptions!$D$10)/3.29)*21</f>
        <v>1031439.7581193169</v>
      </c>
      <c r="J768" s="12">
        <f ca="1">NORMINV(RAND(),AVERAGE(Assumptions!$D$11,Assumptions!$F$11),(Assumptions!$F$11-Assumptions!$D$11)/3.29)*44</f>
        <v>5175219.2044952428</v>
      </c>
      <c r="K768" s="15">
        <f ca="1">_xlfn.NORM.INV(RAND(),AVERAGE(Assumptions!$D$12,Assumptions!$F$12),(Assumptions!$F$12-Assumptions!$D$12)/3.29)*44</f>
        <v>9004097.8275878243</v>
      </c>
      <c r="L768" s="3">
        <f ca="1">_xlfn.NORM.INV(RAND(),AVERAGE(Assumptions!$D$13,Assumptions!$F$13),(Assumptions!$F$13-Assumptions!$D$13)/3.29)*44</f>
        <v>17112655.646891281</v>
      </c>
      <c r="M768" s="6">
        <f ca="1">_xlfn.NORM.INV(RAND(),AVERAGE(Assumptions!$D$14,Assumptions!$F$14),(Assumptions!$F$14-Assumptions!$D$14)/3.29)*44</f>
        <v>8057946.8007817436</v>
      </c>
      <c r="N768" s="9">
        <f ca="1">_xlfn.NORM.INV(RAND(),AVERAGE(Assumptions!$D$16,Assumptions!$F$16),(Assumptions!$F$16-Assumptions!$D$16)/3.29)*44</f>
        <v>5800854.8349400004</v>
      </c>
      <c r="O768" s="12">
        <f ca="1">_xlfn.NORM.INV(RAND(),AVERAGE(Assumptions!$D$15,Assumptions!$F$15),(Assumptions!$F$15-Assumptions!$D$15)/3.29)*44</f>
        <v>118081667.75998645</v>
      </c>
      <c r="P768" s="15">
        <f>Assumptions!$D$18</f>
        <v>14641750.345627395</v>
      </c>
      <c r="Q768" s="3">
        <f t="shared" ca="1" si="22"/>
        <v>48033522.203624472</v>
      </c>
      <c r="R768" s="6">
        <f t="shared" ca="1" si="23"/>
        <v>62675272.549251869</v>
      </c>
    </row>
    <row r="769" spans="1:18">
      <c r="A769" s="20">
        <v>768</v>
      </c>
      <c r="B769" s="3">
        <f ca="1">_xlfn.NORM.INV(RAND(),AVERAGE(Assumptions!$D$4,Assumptions!$F$4),(Assumptions!$F$4-Assumptions!$D$4)/3.29)*44</f>
        <v>1167966.8838498984</v>
      </c>
      <c r="C769" s="6">
        <f ca="1">_xlfn.NORM.INV(RAND(),AVERAGE(Assumptions!$D$5,Assumptions!$F$5),(Assumptions!$F$5-Assumptions!$D$5)/3.29)*44</f>
        <v>2111545.8552475851</v>
      </c>
      <c r="D769" s="9">
        <f ca="1">_xlfn.NORM.INV(RAND(),AVERAGE(Assumptions!$D$6,Assumptions!$F$6),(Assumptions!$F$6-Assumptions!$D$6)/3.29)*RANDBETWEEN(2,5)</f>
        <v>4094405.8682480808</v>
      </c>
      <c r="E769" s="12">
        <f ca="1">_xlfn.NORM.INV(RAND(),AVERAGE(Assumptions!$D$17,Assumptions!$F$17),(Assumptions!$F$17-Assumptions!$D$17)/3.29)*8</f>
        <v>696409.41966955655</v>
      </c>
      <c r="F769" s="15">
        <f ca="1">_xlfn.NORM.INV(RAND(),AVERAGE(Assumptions!$D$7,Assumptions!$F$7),(Assumptions!$F$7-Assumptions!$D$7)/3.29)*RANDBETWEEN(1,3)</f>
        <v>2898776.556965746</v>
      </c>
      <c r="G769" s="3">
        <f ca="1">_xlfn.NORM.INV(RAND(),AVERAGE(Assumptions!$D$8,Assumptions!$F$8),(Assumptions!$F$8-Assumptions!$D$8)/3.29)*44</f>
        <v>1112882.1102863105</v>
      </c>
      <c r="H769" s="6">
        <f ca="1">_xlfn.NORM.INV(RAND(),AVERAGE(Assumptions!$D$9,Assumptions!$F$9),(Assumptions!$F$9-Assumptions!$D$9)/3.29)*21</f>
        <v>4325765.7551644212</v>
      </c>
      <c r="I769" s="9">
        <f ca="1">_xlfn.NORM.INV(RAND(),AVERAGE(Assumptions!$D$10,Assumptions!$F$10),(Assumptions!$F$10-Assumptions!$D$10)/3.29)*21</f>
        <v>829278.16562126856</v>
      </c>
      <c r="J769" s="12">
        <f ca="1">NORMINV(RAND(),AVERAGE(Assumptions!$D$11,Assumptions!$F$11),(Assumptions!$F$11-Assumptions!$D$11)/3.29)*44</f>
        <v>1906062.6702215651</v>
      </c>
      <c r="K769" s="15">
        <f ca="1">_xlfn.NORM.INV(RAND(),AVERAGE(Assumptions!$D$12,Assumptions!$F$12),(Assumptions!$F$12-Assumptions!$D$12)/3.29)*44</f>
        <v>11815654.750670124</v>
      </c>
      <c r="L769" s="3">
        <f ca="1">_xlfn.NORM.INV(RAND(),AVERAGE(Assumptions!$D$13,Assumptions!$F$13),(Assumptions!$F$13-Assumptions!$D$13)/3.29)*44</f>
        <v>15318599.630310189</v>
      </c>
      <c r="M769" s="6">
        <f ca="1">_xlfn.NORM.INV(RAND(),AVERAGE(Assumptions!$D$14,Assumptions!$F$14),(Assumptions!$F$14-Assumptions!$D$14)/3.29)*44</f>
        <v>6636011.5800678963</v>
      </c>
      <c r="N769" s="9">
        <f ca="1">_xlfn.NORM.INV(RAND(),AVERAGE(Assumptions!$D$16,Assumptions!$F$16),(Assumptions!$F$16-Assumptions!$D$16)/3.29)*44</f>
        <v>6624152.6831882428</v>
      </c>
      <c r="O769" s="12">
        <f ca="1">_xlfn.NORM.INV(RAND(),AVERAGE(Assumptions!$D$15,Assumptions!$F$15),(Assumptions!$F$15-Assumptions!$D$15)/3.29)*44</f>
        <v>125487268.74441552</v>
      </c>
      <c r="P769" s="15">
        <f>Assumptions!$D$18</f>
        <v>14641750.345627395</v>
      </c>
      <c r="Q769" s="3">
        <f t="shared" ca="1" si="22"/>
        <v>65949756.814904638</v>
      </c>
      <c r="R769" s="6">
        <f t="shared" ca="1" si="23"/>
        <v>80591507.160532027</v>
      </c>
    </row>
    <row r="770" spans="1:18">
      <c r="A770" s="20">
        <v>769</v>
      </c>
      <c r="B770" s="3">
        <f ca="1">_xlfn.NORM.INV(RAND(),AVERAGE(Assumptions!$D$4,Assumptions!$F$4),(Assumptions!$F$4-Assumptions!$D$4)/3.29)*44</f>
        <v>1119756.939139341</v>
      </c>
      <c r="C770" s="6">
        <f ca="1">_xlfn.NORM.INV(RAND(),AVERAGE(Assumptions!$D$5,Assumptions!$F$5),(Assumptions!$F$5-Assumptions!$D$5)/3.29)*44</f>
        <v>1884336.9040502261</v>
      </c>
      <c r="D770" s="9">
        <f ca="1">_xlfn.NORM.INV(RAND(),AVERAGE(Assumptions!$D$6,Assumptions!$F$6),(Assumptions!$F$6-Assumptions!$D$6)/3.29)*RANDBETWEEN(2,5)</f>
        <v>3479163.5495662657</v>
      </c>
      <c r="E770" s="12">
        <f ca="1">_xlfn.NORM.INV(RAND(),AVERAGE(Assumptions!$D$17,Assumptions!$F$17),(Assumptions!$F$17-Assumptions!$D$17)/3.29)*8</f>
        <v>1013117.8487874982</v>
      </c>
      <c r="F770" s="15">
        <f ca="1">_xlfn.NORM.INV(RAND(),AVERAGE(Assumptions!$D$7,Assumptions!$F$7),(Assumptions!$F$7-Assumptions!$D$7)/3.29)*RANDBETWEEN(1,3)</f>
        <v>2364240.2196796336</v>
      </c>
      <c r="G770" s="3">
        <f ca="1">_xlfn.NORM.INV(RAND(),AVERAGE(Assumptions!$D$8,Assumptions!$F$8),(Assumptions!$F$8-Assumptions!$D$8)/3.29)*44</f>
        <v>1107966.8963364095</v>
      </c>
      <c r="H770" s="6">
        <f ca="1">_xlfn.NORM.INV(RAND(),AVERAGE(Assumptions!$D$9,Assumptions!$F$9),(Assumptions!$F$9-Assumptions!$D$9)/3.29)*21</f>
        <v>3304543.9165923609</v>
      </c>
      <c r="I770" s="9">
        <f ca="1">_xlfn.NORM.INV(RAND(),AVERAGE(Assumptions!$D$10,Assumptions!$F$10),(Assumptions!$F$10-Assumptions!$D$10)/3.29)*21</f>
        <v>697871.25714920112</v>
      </c>
      <c r="J770" s="12">
        <f ca="1">NORMINV(RAND(),AVERAGE(Assumptions!$D$11,Assumptions!$F$11),(Assumptions!$F$11-Assumptions!$D$11)/3.29)*44</f>
        <v>1205663.7903459589</v>
      </c>
      <c r="K770" s="15">
        <f ca="1">_xlfn.NORM.INV(RAND(),AVERAGE(Assumptions!$D$12,Assumptions!$F$12),(Assumptions!$F$12-Assumptions!$D$12)/3.29)*44</f>
        <v>8785552.8284201436</v>
      </c>
      <c r="L770" s="3">
        <f ca="1">_xlfn.NORM.INV(RAND(),AVERAGE(Assumptions!$D$13,Assumptions!$F$13),(Assumptions!$F$13-Assumptions!$D$13)/3.29)*44</f>
        <v>16926973.088028327</v>
      </c>
      <c r="M770" s="6">
        <f ca="1">_xlfn.NORM.INV(RAND(),AVERAGE(Assumptions!$D$14,Assumptions!$F$14),(Assumptions!$F$14-Assumptions!$D$14)/3.29)*44</f>
        <v>7520225.2100836365</v>
      </c>
      <c r="N770" s="9">
        <f ca="1">_xlfn.NORM.INV(RAND(),AVERAGE(Assumptions!$D$16,Assumptions!$F$16),(Assumptions!$F$16-Assumptions!$D$16)/3.29)*44</f>
        <v>4015100.568674962</v>
      </c>
      <c r="O770" s="12">
        <f ca="1">_xlfn.NORM.INV(RAND(),AVERAGE(Assumptions!$D$15,Assumptions!$F$15),(Assumptions!$F$15-Assumptions!$D$15)/3.29)*44</f>
        <v>176454312.98402804</v>
      </c>
      <c r="P770" s="15">
        <f>Assumptions!$D$18</f>
        <v>14641750.345627395</v>
      </c>
      <c r="Q770" s="3">
        <f t="shared" ca="1" si="22"/>
        <v>123029799.96717408</v>
      </c>
      <c r="R770" s="6">
        <f t="shared" ca="1" si="23"/>
        <v>137671550.31280148</v>
      </c>
    </row>
    <row r="771" spans="1:18">
      <c r="A771" s="20">
        <v>770</v>
      </c>
      <c r="B771" s="3">
        <f ca="1">_xlfn.NORM.INV(RAND(),AVERAGE(Assumptions!$D$4,Assumptions!$F$4),(Assumptions!$F$4-Assumptions!$D$4)/3.29)*44</f>
        <v>1201814.8315163257</v>
      </c>
      <c r="C771" s="6">
        <f ca="1">_xlfn.NORM.INV(RAND(),AVERAGE(Assumptions!$D$5,Assumptions!$F$5),(Assumptions!$F$5-Assumptions!$D$5)/3.29)*44</f>
        <v>2074364.5904130044</v>
      </c>
      <c r="D771" s="9">
        <f ca="1">_xlfn.NORM.INV(RAND(),AVERAGE(Assumptions!$D$6,Assumptions!$F$6),(Assumptions!$F$6-Assumptions!$D$6)/3.29)*RANDBETWEEN(2,5)</f>
        <v>6105108.6989317415</v>
      </c>
      <c r="E771" s="12">
        <f ca="1">_xlfn.NORM.INV(RAND(),AVERAGE(Assumptions!$D$17,Assumptions!$F$17),(Assumptions!$F$17-Assumptions!$D$17)/3.29)*8</f>
        <v>940000.55241904932</v>
      </c>
      <c r="F771" s="15">
        <f ca="1">_xlfn.NORM.INV(RAND(),AVERAGE(Assumptions!$D$7,Assumptions!$F$7),(Assumptions!$F$7-Assumptions!$D$7)/3.29)*RANDBETWEEN(1,3)</f>
        <v>1531654.1448782103</v>
      </c>
      <c r="G771" s="3">
        <f ca="1">_xlfn.NORM.INV(RAND(),AVERAGE(Assumptions!$D$8,Assumptions!$F$8),(Assumptions!$F$8-Assumptions!$D$8)/3.29)*44</f>
        <v>1030649.8049796411</v>
      </c>
      <c r="H771" s="6">
        <f ca="1">_xlfn.NORM.INV(RAND(),AVERAGE(Assumptions!$D$9,Assumptions!$F$9),(Assumptions!$F$9-Assumptions!$D$9)/3.29)*21</f>
        <v>4631961.6125325216</v>
      </c>
      <c r="I771" s="9">
        <f ca="1">_xlfn.NORM.INV(RAND(),AVERAGE(Assumptions!$D$10,Assumptions!$F$10),(Assumptions!$F$10-Assumptions!$D$10)/3.29)*21</f>
        <v>850950.26349823945</v>
      </c>
      <c r="J771" s="12">
        <f ca="1">NORMINV(RAND(),AVERAGE(Assumptions!$D$11,Assumptions!$F$11),(Assumptions!$F$11-Assumptions!$D$11)/3.29)*44</f>
        <v>3442630.0942081758</v>
      </c>
      <c r="K771" s="15">
        <f ca="1">_xlfn.NORM.INV(RAND(),AVERAGE(Assumptions!$D$12,Assumptions!$F$12),(Assumptions!$F$12-Assumptions!$D$12)/3.29)*44</f>
        <v>8500717.1754384004</v>
      </c>
      <c r="L771" s="3">
        <f ca="1">_xlfn.NORM.INV(RAND(),AVERAGE(Assumptions!$D$13,Assumptions!$F$13),(Assumptions!$F$13-Assumptions!$D$13)/3.29)*44</f>
        <v>11657293.362560734</v>
      </c>
      <c r="M771" s="6">
        <f ca="1">_xlfn.NORM.INV(RAND(),AVERAGE(Assumptions!$D$14,Assumptions!$F$14),(Assumptions!$F$14-Assumptions!$D$14)/3.29)*44</f>
        <v>4373065.2781233583</v>
      </c>
      <c r="N771" s="9">
        <f ca="1">_xlfn.NORM.INV(RAND(),AVERAGE(Assumptions!$D$16,Assumptions!$F$16),(Assumptions!$F$16-Assumptions!$D$16)/3.29)*44</f>
        <v>8745159.4410380628</v>
      </c>
      <c r="O771" s="12">
        <f ca="1">_xlfn.NORM.INV(RAND(),AVERAGE(Assumptions!$D$15,Assumptions!$F$15),(Assumptions!$F$15-Assumptions!$D$15)/3.29)*44</f>
        <v>35043341.077441998</v>
      </c>
      <c r="P771" s="15">
        <f>Assumptions!$D$18</f>
        <v>14641750.345627395</v>
      </c>
      <c r="Q771" s="3">
        <f t="shared" ref="Q771:Q834" ca="1" si="24">O771-(B771+C771+D771+F771+G771+H771+I771+J771+K771+L771+M771+N771+E771)</f>
        <v>-20042028.773095466</v>
      </c>
      <c r="R771" s="6">
        <f t="shared" ref="R771:R834" ca="1" si="25">Q771+P771</f>
        <v>-5400278.4274680708</v>
      </c>
    </row>
    <row r="772" spans="1:18">
      <c r="A772" s="20">
        <v>771</v>
      </c>
      <c r="B772" s="3">
        <f ca="1">_xlfn.NORM.INV(RAND(),AVERAGE(Assumptions!$D$4,Assumptions!$F$4),(Assumptions!$F$4-Assumptions!$D$4)/3.29)*44</f>
        <v>1272382.8138516918</v>
      </c>
      <c r="C772" s="6">
        <f ca="1">_xlfn.NORM.INV(RAND(),AVERAGE(Assumptions!$D$5,Assumptions!$F$5),(Assumptions!$F$5-Assumptions!$D$5)/3.29)*44</f>
        <v>1729297.6105051679</v>
      </c>
      <c r="D772" s="9">
        <f ca="1">_xlfn.NORM.INV(RAND(),AVERAGE(Assumptions!$D$6,Assumptions!$F$6),(Assumptions!$F$6-Assumptions!$D$6)/3.29)*RANDBETWEEN(2,5)</f>
        <v>4195192.541799509</v>
      </c>
      <c r="E772" s="12">
        <f ca="1">_xlfn.NORM.INV(RAND(),AVERAGE(Assumptions!$D$17,Assumptions!$F$17),(Assumptions!$F$17-Assumptions!$D$17)/3.29)*8</f>
        <v>979424.32226185582</v>
      </c>
      <c r="F772" s="15">
        <f ca="1">_xlfn.NORM.INV(RAND(),AVERAGE(Assumptions!$D$7,Assumptions!$F$7),(Assumptions!$F$7-Assumptions!$D$7)/3.29)*RANDBETWEEN(1,3)</f>
        <v>3105481.1824093023</v>
      </c>
      <c r="G772" s="3">
        <f ca="1">_xlfn.NORM.INV(RAND(),AVERAGE(Assumptions!$D$8,Assumptions!$F$8),(Assumptions!$F$8-Assumptions!$D$8)/3.29)*44</f>
        <v>1217558.5615442635</v>
      </c>
      <c r="H772" s="6">
        <f ca="1">_xlfn.NORM.INV(RAND(),AVERAGE(Assumptions!$D$9,Assumptions!$F$9),(Assumptions!$F$9-Assumptions!$D$9)/3.29)*21</f>
        <v>4430819.9058050113</v>
      </c>
      <c r="I772" s="9">
        <f ca="1">_xlfn.NORM.INV(RAND(),AVERAGE(Assumptions!$D$10,Assumptions!$F$10),(Assumptions!$F$10-Assumptions!$D$10)/3.29)*21</f>
        <v>882250.7218028541</v>
      </c>
      <c r="J772" s="12">
        <f ca="1">NORMINV(RAND(),AVERAGE(Assumptions!$D$11,Assumptions!$F$11),(Assumptions!$F$11-Assumptions!$D$11)/3.29)*44</f>
        <v>3425865.2378927427</v>
      </c>
      <c r="K772" s="15">
        <f ca="1">_xlfn.NORM.INV(RAND(),AVERAGE(Assumptions!$D$12,Assumptions!$F$12),(Assumptions!$F$12-Assumptions!$D$12)/3.29)*44</f>
        <v>10070959.80087487</v>
      </c>
      <c r="L772" s="3">
        <f ca="1">_xlfn.NORM.INV(RAND(),AVERAGE(Assumptions!$D$13,Assumptions!$F$13),(Assumptions!$F$13-Assumptions!$D$13)/3.29)*44</f>
        <v>12532713.487397812</v>
      </c>
      <c r="M772" s="6">
        <f ca="1">_xlfn.NORM.INV(RAND(),AVERAGE(Assumptions!$D$14,Assumptions!$F$14),(Assumptions!$F$14-Assumptions!$D$14)/3.29)*44</f>
        <v>5936526.9033008255</v>
      </c>
      <c r="N772" s="9">
        <f ca="1">_xlfn.NORM.INV(RAND(),AVERAGE(Assumptions!$D$16,Assumptions!$F$16),(Assumptions!$F$16-Assumptions!$D$16)/3.29)*44</f>
        <v>7585959.0850741789</v>
      </c>
      <c r="O772" s="12">
        <f ca="1">_xlfn.NORM.INV(RAND(),AVERAGE(Assumptions!$D$15,Assumptions!$F$15),(Assumptions!$F$15-Assumptions!$D$15)/3.29)*44</f>
        <v>136944675.53222451</v>
      </c>
      <c r="P772" s="15">
        <f>Assumptions!$D$18</f>
        <v>14641750.345627395</v>
      </c>
      <c r="Q772" s="3">
        <f t="shared" ca="1" si="24"/>
        <v>79580243.357704431</v>
      </c>
      <c r="R772" s="6">
        <f t="shared" ca="1" si="25"/>
        <v>94221993.703331828</v>
      </c>
    </row>
    <row r="773" spans="1:18">
      <c r="A773" s="20">
        <v>772</v>
      </c>
      <c r="B773" s="3">
        <f ca="1">_xlfn.NORM.INV(RAND(),AVERAGE(Assumptions!$D$4,Assumptions!$F$4),(Assumptions!$F$4-Assumptions!$D$4)/3.29)*44</f>
        <v>1172167.5397640965</v>
      </c>
      <c r="C773" s="6">
        <f ca="1">_xlfn.NORM.INV(RAND(),AVERAGE(Assumptions!$D$5,Assumptions!$F$5),(Assumptions!$F$5-Assumptions!$D$5)/3.29)*44</f>
        <v>1758297.459635098</v>
      </c>
      <c r="D773" s="9">
        <f ca="1">_xlfn.NORM.INV(RAND(),AVERAGE(Assumptions!$D$6,Assumptions!$F$6),(Assumptions!$F$6-Assumptions!$D$6)/3.29)*RANDBETWEEN(2,5)</f>
        <v>1892456.2583814007</v>
      </c>
      <c r="E773" s="12">
        <f ca="1">_xlfn.NORM.INV(RAND(),AVERAGE(Assumptions!$D$17,Assumptions!$F$17),(Assumptions!$F$17-Assumptions!$D$17)/3.29)*8</f>
        <v>1006667.0582279811</v>
      </c>
      <c r="F773" s="15">
        <f ca="1">_xlfn.NORM.INV(RAND(),AVERAGE(Assumptions!$D$7,Assumptions!$F$7),(Assumptions!$F$7-Assumptions!$D$7)/3.29)*RANDBETWEEN(1,3)</f>
        <v>2897253.8939561802</v>
      </c>
      <c r="G773" s="3">
        <f ca="1">_xlfn.NORM.INV(RAND(),AVERAGE(Assumptions!$D$8,Assumptions!$F$8),(Assumptions!$F$8-Assumptions!$D$8)/3.29)*44</f>
        <v>1387387.3678559936</v>
      </c>
      <c r="H773" s="6">
        <f ca="1">_xlfn.NORM.INV(RAND(),AVERAGE(Assumptions!$D$9,Assumptions!$F$9),(Assumptions!$F$9-Assumptions!$D$9)/3.29)*21</f>
        <v>4378638.3300641514</v>
      </c>
      <c r="I773" s="9">
        <f ca="1">_xlfn.NORM.INV(RAND(),AVERAGE(Assumptions!$D$10,Assumptions!$F$10),(Assumptions!$F$10-Assumptions!$D$10)/3.29)*21</f>
        <v>655729.38156262808</v>
      </c>
      <c r="J773" s="12">
        <f ca="1">NORMINV(RAND(),AVERAGE(Assumptions!$D$11,Assumptions!$F$11),(Assumptions!$F$11-Assumptions!$D$11)/3.29)*44</f>
        <v>4261715.9783600532</v>
      </c>
      <c r="K773" s="15">
        <f ca="1">_xlfn.NORM.INV(RAND(),AVERAGE(Assumptions!$D$12,Assumptions!$F$12),(Assumptions!$F$12-Assumptions!$D$12)/3.29)*44</f>
        <v>8710179.5629097465</v>
      </c>
      <c r="L773" s="3">
        <f ca="1">_xlfn.NORM.INV(RAND(),AVERAGE(Assumptions!$D$13,Assumptions!$F$13),(Assumptions!$F$13-Assumptions!$D$13)/3.29)*44</f>
        <v>15893924.473373072</v>
      </c>
      <c r="M773" s="6">
        <f ca="1">_xlfn.NORM.INV(RAND(),AVERAGE(Assumptions!$D$14,Assumptions!$F$14),(Assumptions!$F$14-Assumptions!$D$14)/3.29)*44</f>
        <v>5970342.9184559882</v>
      </c>
      <c r="N773" s="9">
        <f ca="1">_xlfn.NORM.INV(RAND(),AVERAGE(Assumptions!$D$16,Assumptions!$F$16),(Assumptions!$F$16-Assumptions!$D$16)/3.29)*44</f>
        <v>12836898.076649526</v>
      </c>
      <c r="O773" s="12">
        <f ca="1">_xlfn.NORM.INV(RAND(),AVERAGE(Assumptions!$D$15,Assumptions!$F$15),(Assumptions!$F$15-Assumptions!$D$15)/3.29)*44</f>
        <v>182962302.02908468</v>
      </c>
      <c r="P773" s="15">
        <f>Assumptions!$D$18</f>
        <v>14641750.345627395</v>
      </c>
      <c r="Q773" s="3">
        <f t="shared" ca="1" si="24"/>
        <v>120140643.72988877</v>
      </c>
      <c r="R773" s="6">
        <f t="shared" ca="1" si="25"/>
        <v>134782394.07551616</v>
      </c>
    </row>
    <row r="774" spans="1:18">
      <c r="A774" s="20">
        <v>773</v>
      </c>
      <c r="B774" s="3">
        <f ca="1">_xlfn.NORM.INV(RAND(),AVERAGE(Assumptions!$D$4,Assumptions!$F$4),(Assumptions!$F$4-Assumptions!$D$4)/3.29)*44</f>
        <v>1231461.1269532901</v>
      </c>
      <c r="C774" s="6">
        <f ca="1">_xlfn.NORM.INV(RAND(),AVERAGE(Assumptions!$D$5,Assumptions!$F$5),(Assumptions!$F$5-Assumptions!$D$5)/3.29)*44</f>
        <v>1845081.0586336029</v>
      </c>
      <c r="D774" s="9">
        <f ca="1">_xlfn.NORM.INV(RAND(),AVERAGE(Assumptions!$D$6,Assumptions!$F$6),(Assumptions!$F$6-Assumptions!$D$6)/3.29)*RANDBETWEEN(2,5)</f>
        <v>1565040.8682644041</v>
      </c>
      <c r="E774" s="12">
        <f ca="1">_xlfn.NORM.INV(RAND(),AVERAGE(Assumptions!$D$17,Assumptions!$F$17),(Assumptions!$F$17-Assumptions!$D$17)/3.29)*8</f>
        <v>1172403.4764973694</v>
      </c>
      <c r="F774" s="15">
        <f ca="1">_xlfn.NORM.INV(RAND(),AVERAGE(Assumptions!$D$7,Assumptions!$F$7),(Assumptions!$F$7-Assumptions!$D$7)/3.29)*RANDBETWEEN(1,3)</f>
        <v>5014977.9285258334</v>
      </c>
      <c r="G774" s="3">
        <f ca="1">_xlfn.NORM.INV(RAND(),AVERAGE(Assumptions!$D$8,Assumptions!$F$8),(Assumptions!$F$8-Assumptions!$D$8)/3.29)*44</f>
        <v>1276331.7652061533</v>
      </c>
      <c r="H774" s="6">
        <f ca="1">_xlfn.NORM.INV(RAND(),AVERAGE(Assumptions!$D$9,Assumptions!$F$9),(Assumptions!$F$9-Assumptions!$D$9)/3.29)*21</f>
        <v>6200093.8094084477</v>
      </c>
      <c r="I774" s="9">
        <f ca="1">_xlfn.NORM.INV(RAND(),AVERAGE(Assumptions!$D$10,Assumptions!$F$10),(Assumptions!$F$10-Assumptions!$D$10)/3.29)*21</f>
        <v>1011114.194402103</v>
      </c>
      <c r="J774" s="12">
        <f ca="1">NORMINV(RAND(),AVERAGE(Assumptions!$D$11,Assumptions!$F$11),(Assumptions!$F$11-Assumptions!$D$11)/3.29)*44</f>
        <v>5643460.6578979827</v>
      </c>
      <c r="K774" s="15">
        <f ca="1">_xlfn.NORM.INV(RAND(),AVERAGE(Assumptions!$D$12,Assumptions!$F$12),(Assumptions!$F$12-Assumptions!$D$12)/3.29)*44</f>
        <v>10333078.109432034</v>
      </c>
      <c r="L774" s="3">
        <f ca="1">_xlfn.NORM.INV(RAND(),AVERAGE(Assumptions!$D$13,Assumptions!$F$13),(Assumptions!$F$13-Assumptions!$D$13)/3.29)*44</f>
        <v>19651388.181311291</v>
      </c>
      <c r="M774" s="6">
        <f ca="1">_xlfn.NORM.INV(RAND(),AVERAGE(Assumptions!$D$14,Assumptions!$F$14),(Assumptions!$F$14-Assumptions!$D$14)/3.29)*44</f>
        <v>6281774.7629560186</v>
      </c>
      <c r="N774" s="9">
        <f ca="1">_xlfn.NORM.INV(RAND(),AVERAGE(Assumptions!$D$16,Assumptions!$F$16),(Assumptions!$F$16-Assumptions!$D$16)/3.29)*44</f>
        <v>12344580.216401121</v>
      </c>
      <c r="O774" s="12">
        <f ca="1">_xlfn.NORM.INV(RAND(),AVERAGE(Assumptions!$D$15,Assumptions!$F$15),(Assumptions!$F$15-Assumptions!$D$15)/3.29)*44</f>
        <v>92609763.710357085</v>
      </c>
      <c r="P774" s="15">
        <f>Assumptions!$D$18</f>
        <v>14641750.345627395</v>
      </c>
      <c r="Q774" s="3">
        <f t="shared" ca="1" si="24"/>
        <v>19038977.55446744</v>
      </c>
      <c r="R774" s="6">
        <f t="shared" ca="1" si="25"/>
        <v>33680727.900094837</v>
      </c>
    </row>
    <row r="775" spans="1:18">
      <c r="A775" s="20">
        <v>774</v>
      </c>
      <c r="B775" s="3">
        <f ca="1">_xlfn.NORM.INV(RAND(),AVERAGE(Assumptions!$D$4,Assumptions!$F$4),(Assumptions!$F$4-Assumptions!$D$4)/3.29)*44</f>
        <v>1152992.0018011734</v>
      </c>
      <c r="C775" s="6">
        <f ca="1">_xlfn.NORM.INV(RAND(),AVERAGE(Assumptions!$D$5,Assumptions!$F$5),(Assumptions!$F$5-Assumptions!$D$5)/3.29)*44</f>
        <v>1798028.2553589444</v>
      </c>
      <c r="D775" s="9">
        <f ca="1">_xlfn.NORM.INV(RAND(),AVERAGE(Assumptions!$D$6,Assumptions!$F$6),(Assumptions!$F$6-Assumptions!$D$6)/3.29)*RANDBETWEEN(2,5)</f>
        <v>3063510.796980639</v>
      </c>
      <c r="E775" s="12">
        <f ca="1">_xlfn.NORM.INV(RAND(),AVERAGE(Assumptions!$D$17,Assumptions!$F$17),(Assumptions!$F$17-Assumptions!$D$17)/3.29)*8</f>
        <v>807885.61763539095</v>
      </c>
      <c r="F775" s="15">
        <f ca="1">_xlfn.NORM.INV(RAND(),AVERAGE(Assumptions!$D$7,Assumptions!$F$7),(Assumptions!$F$7-Assumptions!$D$7)/3.29)*RANDBETWEEN(1,3)</f>
        <v>8238603.4374056663</v>
      </c>
      <c r="G775" s="3">
        <f ca="1">_xlfn.NORM.INV(RAND(),AVERAGE(Assumptions!$D$8,Assumptions!$F$8),(Assumptions!$F$8-Assumptions!$D$8)/3.29)*44</f>
        <v>1074152.9185378666</v>
      </c>
      <c r="H775" s="6">
        <f ca="1">_xlfn.NORM.INV(RAND(),AVERAGE(Assumptions!$D$9,Assumptions!$F$9),(Assumptions!$F$9-Assumptions!$D$9)/3.29)*21</f>
        <v>3695117.5202786284</v>
      </c>
      <c r="I775" s="9">
        <f ca="1">_xlfn.NORM.INV(RAND(),AVERAGE(Assumptions!$D$10,Assumptions!$F$10),(Assumptions!$F$10-Assumptions!$D$10)/3.29)*21</f>
        <v>773699.3655665277</v>
      </c>
      <c r="J775" s="12">
        <f ca="1">NORMINV(RAND(),AVERAGE(Assumptions!$D$11,Assumptions!$F$11),(Assumptions!$F$11-Assumptions!$D$11)/3.29)*44</f>
        <v>1823252.3295531953</v>
      </c>
      <c r="K775" s="15">
        <f ca="1">_xlfn.NORM.INV(RAND(),AVERAGE(Assumptions!$D$12,Assumptions!$F$12),(Assumptions!$F$12-Assumptions!$D$12)/3.29)*44</f>
        <v>10565302.02844701</v>
      </c>
      <c r="L775" s="3">
        <f ca="1">_xlfn.NORM.INV(RAND(),AVERAGE(Assumptions!$D$13,Assumptions!$F$13),(Assumptions!$F$13-Assumptions!$D$13)/3.29)*44</f>
        <v>14868469.051182618</v>
      </c>
      <c r="M775" s="6">
        <f ca="1">_xlfn.NORM.INV(RAND(),AVERAGE(Assumptions!$D$14,Assumptions!$F$14),(Assumptions!$F$14-Assumptions!$D$14)/3.29)*44</f>
        <v>7180646.6248973403</v>
      </c>
      <c r="N775" s="9">
        <f ca="1">_xlfn.NORM.INV(RAND(),AVERAGE(Assumptions!$D$16,Assumptions!$F$16),(Assumptions!$F$16-Assumptions!$D$16)/3.29)*44</f>
        <v>10243122.494763957</v>
      </c>
      <c r="O775" s="12">
        <f ca="1">_xlfn.NORM.INV(RAND(),AVERAGE(Assumptions!$D$15,Assumptions!$F$15),(Assumptions!$F$15-Assumptions!$D$15)/3.29)*44</f>
        <v>117769967.53315835</v>
      </c>
      <c r="P775" s="15">
        <f>Assumptions!$D$18</f>
        <v>14641750.345627395</v>
      </c>
      <c r="Q775" s="3">
        <f t="shared" ca="1" si="24"/>
        <v>52485185.09074939</v>
      </c>
      <c r="R775" s="6">
        <f t="shared" ca="1" si="25"/>
        <v>67126935.43637678</v>
      </c>
    </row>
    <row r="776" spans="1:18">
      <c r="A776" s="20">
        <v>775</v>
      </c>
      <c r="B776" s="3">
        <f ca="1">_xlfn.NORM.INV(RAND(),AVERAGE(Assumptions!$D$4,Assumptions!$F$4),(Assumptions!$F$4-Assumptions!$D$4)/3.29)*44</f>
        <v>1276143.5495844914</v>
      </c>
      <c r="C776" s="6">
        <f ca="1">_xlfn.NORM.INV(RAND(),AVERAGE(Assumptions!$D$5,Assumptions!$F$5),(Assumptions!$F$5-Assumptions!$D$5)/3.29)*44</f>
        <v>1882393.6027244839</v>
      </c>
      <c r="D776" s="9">
        <f ca="1">_xlfn.NORM.INV(RAND(),AVERAGE(Assumptions!$D$6,Assumptions!$F$6),(Assumptions!$F$6-Assumptions!$D$6)/3.29)*RANDBETWEEN(2,5)</f>
        <v>8005937.2143870769</v>
      </c>
      <c r="E776" s="12">
        <f ca="1">_xlfn.NORM.INV(RAND(),AVERAGE(Assumptions!$D$17,Assumptions!$F$17),(Assumptions!$F$17-Assumptions!$D$17)/3.29)*8</f>
        <v>1038367.0600819996</v>
      </c>
      <c r="F776" s="15">
        <f ca="1">_xlfn.NORM.INV(RAND(),AVERAGE(Assumptions!$D$7,Assumptions!$F$7),(Assumptions!$F$7-Assumptions!$D$7)/3.29)*RANDBETWEEN(1,3)</f>
        <v>3474902.3525311369</v>
      </c>
      <c r="G776" s="3">
        <f ca="1">_xlfn.NORM.INV(RAND(),AVERAGE(Assumptions!$D$8,Assumptions!$F$8),(Assumptions!$F$8-Assumptions!$D$8)/3.29)*44</f>
        <v>1256611.4433311394</v>
      </c>
      <c r="H776" s="6">
        <f ca="1">_xlfn.NORM.INV(RAND(),AVERAGE(Assumptions!$D$9,Assumptions!$F$9),(Assumptions!$F$9-Assumptions!$D$9)/3.29)*21</f>
        <v>3372499.060082831</v>
      </c>
      <c r="I776" s="9">
        <f ca="1">_xlfn.NORM.INV(RAND(),AVERAGE(Assumptions!$D$10,Assumptions!$F$10),(Assumptions!$F$10-Assumptions!$D$10)/3.29)*21</f>
        <v>1040702.573672063</v>
      </c>
      <c r="J776" s="12">
        <f ca="1">NORMINV(RAND(),AVERAGE(Assumptions!$D$11,Assumptions!$F$11),(Assumptions!$F$11-Assumptions!$D$11)/3.29)*44</f>
        <v>4560093.7535242215</v>
      </c>
      <c r="K776" s="15">
        <f ca="1">_xlfn.NORM.INV(RAND(),AVERAGE(Assumptions!$D$12,Assumptions!$F$12),(Assumptions!$F$12-Assumptions!$D$12)/3.29)*44</f>
        <v>7463916.7732532332</v>
      </c>
      <c r="L776" s="3">
        <f ca="1">_xlfn.NORM.INV(RAND(),AVERAGE(Assumptions!$D$13,Assumptions!$F$13),(Assumptions!$F$13-Assumptions!$D$13)/3.29)*44</f>
        <v>8931514.0586946532</v>
      </c>
      <c r="M776" s="6">
        <f ca="1">_xlfn.NORM.INV(RAND(),AVERAGE(Assumptions!$D$14,Assumptions!$F$14),(Assumptions!$F$14-Assumptions!$D$14)/3.29)*44</f>
        <v>7005816.6351524247</v>
      </c>
      <c r="N776" s="9">
        <f ca="1">_xlfn.NORM.INV(RAND(),AVERAGE(Assumptions!$D$16,Assumptions!$F$16),(Assumptions!$F$16-Assumptions!$D$16)/3.29)*44</f>
        <v>14225689.140201913</v>
      </c>
      <c r="O776" s="12">
        <f ca="1">_xlfn.NORM.INV(RAND(),AVERAGE(Assumptions!$D$15,Assumptions!$F$15),(Assumptions!$F$15-Assumptions!$D$15)/3.29)*44</f>
        <v>16131125.342588505</v>
      </c>
      <c r="P776" s="15">
        <f>Assumptions!$D$18</f>
        <v>14641750.345627395</v>
      </c>
      <c r="Q776" s="3">
        <f t="shared" ca="1" si="24"/>
        <v>-47403461.874633156</v>
      </c>
      <c r="R776" s="6">
        <f t="shared" ca="1" si="25"/>
        <v>-32761711.529005758</v>
      </c>
    </row>
    <row r="777" spans="1:18">
      <c r="A777" s="20">
        <v>776</v>
      </c>
      <c r="B777" s="3">
        <f ca="1">_xlfn.NORM.INV(RAND(),AVERAGE(Assumptions!$D$4,Assumptions!$F$4),(Assumptions!$F$4-Assumptions!$D$4)/3.29)*44</f>
        <v>1181135.8494218341</v>
      </c>
      <c r="C777" s="6">
        <f ca="1">_xlfn.NORM.INV(RAND(),AVERAGE(Assumptions!$D$5,Assumptions!$F$5),(Assumptions!$F$5-Assumptions!$D$5)/3.29)*44</f>
        <v>2116515.9238834516</v>
      </c>
      <c r="D777" s="9">
        <f ca="1">_xlfn.NORM.INV(RAND(),AVERAGE(Assumptions!$D$6,Assumptions!$F$6),(Assumptions!$F$6-Assumptions!$D$6)/3.29)*RANDBETWEEN(2,5)</f>
        <v>3875369.1159260161</v>
      </c>
      <c r="E777" s="12">
        <f ca="1">_xlfn.NORM.INV(RAND(),AVERAGE(Assumptions!$D$17,Assumptions!$F$17),(Assumptions!$F$17-Assumptions!$D$17)/3.29)*8</f>
        <v>1041812.3326774647</v>
      </c>
      <c r="F777" s="15">
        <f ca="1">_xlfn.NORM.INV(RAND(),AVERAGE(Assumptions!$D$7,Assumptions!$F$7),(Assumptions!$F$7-Assumptions!$D$7)/3.29)*RANDBETWEEN(1,3)</f>
        <v>2138199.9983319915</v>
      </c>
      <c r="G777" s="3">
        <f ca="1">_xlfn.NORM.INV(RAND(),AVERAGE(Assumptions!$D$8,Assumptions!$F$8),(Assumptions!$F$8-Assumptions!$D$8)/3.29)*44</f>
        <v>815264.29657073808</v>
      </c>
      <c r="H777" s="6">
        <f ca="1">_xlfn.NORM.INV(RAND(),AVERAGE(Assumptions!$D$9,Assumptions!$F$9),(Assumptions!$F$9-Assumptions!$D$9)/3.29)*21</f>
        <v>2340210.134624288</v>
      </c>
      <c r="I777" s="9">
        <f ca="1">_xlfn.NORM.INV(RAND(),AVERAGE(Assumptions!$D$10,Assumptions!$F$10),(Assumptions!$F$10-Assumptions!$D$10)/3.29)*21</f>
        <v>1061246.2977643332</v>
      </c>
      <c r="J777" s="12">
        <f ca="1">NORMINV(RAND(),AVERAGE(Assumptions!$D$11,Assumptions!$F$11),(Assumptions!$F$11-Assumptions!$D$11)/3.29)*44</f>
        <v>2670487.3200801178</v>
      </c>
      <c r="K777" s="15">
        <f ca="1">_xlfn.NORM.INV(RAND(),AVERAGE(Assumptions!$D$12,Assumptions!$F$12),(Assumptions!$F$12-Assumptions!$D$12)/3.29)*44</f>
        <v>8435657.9393723682</v>
      </c>
      <c r="L777" s="3">
        <f ca="1">_xlfn.NORM.INV(RAND(),AVERAGE(Assumptions!$D$13,Assumptions!$F$13),(Assumptions!$F$13-Assumptions!$D$13)/3.29)*44</f>
        <v>15986413.520198885</v>
      </c>
      <c r="M777" s="6">
        <f ca="1">_xlfn.NORM.INV(RAND(),AVERAGE(Assumptions!$D$14,Assumptions!$F$14),(Assumptions!$F$14-Assumptions!$D$14)/3.29)*44</f>
        <v>5039384.0875064861</v>
      </c>
      <c r="N777" s="9">
        <f ca="1">_xlfn.NORM.INV(RAND(),AVERAGE(Assumptions!$D$16,Assumptions!$F$16),(Assumptions!$F$16-Assumptions!$D$16)/3.29)*44</f>
        <v>2246951.3977935482</v>
      </c>
      <c r="O777" s="12">
        <f ca="1">_xlfn.NORM.INV(RAND(),AVERAGE(Assumptions!$D$15,Assumptions!$F$15),(Assumptions!$F$15-Assumptions!$D$15)/3.29)*44</f>
        <v>155016927.42871687</v>
      </c>
      <c r="P777" s="15">
        <f>Assumptions!$D$18</f>
        <v>14641750.345627395</v>
      </c>
      <c r="Q777" s="3">
        <f t="shared" ca="1" si="24"/>
        <v>106068279.21456534</v>
      </c>
      <c r="R777" s="6">
        <f t="shared" ca="1" si="25"/>
        <v>120710029.56019273</v>
      </c>
    </row>
    <row r="778" spans="1:18">
      <c r="A778" s="20">
        <v>777</v>
      </c>
      <c r="B778" s="3">
        <f ca="1">_xlfn.NORM.INV(RAND(),AVERAGE(Assumptions!$D$4,Assumptions!$F$4),(Assumptions!$F$4-Assumptions!$D$4)/3.29)*44</f>
        <v>1113118.82107947</v>
      </c>
      <c r="C778" s="6">
        <f ca="1">_xlfn.NORM.INV(RAND(),AVERAGE(Assumptions!$D$5,Assumptions!$F$5),(Assumptions!$F$5-Assumptions!$D$5)/3.29)*44</f>
        <v>1775714.9950362709</v>
      </c>
      <c r="D778" s="9">
        <f ca="1">_xlfn.NORM.INV(RAND(),AVERAGE(Assumptions!$D$6,Assumptions!$F$6),(Assumptions!$F$6-Assumptions!$D$6)/3.29)*RANDBETWEEN(2,5)</f>
        <v>1331394.0427211812</v>
      </c>
      <c r="E778" s="12">
        <f ca="1">_xlfn.NORM.INV(RAND(),AVERAGE(Assumptions!$D$17,Assumptions!$F$17),(Assumptions!$F$17-Assumptions!$D$17)/3.29)*8</f>
        <v>817923.60219688667</v>
      </c>
      <c r="F778" s="15">
        <f ca="1">_xlfn.NORM.INV(RAND(),AVERAGE(Assumptions!$D$7,Assumptions!$F$7),(Assumptions!$F$7-Assumptions!$D$7)/3.29)*RANDBETWEEN(1,3)</f>
        <v>5842284.3170045065</v>
      </c>
      <c r="G778" s="3">
        <f ca="1">_xlfn.NORM.INV(RAND(),AVERAGE(Assumptions!$D$8,Assumptions!$F$8),(Assumptions!$F$8-Assumptions!$D$8)/3.29)*44</f>
        <v>1519624.9128959286</v>
      </c>
      <c r="H778" s="6">
        <f ca="1">_xlfn.NORM.INV(RAND(),AVERAGE(Assumptions!$D$9,Assumptions!$F$9),(Assumptions!$F$9-Assumptions!$D$9)/3.29)*21</f>
        <v>3184820.3572016498</v>
      </c>
      <c r="I778" s="9">
        <f ca="1">_xlfn.NORM.INV(RAND(),AVERAGE(Assumptions!$D$10,Assumptions!$F$10),(Assumptions!$F$10-Assumptions!$D$10)/3.29)*21</f>
        <v>752440.69210277742</v>
      </c>
      <c r="J778" s="12">
        <f ca="1">NORMINV(RAND(),AVERAGE(Assumptions!$D$11,Assumptions!$F$11),(Assumptions!$F$11-Assumptions!$D$11)/3.29)*44</f>
        <v>3361151.6706763785</v>
      </c>
      <c r="K778" s="15">
        <f ca="1">_xlfn.NORM.INV(RAND(),AVERAGE(Assumptions!$D$12,Assumptions!$F$12),(Assumptions!$F$12-Assumptions!$D$12)/3.29)*44</f>
        <v>7851550.7672360633</v>
      </c>
      <c r="L778" s="3">
        <f ca="1">_xlfn.NORM.INV(RAND(),AVERAGE(Assumptions!$D$13,Assumptions!$F$13),(Assumptions!$F$13-Assumptions!$D$13)/3.29)*44</f>
        <v>6506360.2167149521</v>
      </c>
      <c r="M778" s="6">
        <f ca="1">_xlfn.NORM.INV(RAND(),AVERAGE(Assumptions!$D$14,Assumptions!$F$14),(Assumptions!$F$14-Assumptions!$D$14)/3.29)*44</f>
        <v>6684084.8724801773</v>
      </c>
      <c r="N778" s="9">
        <f ca="1">_xlfn.NORM.INV(RAND(),AVERAGE(Assumptions!$D$16,Assumptions!$F$16),(Assumptions!$F$16-Assumptions!$D$16)/3.29)*44</f>
        <v>6489077.9596980363</v>
      </c>
      <c r="O778" s="12">
        <f ca="1">_xlfn.NORM.INV(RAND(),AVERAGE(Assumptions!$D$15,Assumptions!$F$15),(Assumptions!$F$15-Assumptions!$D$15)/3.29)*44</f>
        <v>196353476.79443067</v>
      </c>
      <c r="P778" s="15">
        <f>Assumptions!$D$18</f>
        <v>14641750.345627395</v>
      </c>
      <c r="Q778" s="3">
        <f t="shared" ca="1" si="24"/>
        <v>149123929.56738639</v>
      </c>
      <c r="R778" s="6">
        <f t="shared" ca="1" si="25"/>
        <v>163765679.91301379</v>
      </c>
    </row>
    <row r="779" spans="1:18">
      <c r="A779" s="20">
        <v>778</v>
      </c>
      <c r="B779" s="3">
        <f ca="1">_xlfn.NORM.INV(RAND(),AVERAGE(Assumptions!$D$4,Assumptions!$F$4),(Assumptions!$F$4-Assumptions!$D$4)/3.29)*44</f>
        <v>1141061.9720203055</v>
      </c>
      <c r="C779" s="6">
        <f ca="1">_xlfn.NORM.INV(RAND(),AVERAGE(Assumptions!$D$5,Assumptions!$F$5),(Assumptions!$F$5-Assumptions!$D$5)/3.29)*44</f>
        <v>1943155.4205056618</v>
      </c>
      <c r="D779" s="9">
        <f ca="1">_xlfn.NORM.INV(RAND(),AVERAGE(Assumptions!$D$6,Assumptions!$F$6),(Assumptions!$F$6-Assumptions!$D$6)/3.29)*RANDBETWEEN(2,5)</f>
        <v>4311782.7848570049</v>
      </c>
      <c r="E779" s="12">
        <f ca="1">_xlfn.NORM.INV(RAND(),AVERAGE(Assumptions!$D$17,Assumptions!$F$17),(Assumptions!$F$17-Assumptions!$D$17)/3.29)*8</f>
        <v>950560.37648556195</v>
      </c>
      <c r="F779" s="15">
        <f ca="1">_xlfn.NORM.INV(RAND(),AVERAGE(Assumptions!$D$7,Assumptions!$F$7),(Assumptions!$F$7-Assumptions!$D$7)/3.29)*RANDBETWEEN(1,3)</f>
        <v>7997846.2185091143</v>
      </c>
      <c r="G779" s="3">
        <f ca="1">_xlfn.NORM.INV(RAND(),AVERAGE(Assumptions!$D$8,Assumptions!$F$8),(Assumptions!$F$8-Assumptions!$D$8)/3.29)*44</f>
        <v>721476.84821641876</v>
      </c>
      <c r="H779" s="6">
        <f ca="1">_xlfn.NORM.INV(RAND(),AVERAGE(Assumptions!$D$9,Assumptions!$F$9),(Assumptions!$F$9-Assumptions!$D$9)/3.29)*21</f>
        <v>4199362.4052873524</v>
      </c>
      <c r="I779" s="9">
        <f ca="1">_xlfn.NORM.INV(RAND(),AVERAGE(Assumptions!$D$10,Assumptions!$F$10),(Assumptions!$F$10-Assumptions!$D$10)/3.29)*21</f>
        <v>1487533.9715587592</v>
      </c>
      <c r="J779" s="12">
        <f ca="1">NORMINV(RAND(),AVERAGE(Assumptions!$D$11,Assumptions!$F$11),(Assumptions!$F$11-Assumptions!$D$11)/3.29)*44</f>
        <v>4997215.8628208088</v>
      </c>
      <c r="K779" s="15">
        <f ca="1">_xlfn.NORM.INV(RAND(),AVERAGE(Assumptions!$D$12,Assumptions!$F$12),(Assumptions!$F$12-Assumptions!$D$12)/3.29)*44</f>
        <v>5732016.1509998785</v>
      </c>
      <c r="L779" s="3">
        <f ca="1">_xlfn.NORM.INV(RAND(),AVERAGE(Assumptions!$D$13,Assumptions!$F$13),(Assumptions!$F$13-Assumptions!$D$13)/3.29)*44</f>
        <v>17810664.540678967</v>
      </c>
      <c r="M779" s="6">
        <f ca="1">_xlfn.NORM.INV(RAND(),AVERAGE(Assumptions!$D$14,Assumptions!$F$14),(Assumptions!$F$14-Assumptions!$D$14)/3.29)*44</f>
        <v>7080978.5723253516</v>
      </c>
      <c r="N779" s="9">
        <f ca="1">_xlfn.NORM.INV(RAND(),AVERAGE(Assumptions!$D$16,Assumptions!$F$16),(Assumptions!$F$16-Assumptions!$D$16)/3.29)*44</f>
        <v>9489350.895753026</v>
      </c>
      <c r="O779" s="12">
        <f ca="1">_xlfn.NORM.INV(RAND(),AVERAGE(Assumptions!$D$15,Assumptions!$F$15),(Assumptions!$F$15-Assumptions!$D$15)/3.29)*44</f>
        <v>185109245.68890402</v>
      </c>
      <c r="P779" s="15">
        <f>Assumptions!$D$18</f>
        <v>14641750.345627395</v>
      </c>
      <c r="Q779" s="3">
        <f t="shared" ca="1" si="24"/>
        <v>117246239.66888581</v>
      </c>
      <c r="R779" s="6">
        <f t="shared" ca="1" si="25"/>
        <v>131887990.01451321</v>
      </c>
    </row>
    <row r="780" spans="1:18">
      <c r="A780" s="20">
        <v>779</v>
      </c>
      <c r="B780" s="3">
        <f ca="1">_xlfn.NORM.INV(RAND(),AVERAGE(Assumptions!$D$4,Assumptions!$F$4),(Assumptions!$F$4-Assumptions!$D$4)/3.29)*44</f>
        <v>1146192.6063553926</v>
      </c>
      <c r="C780" s="6">
        <f ca="1">_xlfn.NORM.INV(RAND(),AVERAGE(Assumptions!$D$5,Assumptions!$F$5),(Assumptions!$F$5-Assumptions!$D$5)/3.29)*44</f>
        <v>1861386.3854387305</v>
      </c>
      <c r="D780" s="9">
        <f ca="1">_xlfn.NORM.INV(RAND(),AVERAGE(Assumptions!$D$6,Assumptions!$F$6),(Assumptions!$F$6-Assumptions!$D$6)/3.29)*RANDBETWEEN(2,5)</f>
        <v>5558770.1321412213</v>
      </c>
      <c r="E780" s="12">
        <f ca="1">_xlfn.NORM.INV(RAND(),AVERAGE(Assumptions!$D$17,Assumptions!$F$17),(Assumptions!$F$17-Assumptions!$D$17)/3.29)*8</f>
        <v>793805.24007181416</v>
      </c>
      <c r="F780" s="15">
        <f ca="1">_xlfn.NORM.INV(RAND(),AVERAGE(Assumptions!$D$7,Assumptions!$F$7),(Assumptions!$F$7-Assumptions!$D$7)/3.29)*RANDBETWEEN(1,3)</f>
        <v>4383399.0943632862</v>
      </c>
      <c r="G780" s="3">
        <f ca="1">_xlfn.NORM.INV(RAND(),AVERAGE(Assumptions!$D$8,Assumptions!$F$8),(Assumptions!$F$8-Assumptions!$D$8)/3.29)*44</f>
        <v>812811.24501950643</v>
      </c>
      <c r="H780" s="6">
        <f ca="1">_xlfn.NORM.INV(RAND(),AVERAGE(Assumptions!$D$9,Assumptions!$F$9),(Assumptions!$F$9-Assumptions!$D$9)/3.29)*21</f>
        <v>2726678.5219493848</v>
      </c>
      <c r="I780" s="9">
        <f ca="1">_xlfn.NORM.INV(RAND(),AVERAGE(Assumptions!$D$10,Assumptions!$F$10),(Assumptions!$F$10-Assumptions!$D$10)/3.29)*21</f>
        <v>604608.5636272647</v>
      </c>
      <c r="J780" s="12">
        <f ca="1">NORMINV(RAND(),AVERAGE(Assumptions!$D$11,Assumptions!$F$11),(Assumptions!$F$11-Assumptions!$D$11)/3.29)*44</f>
        <v>4608489.1937808534</v>
      </c>
      <c r="K780" s="15">
        <f ca="1">_xlfn.NORM.INV(RAND(),AVERAGE(Assumptions!$D$12,Assumptions!$F$12),(Assumptions!$F$12-Assumptions!$D$12)/3.29)*44</f>
        <v>11689751.841951972</v>
      </c>
      <c r="L780" s="3">
        <f ca="1">_xlfn.NORM.INV(RAND(),AVERAGE(Assumptions!$D$13,Assumptions!$F$13),(Assumptions!$F$13-Assumptions!$D$13)/3.29)*44</f>
        <v>16659456.83946044</v>
      </c>
      <c r="M780" s="6">
        <f ca="1">_xlfn.NORM.INV(RAND(),AVERAGE(Assumptions!$D$14,Assumptions!$F$14),(Assumptions!$F$14-Assumptions!$D$14)/3.29)*44</f>
        <v>4304615.5536165284</v>
      </c>
      <c r="N780" s="9">
        <f ca="1">_xlfn.NORM.INV(RAND(),AVERAGE(Assumptions!$D$16,Assumptions!$F$16),(Assumptions!$F$16-Assumptions!$D$16)/3.29)*44</f>
        <v>13717512.898772709</v>
      </c>
      <c r="O780" s="12">
        <f ca="1">_xlfn.NORM.INV(RAND(),AVERAGE(Assumptions!$D$15,Assumptions!$F$15),(Assumptions!$F$15-Assumptions!$D$15)/3.29)*44</f>
        <v>181486279.39724979</v>
      </c>
      <c r="P780" s="15">
        <f>Assumptions!$D$18</f>
        <v>14641750.345627395</v>
      </c>
      <c r="Q780" s="3">
        <f t="shared" ca="1" si="24"/>
        <v>112618801.28070067</v>
      </c>
      <c r="R780" s="6">
        <f t="shared" ca="1" si="25"/>
        <v>127260551.62632807</v>
      </c>
    </row>
    <row r="781" spans="1:18">
      <c r="A781" s="20">
        <v>780</v>
      </c>
      <c r="B781" s="3">
        <f ca="1">_xlfn.NORM.INV(RAND(),AVERAGE(Assumptions!$D$4,Assumptions!$F$4),(Assumptions!$F$4-Assumptions!$D$4)/3.29)*44</f>
        <v>1223283.4215918602</v>
      </c>
      <c r="C781" s="6">
        <f ca="1">_xlfn.NORM.INV(RAND(),AVERAGE(Assumptions!$D$5,Assumptions!$F$5),(Assumptions!$F$5-Assumptions!$D$5)/3.29)*44</f>
        <v>1979156.2352398923</v>
      </c>
      <c r="D781" s="9">
        <f ca="1">_xlfn.NORM.INV(RAND(),AVERAGE(Assumptions!$D$6,Assumptions!$F$6),(Assumptions!$F$6-Assumptions!$D$6)/3.29)*RANDBETWEEN(2,5)</f>
        <v>1039554.325487098</v>
      </c>
      <c r="E781" s="12">
        <f ca="1">_xlfn.NORM.INV(RAND(),AVERAGE(Assumptions!$D$17,Assumptions!$F$17),(Assumptions!$F$17-Assumptions!$D$17)/3.29)*8</f>
        <v>1005434.0121742495</v>
      </c>
      <c r="F781" s="15">
        <f ca="1">_xlfn.NORM.INV(RAND(),AVERAGE(Assumptions!$D$7,Assumptions!$F$7),(Assumptions!$F$7-Assumptions!$D$7)/3.29)*RANDBETWEEN(1,3)</f>
        <v>7858135.532441644</v>
      </c>
      <c r="G781" s="3">
        <f ca="1">_xlfn.NORM.INV(RAND(),AVERAGE(Assumptions!$D$8,Assumptions!$F$8),(Assumptions!$F$8-Assumptions!$D$8)/3.29)*44</f>
        <v>1407872.7729390359</v>
      </c>
      <c r="H781" s="6">
        <f ca="1">_xlfn.NORM.INV(RAND(),AVERAGE(Assumptions!$D$9,Assumptions!$F$9),(Assumptions!$F$9-Assumptions!$D$9)/3.29)*21</f>
        <v>6279735.1516464008</v>
      </c>
      <c r="I781" s="9">
        <f ca="1">_xlfn.NORM.INV(RAND(),AVERAGE(Assumptions!$D$10,Assumptions!$F$10),(Assumptions!$F$10-Assumptions!$D$10)/3.29)*21</f>
        <v>721840.50154880492</v>
      </c>
      <c r="J781" s="12">
        <f ca="1">NORMINV(RAND(),AVERAGE(Assumptions!$D$11,Assumptions!$F$11),(Assumptions!$F$11-Assumptions!$D$11)/3.29)*44</f>
        <v>2967618.3796037226</v>
      </c>
      <c r="K781" s="15">
        <f ca="1">_xlfn.NORM.INV(RAND(),AVERAGE(Assumptions!$D$12,Assumptions!$F$12),(Assumptions!$F$12-Assumptions!$D$12)/3.29)*44</f>
        <v>9361095.2909895256</v>
      </c>
      <c r="L781" s="3">
        <f ca="1">_xlfn.NORM.INV(RAND(),AVERAGE(Assumptions!$D$13,Assumptions!$F$13),(Assumptions!$F$13-Assumptions!$D$13)/3.29)*44</f>
        <v>15192355.929479584</v>
      </c>
      <c r="M781" s="6">
        <f ca="1">_xlfn.NORM.INV(RAND(),AVERAGE(Assumptions!$D$14,Assumptions!$F$14),(Assumptions!$F$14-Assumptions!$D$14)/3.29)*44</f>
        <v>7605348.6653210782</v>
      </c>
      <c r="N781" s="9">
        <f ca="1">_xlfn.NORM.INV(RAND(),AVERAGE(Assumptions!$D$16,Assumptions!$F$16),(Assumptions!$F$16-Assumptions!$D$16)/3.29)*44</f>
        <v>15541086.32825193</v>
      </c>
      <c r="O781" s="12">
        <f ca="1">_xlfn.NORM.INV(RAND(),AVERAGE(Assumptions!$D$15,Assumptions!$F$15),(Assumptions!$F$15-Assumptions!$D$15)/3.29)*44</f>
        <v>81807659.082091466</v>
      </c>
      <c r="P781" s="15">
        <f>Assumptions!$D$18</f>
        <v>14641750.345627395</v>
      </c>
      <c r="Q781" s="3">
        <f t="shared" ca="1" si="24"/>
        <v>9625142.5353766382</v>
      </c>
      <c r="R781" s="6">
        <f t="shared" ca="1" si="25"/>
        <v>24266892.881004035</v>
      </c>
    </row>
    <row r="782" spans="1:18">
      <c r="A782" s="20">
        <v>781</v>
      </c>
      <c r="B782" s="3">
        <f ca="1">_xlfn.NORM.INV(RAND(),AVERAGE(Assumptions!$D$4,Assumptions!$F$4),(Assumptions!$F$4-Assumptions!$D$4)/3.29)*44</f>
        <v>1300591.9906581023</v>
      </c>
      <c r="C782" s="6">
        <f ca="1">_xlfn.NORM.INV(RAND(),AVERAGE(Assumptions!$D$5,Assumptions!$F$5),(Assumptions!$F$5-Assumptions!$D$5)/3.29)*44</f>
        <v>1848640.850114601</v>
      </c>
      <c r="D782" s="9">
        <f ca="1">_xlfn.NORM.INV(RAND(),AVERAGE(Assumptions!$D$6,Assumptions!$F$6),(Assumptions!$F$6-Assumptions!$D$6)/3.29)*RANDBETWEEN(2,5)</f>
        <v>3000995.6806611288</v>
      </c>
      <c r="E782" s="12">
        <f ca="1">_xlfn.NORM.INV(RAND(),AVERAGE(Assumptions!$D$17,Assumptions!$F$17),(Assumptions!$F$17-Assumptions!$D$17)/3.29)*8</f>
        <v>1070476.559551972</v>
      </c>
      <c r="F782" s="15">
        <f ca="1">_xlfn.NORM.INV(RAND(),AVERAGE(Assumptions!$D$7,Assumptions!$F$7),(Assumptions!$F$7-Assumptions!$D$7)/3.29)*RANDBETWEEN(1,3)</f>
        <v>5595144.8750670319</v>
      </c>
      <c r="G782" s="3">
        <f ca="1">_xlfn.NORM.INV(RAND(),AVERAGE(Assumptions!$D$8,Assumptions!$F$8),(Assumptions!$F$8-Assumptions!$D$8)/3.29)*44</f>
        <v>1003438.4915620686</v>
      </c>
      <c r="H782" s="6">
        <f ca="1">_xlfn.NORM.INV(RAND(),AVERAGE(Assumptions!$D$9,Assumptions!$F$9),(Assumptions!$F$9-Assumptions!$D$9)/3.29)*21</f>
        <v>4098170.8542073816</v>
      </c>
      <c r="I782" s="9">
        <f ca="1">_xlfn.NORM.INV(RAND(),AVERAGE(Assumptions!$D$10,Assumptions!$F$10),(Assumptions!$F$10-Assumptions!$D$10)/3.29)*21</f>
        <v>667006.66475975944</v>
      </c>
      <c r="J782" s="12">
        <f ca="1">NORMINV(RAND(),AVERAGE(Assumptions!$D$11,Assumptions!$F$11),(Assumptions!$F$11-Assumptions!$D$11)/3.29)*44</f>
        <v>2022259.8403792456</v>
      </c>
      <c r="K782" s="15">
        <f ca="1">_xlfn.NORM.INV(RAND(),AVERAGE(Assumptions!$D$12,Assumptions!$F$12),(Assumptions!$F$12-Assumptions!$D$12)/3.29)*44</f>
        <v>7012709.0885217972</v>
      </c>
      <c r="L782" s="3">
        <f ca="1">_xlfn.NORM.INV(RAND(),AVERAGE(Assumptions!$D$13,Assumptions!$F$13),(Assumptions!$F$13-Assumptions!$D$13)/3.29)*44</f>
        <v>6644354.9788807696</v>
      </c>
      <c r="M782" s="6">
        <f ca="1">_xlfn.NORM.INV(RAND(),AVERAGE(Assumptions!$D$14,Assumptions!$F$14),(Assumptions!$F$14-Assumptions!$D$14)/3.29)*44</f>
        <v>4446959.1122554727</v>
      </c>
      <c r="N782" s="9">
        <f ca="1">_xlfn.NORM.INV(RAND(),AVERAGE(Assumptions!$D$16,Assumptions!$F$16),(Assumptions!$F$16-Assumptions!$D$16)/3.29)*44</f>
        <v>14674255.96816525</v>
      </c>
      <c r="O782" s="12">
        <f ca="1">_xlfn.NORM.INV(RAND(),AVERAGE(Assumptions!$D$15,Assumptions!$F$15),(Assumptions!$F$15-Assumptions!$D$15)/3.29)*44</f>
        <v>91411097.535424501</v>
      </c>
      <c r="P782" s="15">
        <f>Assumptions!$D$18</f>
        <v>14641750.345627395</v>
      </c>
      <c r="Q782" s="3">
        <f t="shared" ca="1" si="24"/>
        <v>38026092.580639929</v>
      </c>
      <c r="R782" s="6">
        <f t="shared" ca="1" si="25"/>
        <v>52667842.926267326</v>
      </c>
    </row>
    <row r="783" spans="1:18">
      <c r="A783" s="20">
        <v>782</v>
      </c>
      <c r="B783" s="3">
        <f ca="1">_xlfn.NORM.INV(RAND(),AVERAGE(Assumptions!$D$4,Assumptions!$F$4),(Assumptions!$F$4-Assumptions!$D$4)/3.29)*44</f>
        <v>1120427.7329963017</v>
      </c>
      <c r="C783" s="6">
        <f ca="1">_xlfn.NORM.INV(RAND(),AVERAGE(Assumptions!$D$5,Assumptions!$F$5),(Assumptions!$F$5-Assumptions!$D$5)/3.29)*44</f>
        <v>1752352.9469315459</v>
      </c>
      <c r="D783" s="9">
        <f ca="1">_xlfn.NORM.INV(RAND(),AVERAGE(Assumptions!$D$6,Assumptions!$F$6),(Assumptions!$F$6-Assumptions!$D$6)/3.29)*RANDBETWEEN(2,5)</f>
        <v>4945766.4532275917</v>
      </c>
      <c r="E783" s="12">
        <f ca="1">_xlfn.NORM.INV(RAND(),AVERAGE(Assumptions!$D$17,Assumptions!$F$17),(Assumptions!$F$17-Assumptions!$D$17)/3.29)*8</f>
        <v>1129558.4990694229</v>
      </c>
      <c r="F783" s="15">
        <f ca="1">_xlfn.NORM.INV(RAND(),AVERAGE(Assumptions!$D$7,Assumptions!$F$7),(Assumptions!$F$7-Assumptions!$D$7)/3.29)*RANDBETWEEN(1,3)</f>
        <v>2679003.6863895035</v>
      </c>
      <c r="G783" s="3">
        <f ca="1">_xlfn.NORM.INV(RAND(),AVERAGE(Assumptions!$D$8,Assumptions!$F$8),(Assumptions!$F$8-Assumptions!$D$8)/3.29)*44</f>
        <v>1271252.6934208008</v>
      </c>
      <c r="H783" s="6">
        <f ca="1">_xlfn.NORM.INV(RAND(),AVERAGE(Assumptions!$D$9,Assumptions!$F$9),(Assumptions!$F$9-Assumptions!$D$9)/3.29)*21</f>
        <v>3469086.7955403836</v>
      </c>
      <c r="I783" s="9">
        <f ca="1">_xlfn.NORM.INV(RAND(),AVERAGE(Assumptions!$D$10,Assumptions!$F$10),(Assumptions!$F$10-Assumptions!$D$10)/3.29)*21</f>
        <v>1267504.4394815138</v>
      </c>
      <c r="J783" s="12">
        <f ca="1">NORMINV(RAND(),AVERAGE(Assumptions!$D$11,Assumptions!$F$11),(Assumptions!$F$11-Assumptions!$D$11)/3.29)*44</f>
        <v>4561854.0561978668</v>
      </c>
      <c r="K783" s="15">
        <f ca="1">_xlfn.NORM.INV(RAND(),AVERAGE(Assumptions!$D$12,Assumptions!$F$12),(Assumptions!$F$12-Assumptions!$D$12)/3.29)*44</f>
        <v>5806160.6475067753</v>
      </c>
      <c r="L783" s="3">
        <f ca="1">_xlfn.NORM.INV(RAND(),AVERAGE(Assumptions!$D$13,Assumptions!$F$13),(Assumptions!$F$13-Assumptions!$D$13)/3.29)*44</f>
        <v>12361293.710479386</v>
      </c>
      <c r="M783" s="6">
        <f ca="1">_xlfn.NORM.INV(RAND(),AVERAGE(Assumptions!$D$14,Assumptions!$F$14),(Assumptions!$F$14-Assumptions!$D$14)/3.29)*44</f>
        <v>5330638.307303003</v>
      </c>
      <c r="N783" s="9">
        <f ca="1">_xlfn.NORM.INV(RAND(),AVERAGE(Assumptions!$D$16,Assumptions!$F$16),(Assumptions!$F$16-Assumptions!$D$16)/3.29)*44</f>
        <v>3333089.3625130812</v>
      </c>
      <c r="O783" s="12">
        <f ca="1">_xlfn.NORM.INV(RAND(),AVERAGE(Assumptions!$D$15,Assumptions!$F$15),(Assumptions!$F$15-Assumptions!$D$15)/3.29)*44</f>
        <v>135485658.64765373</v>
      </c>
      <c r="P783" s="15">
        <f>Assumptions!$D$18</f>
        <v>14641750.345627395</v>
      </c>
      <c r="Q783" s="3">
        <f t="shared" ca="1" si="24"/>
        <v>86457669.316596553</v>
      </c>
      <c r="R783" s="6">
        <f t="shared" ca="1" si="25"/>
        <v>101099419.66222395</v>
      </c>
    </row>
    <row r="784" spans="1:18">
      <c r="A784" s="20">
        <v>783</v>
      </c>
      <c r="B784" s="3">
        <f ca="1">_xlfn.NORM.INV(RAND(),AVERAGE(Assumptions!$D$4,Assumptions!$F$4),(Assumptions!$F$4-Assumptions!$D$4)/3.29)*44</f>
        <v>1149937.3919282698</v>
      </c>
      <c r="C784" s="6">
        <f ca="1">_xlfn.NORM.INV(RAND(),AVERAGE(Assumptions!$D$5,Assumptions!$F$5),(Assumptions!$F$5-Assumptions!$D$5)/3.29)*44</f>
        <v>2167673.8181583043</v>
      </c>
      <c r="D784" s="9">
        <f ca="1">_xlfn.NORM.INV(RAND(),AVERAGE(Assumptions!$D$6,Assumptions!$F$6),(Assumptions!$F$6-Assumptions!$D$6)/3.29)*RANDBETWEEN(2,5)</f>
        <v>6367498.4822993567</v>
      </c>
      <c r="E784" s="12">
        <f ca="1">_xlfn.NORM.INV(RAND(),AVERAGE(Assumptions!$D$17,Assumptions!$F$17),(Assumptions!$F$17-Assumptions!$D$17)/3.29)*8</f>
        <v>1060512.1233315745</v>
      </c>
      <c r="F784" s="15">
        <f ca="1">_xlfn.NORM.INV(RAND(),AVERAGE(Assumptions!$D$7,Assumptions!$F$7),(Assumptions!$F$7-Assumptions!$D$7)/3.29)*RANDBETWEEN(1,3)</f>
        <v>1954130.4432930485</v>
      </c>
      <c r="G784" s="3">
        <f ca="1">_xlfn.NORM.INV(RAND(),AVERAGE(Assumptions!$D$8,Assumptions!$F$8),(Assumptions!$F$8-Assumptions!$D$8)/3.29)*44</f>
        <v>811354.33239515696</v>
      </c>
      <c r="H784" s="6">
        <f ca="1">_xlfn.NORM.INV(RAND(),AVERAGE(Assumptions!$D$9,Assumptions!$F$9),(Assumptions!$F$9-Assumptions!$D$9)/3.29)*21</f>
        <v>5482829.732792113</v>
      </c>
      <c r="I784" s="9">
        <f ca="1">_xlfn.NORM.INV(RAND(),AVERAGE(Assumptions!$D$10,Assumptions!$F$10),(Assumptions!$F$10-Assumptions!$D$10)/3.29)*21</f>
        <v>758801.28095652862</v>
      </c>
      <c r="J784" s="12">
        <f ca="1">NORMINV(RAND(),AVERAGE(Assumptions!$D$11,Assumptions!$F$11),(Assumptions!$F$11-Assumptions!$D$11)/3.29)*44</f>
        <v>4952160.6873159902</v>
      </c>
      <c r="K784" s="15">
        <f ca="1">_xlfn.NORM.INV(RAND(),AVERAGE(Assumptions!$D$12,Assumptions!$F$12),(Assumptions!$F$12-Assumptions!$D$12)/3.29)*44</f>
        <v>7293265.9272113172</v>
      </c>
      <c r="L784" s="3">
        <f ca="1">_xlfn.NORM.INV(RAND(),AVERAGE(Assumptions!$D$13,Assumptions!$F$13),(Assumptions!$F$13-Assumptions!$D$13)/3.29)*44</f>
        <v>11200208.652181195</v>
      </c>
      <c r="M784" s="6">
        <f ca="1">_xlfn.NORM.INV(RAND(),AVERAGE(Assumptions!$D$14,Assumptions!$F$14),(Assumptions!$F$14-Assumptions!$D$14)/3.29)*44</f>
        <v>5402930.3464117013</v>
      </c>
      <c r="N784" s="9">
        <f ca="1">_xlfn.NORM.INV(RAND(),AVERAGE(Assumptions!$D$16,Assumptions!$F$16),(Assumptions!$F$16-Assumptions!$D$16)/3.29)*44</f>
        <v>17983501.468218591</v>
      </c>
      <c r="O784" s="12">
        <f ca="1">_xlfn.NORM.INV(RAND(),AVERAGE(Assumptions!$D$15,Assumptions!$F$15),(Assumptions!$F$15-Assumptions!$D$15)/3.29)*44</f>
        <v>123667062.5274996</v>
      </c>
      <c r="P784" s="15">
        <f>Assumptions!$D$18</f>
        <v>14641750.345627395</v>
      </c>
      <c r="Q784" s="3">
        <f t="shared" ca="1" si="24"/>
        <v>57082257.841006443</v>
      </c>
      <c r="R784" s="6">
        <f t="shared" ca="1" si="25"/>
        <v>71724008.18663384</v>
      </c>
    </row>
    <row r="785" spans="1:18">
      <c r="A785" s="20">
        <v>784</v>
      </c>
      <c r="B785" s="3">
        <f ca="1">_xlfn.NORM.INV(RAND(),AVERAGE(Assumptions!$D$4,Assumptions!$F$4),(Assumptions!$F$4-Assumptions!$D$4)/3.29)*44</f>
        <v>1100627.8291197997</v>
      </c>
      <c r="C785" s="6">
        <f ca="1">_xlfn.NORM.INV(RAND(),AVERAGE(Assumptions!$D$5,Assumptions!$F$5),(Assumptions!$F$5-Assumptions!$D$5)/3.29)*44</f>
        <v>1708432.8834251682</v>
      </c>
      <c r="D785" s="9">
        <f ca="1">_xlfn.NORM.INV(RAND(),AVERAGE(Assumptions!$D$6,Assumptions!$F$6),(Assumptions!$F$6-Assumptions!$D$6)/3.29)*RANDBETWEEN(2,5)</f>
        <v>4185721.4558564266</v>
      </c>
      <c r="E785" s="12">
        <f ca="1">_xlfn.NORM.INV(RAND(),AVERAGE(Assumptions!$D$17,Assumptions!$F$17),(Assumptions!$F$17-Assumptions!$D$17)/3.29)*8</f>
        <v>1061158.7601189176</v>
      </c>
      <c r="F785" s="15">
        <f ca="1">_xlfn.NORM.INV(RAND(),AVERAGE(Assumptions!$D$7,Assumptions!$F$7),(Assumptions!$F$7-Assumptions!$D$7)/3.29)*RANDBETWEEN(1,3)</f>
        <v>8463264.3161652107</v>
      </c>
      <c r="G785" s="3">
        <f ca="1">_xlfn.NORM.INV(RAND(),AVERAGE(Assumptions!$D$8,Assumptions!$F$8),(Assumptions!$F$8-Assumptions!$D$8)/3.29)*44</f>
        <v>1060612.9489141679</v>
      </c>
      <c r="H785" s="6">
        <f ca="1">_xlfn.NORM.INV(RAND(),AVERAGE(Assumptions!$D$9,Assumptions!$F$9),(Assumptions!$F$9-Assumptions!$D$9)/3.29)*21</f>
        <v>2179209.8543401444</v>
      </c>
      <c r="I785" s="9">
        <f ca="1">_xlfn.NORM.INV(RAND(),AVERAGE(Assumptions!$D$10,Assumptions!$F$10),(Assumptions!$F$10-Assumptions!$D$10)/3.29)*21</f>
        <v>1013740.1222583151</v>
      </c>
      <c r="J785" s="12">
        <f ca="1">NORMINV(RAND(),AVERAGE(Assumptions!$D$11,Assumptions!$F$11),(Assumptions!$F$11-Assumptions!$D$11)/3.29)*44</f>
        <v>3458039.9784694198</v>
      </c>
      <c r="K785" s="15">
        <f ca="1">_xlfn.NORM.INV(RAND(),AVERAGE(Assumptions!$D$12,Assumptions!$F$12),(Assumptions!$F$12-Assumptions!$D$12)/3.29)*44</f>
        <v>8301864.8840382891</v>
      </c>
      <c r="L785" s="3">
        <f ca="1">_xlfn.NORM.INV(RAND(),AVERAGE(Assumptions!$D$13,Assumptions!$F$13),(Assumptions!$F$13-Assumptions!$D$13)/3.29)*44</f>
        <v>6245432.6515720347</v>
      </c>
      <c r="M785" s="6">
        <f ca="1">_xlfn.NORM.INV(RAND(),AVERAGE(Assumptions!$D$14,Assumptions!$F$14),(Assumptions!$F$14-Assumptions!$D$14)/3.29)*44</f>
        <v>5700920.7681508195</v>
      </c>
      <c r="N785" s="9">
        <f ca="1">_xlfn.NORM.INV(RAND(),AVERAGE(Assumptions!$D$16,Assumptions!$F$16),(Assumptions!$F$16-Assumptions!$D$16)/3.29)*44</f>
        <v>12273133.914840804</v>
      </c>
      <c r="O785" s="12">
        <f ca="1">_xlfn.NORM.INV(RAND(),AVERAGE(Assumptions!$D$15,Assumptions!$F$15),(Assumptions!$F$15-Assumptions!$D$15)/3.29)*44</f>
        <v>-1533657.7626710087</v>
      </c>
      <c r="P785" s="15">
        <f>Assumptions!$D$18</f>
        <v>14641750.345627395</v>
      </c>
      <c r="Q785" s="3">
        <f t="shared" ca="1" si="24"/>
        <v>-58285818.129940525</v>
      </c>
      <c r="R785" s="6">
        <f t="shared" ca="1" si="25"/>
        <v>-43644067.784313127</v>
      </c>
    </row>
    <row r="786" spans="1:18">
      <c r="A786" s="20">
        <v>785</v>
      </c>
      <c r="B786" s="3">
        <f ca="1">_xlfn.NORM.INV(RAND(),AVERAGE(Assumptions!$D$4,Assumptions!$F$4),(Assumptions!$F$4-Assumptions!$D$4)/3.29)*44</f>
        <v>1147318.1255593202</v>
      </c>
      <c r="C786" s="6">
        <f ca="1">_xlfn.NORM.INV(RAND(),AVERAGE(Assumptions!$D$5,Assumptions!$F$5),(Assumptions!$F$5-Assumptions!$D$5)/3.29)*44</f>
        <v>1897880.7200496409</v>
      </c>
      <c r="D786" s="9">
        <f ca="1">_xlfn.NORM.INV(RAND(),AVERAGE(Assumptions!$D$6,Assumptions!$F$6),(Assumptions!$F$6-Assumptions!$D$6)/3.29)*RANDBETWEEN(2,5)</f>
        <v>6732382.1242504362</v>
      </c>
      <c r="E786" s="12">
        <f ca="1">_xlfn.NORM.INV(RAND(),AVERAGE(Assumptions!$D$17,Assumptions!$F$17),(Assumptions!$F$17-Assumptions!$D$17)/3.29)*8</f>
        <v>817473.45016215928</v>
      </c>
      <c r="F786" s="15">
        <f ca="1">_xlfn.NORM.INV(RAND(),AVERAGE(Assumptions!$D$7,Assumptions!$F$7),(Assumptions!$F$7-Assumptions!$D$7)/3.29)*RANDBETWEEN(1,3)</f>
        <v>4531575.4006852563</v>
      </c>
      <c r="G786" s="3">
        <f ca="1">_xlfn.NORM.INV(RAND(),AVERAGE(Assumptions!$D$8,Assumptions!$F$8),(Assumptions!$F$8-Assumptions!$D$8)/3.29)*44</f>
        <v>1307732.4223508134</v>
      </c>
      <c r="H786" s="6">
        <f ca="1">_xlfn.NORM.INV(RAND(),AVERAGE(Assumptions!$D$9,Assumptions!$F$9),(Assumptions!$F$9-Assumptions!$D$9)/3.29)*21</f>
        <v>4057683.547223012</v>
      </c>
      <c r="I786" s="9">
        <f ca="1">_xlfn.NORM.INV(RAND(),AVERAGE(Assumptions!$D$10,Assumptions!$F$10),(Assumptions!$F$10-Assumptions!$D$10)/3.29)*21</f>
        <v>887366.70953364309</v>
      </c>
      <c r="J786" s="12">
        <f ca="1">NORMINV(RAND(),AVERAGE(Assumptions!$D$11,Assumptions!$F$11),(Assumptions!$F$11-Assumptions!$D$11)/3.29)*44</f>
        <v>2334594.7764117294</v>
      </c>
      <c r="K786" s="15">
        <f ca="1">_xlfn.NORM.INV(RAND(),AVERAGE(Assumptions!$D$12,Assumptions!$F$12),(Assumptions!$F$12-Assumptions!$D$12)/3.29)*44</f>
        <v>11049859.71051191</v>
      </c>
      <c r="L786" s="3">
        <f ca="1">_xlfn.NORM.INV(RAND(),AVERAGE(Assumptions!$D$13,Assumptions!$F$13),(Assumptions!$F$13-Assumptions!$D$13)/3.29)*44</f>
        <v>5397560.4828859335</v>
      </c>
      <c r="M786" s="6">
        <f ca="1">_xlfn.NORM.INV(RAND(),AVERAGE(Assumptions!$D$14,Assumptions!$F$14),(Assumptions!$F$14-Assumptions!$D$14)/3.29)*44</f>
        <v>4185115.5428974833</v>
      </c>
      <c r="N786" s="9">
        <f ca="1">_xlfn.NORM.INV(RAND(),AVERAGE(Assumptions!$D$16,Assumptions!$F$16),(Assumptions!$F$16-Assumptions!$D$16)/3.29)*44</f>
        <v>9525152.9231452085</v>
      </c>
      <c r="O786" s="12">
        <f ca="1">_xlfn.NORM.INV(RAND(),AVERAGE(Assumptions!$D$15,Assumptions!$F$15),(Assumptions!$F$15-Assumptions!$D$15)/3.29)*44</f>
        <v>66244925.795897774</v>
      </c>
      <c r="P786" s="15">
        <f>Assumptions!$D$18</f>
        <v>14641750.345627395</v>
      </c>
      <c r="Q786" s="3">
        <f t="shared" ca="1" si="24"/>
        <v>12373229.860231228</v>
      </c>
      <c r="R786" s="6">
        <f t="shared" ca="1" si="25"/>
        <v>27014980.205858625</v>
      </c>
    </row>
    <row r="787" spans="1:18">
      <c r="A787" s="20">
        <v>786</v>
      </c>
      <c r="B787" s="3">
        <f ca="1">_xlfn.NORM.INV(RAND(),AVERAGE(Assumptions!$D$4,Assumptions!$F$4),(Assumptions!$F$4-Assumptions!$D$4)/3.29)*44</f>
        <v>1303959.7839713697</v>
      </c>
      <c r="C787" s="6">
        <f ca="1">_xlfn.NORM.INV(RAND(),AVERAGE(Assumptions!$D$5,Assumptions!$F$5),(Assumptions!$F$5-Assumptions!$D$5)/3.29)*44</f>
        <v>1994334.5238008939</v>
      </c>
      <c r="D787" s="9">
        <f ca="1">_xlfn.NORM.INV(RAND(),AVERAGE(Assumptions!$D$6,Assumptions!$F$6),(Assumptions!$F$6-Assumptions!$D$6)/3.29)*RANDBETWEEN(2,5)</f>
        <v>3720545.0867756191</v>
      </c>
      <c r="E787" s="12">
        <f ca="1">_xlfn.NORM.INV(RAND(),AVERAGE(Assumptions!$D$17,Assumptions!$F$17),(Assumptions!$F$17-Assumptions!$D$17)/3.29)*8</f>
        <v>961990.42087708402</v>
      </c>
      <c r="F787" s="15">
        <f ca="1">_xlfn.NORM.INV(RAND(),AVERAGE(Assumptions!$D$7,Assumptions!$F$7),(Assumptions!$F$7-Assumptions!$D$7)/3.29)*RANDBETWEEN(1,3)</f>
        <v>3710823.5968273846</v>
      </c>
      <c r="G787" s="3">
        <f ca="1">_xlfn.NORM.INV(RAND(),AVERAGE(Assumptions!$D$8,Assumptions!$F$8),(Assumptions!$F$8-Assumptions!$D$8)/3.29)*44</f>
        <v>984024.79481800483</v>
      </c>
      <c r="H787" s="6">
        <f ca="1">_xlfn.NORM.INV(RAND(),AVERAGE(Assumptions!$D$9,Assumptions!$F$9),(Assumptions!$F$9-Assumptions!$D$9)/3.29)*21</f>
        <v>3459297.5399622526</v>
      </c>
      <c r="I787" s="9">
        <f ca="1">_xlfn.NORM.INV(RAND(),AVERAGE(Assumptions!$D$10,Assumptions!$F$10),(Assumptions!$F$10-Assumptions!$D$10)/3.29)*21</f>
        <v>994342.51041257358</v>
      </c>
      <c r="J787" s="12">
        <f ca="1">NORMINV(RAND(),AVERAGE(Assumptions!$D$11,Assumptions!$F$11),(Assumptions!$F$11-Assumptions!$D$11)/3.29)*44</f>
        <v>1149596.1360571685</v>
      </c>
      <c r="K787" s="15">
        <f ca="1">_xlfn.NORM.INV(RAND(),AVERAGE(Assumptions!$D$12,Assumptions!$F$12),(Assumptions!$F$12-Assumptions!$D$12)/3.29)*44</f>
        <v>7130673.1711988561</v>
      </c>
      <c r="L787" s="3">
        <f ca="1">_xlfn.NORM.INV(RAND(),AVERAGE(Assumptions!$D$13,Assumptions!$F$13),(Assumptions!$F$13-Assumptions!$D$13)/3.29)*44</f>
        <v>14856608.253976453</v>
      </c>
      <c r="M787" s="6">
        <f ca="1">_xlfn.NORM.INV(RAND(),AVERAGE(Assumptions!$D$14,Assumptions!$F$14),(Assumptions!$F$14-Assumptions!$D$14)/3.29)*44</f>
        <v>5956369.8017908139</v>
      </c>
      <c r="N787" s="9">
        <f ca="1">_xlfn.NORM.INV(RAND(),AVERAGE(Assumptions!$D$16,Assumptions!$F$16),(Assumptions!$F$16-Assumptions!$D$16)/3.29)*44</f>
        <v>11687474.973980002</v>
      </c>
      <c r="O787" s="12">
        <f ca="1">_xlfn.NORM.INV(RAND(),AVERAGE(Assumptions!$D$15,Assumptions!$F$15),(Assumptions!$F$15-Assumptions!$D$15)/3.29)*44</f>
        <v>44232714.096426576</v>
      </c>
      <c r="P787" s="15">
        <f>Assumptions!$D$18</f>
        <v>14641750.345627395</v>
      </c>
      <c r="Q787" s="3">
        <f t="shared" ca="1" si="24"/>
        <v>-13677326.498021901</v>
      </c>
      <c r="R787" s="6">
        <f t="shared" ca="1" si="25"/>
        <v>964423.84760549478</v>
      </c>
    </row>
    <row r="788" spans="1:18">
      <c r="A788" s="20">
        <v>787</v>
      </c>
      <c r="B788" s="3">
        <f ca="1">_xlfn.NORM.INV(RAND(),AVERAGE(Assumptions!$D$4,Assumptions!$F$4),(Assumptions!$F$4-Assumptions!$D$4)/3.29)*44</f>
        <v>1176157.2379142959</v>
      </c>
      <c r="C788" s="6">
        <f ca="1">_xlfn.NORM.INV(RAND(),AVERAGE(Assumptions!$D$5,Assumptions!$F$5),(Assumptions!$F$5-Assumptions!$D$5)/3.29)*44</f>
        <v>2244207.044159506</v>
      </c>
      <c r="D788" s="9">
        <f ca="1">_xlfn.NORM.INV(RAND(),AVERAGE(Assumptions!$D$6,Assumptions!$F$6),(Assumptions!$F$6-Assumptions!$D$6)/3.29)*RANDBETWEEN(2,5)</f>
        <v>4064298.6676497972</v>
      </c>
      <c r="E788" s="12">
        <f ca="1">_xlfn.NORM.INV(RAND(),AVERAGE(Assumptions!$D$17,Assumptions!$F$17),(Assumptions!$F$17-Assumptions!$D$17)/3.29)*8</f>
        <v>921100.41955977515</v>
      </c>
      <c r="F788" s="15">
        <f ca="1">_xlfn.NORM.INV(RAND(),AVERAGE(Assumptions!$D$7,Assumptions!$F$7),(Assumptions!$F$7-Assumptions!$D$7)/3.29)*RANDBETWEEN(1,3)</f>
        <v>4609591.3859263062</v>
      </c>
      <c r="G788" s="3">
        <f ca="1">_xlfn.NORM.INV(RAND(),AVERAGE(Assumptions!$D$8,Assumptions!$F$8),(Assumptions!$F$8-Assumptions!$D$8)/3.29)*44</f>
        <v>960608.82095930155</v>
      </c>
      <c r="H788" s="6">
        <f ca="1">_xlfn.NORM.INV(RAND(),AVERAGE(Assumptions!$D$9,Assumptions!$F$9),(Assumptions!$F$9-Assumptions!$D$9)/3.29)*21</f>
        <v>5056411.119510347</v>
      </c>
      <c r="I788" s="9">
        <f ca="1">_xlfn.NORM.INV(RAND(),AVERAGE(Assumptions!$D$10,Assumptions!$F$10),(Assumptions!$F$10-Assumptions!$D$10)/3.29)*21</f>
        <v>746623.25396370213</v>
      </c>
      <c r="J788" s="12">
        <f ca="1">NORMINV(RAND(),AVERAGE(Assumptions!$D$11,Assumptions!$F$11),(Assumptions!$F$11-Assumptions!$D$11)/3.29)*44</f>
        <v>2471943.5982789416</v>
      </c>
      <c r="K788" s="15">
        <f ca="1">_xlfn.NORM.INV(RAND(),AVERAGE(Assumptions!$D$12,Assumptions!$F$12),(Assumptions!$F$12-Assumptions!$D$12)/3.29)*44</f>
        <v>8978103.5952156875</v>
      </c>
      <c r="L788" s="3">
        <f ca="1">_xlfn.NORM.INV(RAND(),AVERAGE(Assumptions!$D$13,Assumptions!$F$13),(Assumptions!$F$13-Assumptions!$D$13)/3.29)*44</f>
        <v>13697599.976824151</v>
      </c>
      <c r="M788" s="6">
        <f ca="1">_xlfn.NORM.INV(RAND(),AVERAGE(Assumptions!$D$14,Assumptions!$F$14),(Assumptions!$F$14-Assumptions!$D$14)/3.29)*44</f>
        <v>6413297.9682014743</v>
      </c>
      <c r="N788" s="9">
        <f ca="1">_xlfn.NORM.INV(RAND(),AVERAGE(Assumptions!$D$16,Assumptions!$F$16),(Assumptions!$F$16-Assumptions!$D$16)/3.29)*44</f>
        <v>4105778.5095675234</v>
      </c>
      <c r="O788" s="12">
        <f ca="1">_xlfn.NORM.INV(RAND(),AVERAGE(Assumptions!$D$15,Assumptions!$F$15),(Assumptions!$F$15-Assumptions!$D$15)/3.29)*44</f>
        <v>75506248.152998209</v>
      </c>
      <c r="P788" s="15">
        <f>Assumptions!$D$18</f>
        <v>14641750.345627395</v>
      </c>
      <c r="Q788" s="3">
        <f t="shared" ca="1" si="24"/>
        <v>20060526.555267408</v>
      </c>
      <c r="R788" s="6">
        <f t="shared" ca="1" si="25"/>
        <v>34702276.900894806</v>
      </c>
    </row>
    <row r="789" spans="1:18">
      <c r="A789" s="20">
        <v>788</v>
      </c>
      <c r="B789" s="3">
        <f ca="1">_xlfn.NORM.INV(RAND(),AVERAGE(Assumptions!$D$4,Assumptions!$F$4),(Assumptions!$F$4-Assumptions!$D$4)/3.29)*44</f>
        <v>1117852.0211415263</v>
      </c>
      <c r="C789" s="6">
        <f ca="1">_xlfn.NORM.INV(RAND(),AVERAGE(Assumptions!$D$5,Assumptions!$F$5),(Assumptions!$F$5-Assumptions!$D$5)/3.29)*44</f>
        <v>1846336.2576871847</v>
      </c>
      <c r="D789" s="9">
        <f ca="1">_xlfn.NORM.INV(RAND(),AVERAGE(Assumptions!$D$6,Assumptions!$F$6),(Assumptions!$F$6-Assumptions!$D$6)/3.29)*RANDBETWEEN(2,5)</f>
        <v>3430678.9902042486</v>
      </c>
      <c r="E789" s="12">
        <f ca="1">_xlfn.NORM.INV(RAND(),AVERAGE(Assumptions!$D$17,Assumptions!$F$17),(Assumptions!$F$17-Assumptions!$D$17)/3.29)*8</f>
        <v>821759.57719775848</v>
      </c>
      <c r="F789" s="15">
        <f ca="1">_xlfn.NORM.INV(RAND(),AVERAGE(Assumptions!$D$7,Assumptions!$F$7),(Assumptions!$F$7-Assumptions!$D$7)/3.29)*RANDBETWEEN(1,3)</f>
        <v>3233910.2750381399</v>
      </c>
      <c r="G789" s="3">
        <f ca="1">_xlfn.NORM.INV(RAND(),AVERAGE(Assumptions!$D$8,Assumptions!$F$8),(Assumptions!$F$8-Assumptions!$D$8)/3.29)*44</f>
        <v>948347.85877881653</v>
      </c>
      <c r="H789" s="6">
        <f ca="1">_xlfn.NORM.INV(RAND(),AVERAGE(Assumptions!$D$9,Assumptions!$F$9),(Assumptions!$F$9-Assumptions!$D$9)/3.29)*21</f>
        <v>4505808.7466198932</v>
      </c>
      <c r="I789" s="9">
        <f ca="1">_xlfn.NORM.INV(RAND(),AVERAGE(Assumptions!$D$10,Assumptions!$F$10),(Assumptions!$F$10-Assumptions!$D$10)/3.29)*21</f>
        <v>947375.14923373796</v>
      </c>
      <c r="J789" s="12">
        <f ca="1">NORMINV(RAND(),AVERAGE(Assumptions!$D$11,Assumptions!$F$11),(Assumptions!$F$11-Assumptions!$D$11)/3.29)*44</f>
        <v>2484309.5240514381</v>
      </c>
      <c r="K789" s="15">
        <f ca="1">_xlfn.NORM.INV(RAND(),AVERAGE(Assumptions!$D$12,Assumptions!$F$12),(Assumptions!$F$12-Assumptions!$D$12)/3.29)*44</f>
        <v>8840161.0757194385</v>
      </c>
      <c r="L789" s="3">
        <f ca="1">_xlfn.NORM.INV(RAND(),AVERAGE(Assumptions!$D$13,Assumptions!$F$13),(Assumptions!$F$13-Assumptions!$D$13)/3.29)*44</f>
        <v>10270989.617131317</v>
      </c>
      <c r="M789" s="6">
        <f ca="1">_xlfn.NORM.INV(RAND(),AVERAGE(Assumptions!$D$14,Assumptions!$F$14),(Assumptions!$F$14-Assumptions!$D$14)/3.29)*44</f>
        <v>6539432.2241502507</v>
      </c>
      <c r="N789" s="9">
        <f ca="1">_xlfn.NORM.INV(RAND(),AVERAGE(Assumptions!$D$16,Assumptions!$F$16),(Assumptions!$F$16-Assumptions!$D$16)/3.29)*44</f>
        <v>9338794.9284223653</v>
      </c>
      <c r="O789" s="12">
        <f ca="1">_xlfn.NORM.INV(RAND(),AVERAGE(Assumptions!$D$15,Assumptions!$F$15),(Assumptions!$F$15-Assumptions!$D$15)/3.29)*44</f>
        <v>102672792.16769885</v>
      </c>
      <c r="P789" s="15">
        <f>Assumptions!$D$18</f>
        <v>14641750.345627395</v>
      </c>
      <c r="Q789" s="3">
        <f t="shared" ca="1" si="24"/>
        <v>48347035.922322735</v>
      </c>
      <c r="R789" s="6">
        <f t="shared" ca="1" si="25"/>
        <v>62988786.267950132</v>
      </c>
    </row>
    <row r="790" spans="1:18">
      <c r="A790" s="20">
        <v>789</v>
      </c>
      <c r="B790" s="3">
        <f ca="1">_xlfn.NORM.INV(RAND(),AVERAGE(Assumptions!$D$4,Assumptions!$F$4),(Assumptions!$F$4-Assumptions!$D$4)/3.29)*44</f>
        <v>1187268.1799419264</v>
      </c>
      <c r="C790" s="6">
        <f ca="1">_xlfn.NORM.INV(RAND(),AVERAGE(Assumptions!$D$5,Assumptions!$F$5),(Assumptions!$F$5-Assumptions!$D$5)/3.29)*44</f>
        <v>1944417.2040819423</v>
      </c>
      <c r="D790" s="9">
        <f ca="1">_xlfn.NORM.INV(RAND(),AVERAGE(Assumptions!$D$6,Assumptions!$F$6),(Assumptions!$F$6-Assumptions!$D$6)/3.29)*RANDBETWEEN(2,5)</f>
        <v>5285417.8241790868</v>
      </c>
      <c r="E790" s="12">
        <f ca="1">_xlfn.NORM.INV(RAND(),AVERAGE(Assumptions!$D$17,Assumptions!$F$17),(Assumptions!$F$17-Assumptions!$D$17)/3.29)*8</f>
        <v>781610.82579988311</v>
      </c>
      <c r="F790" s="15">
        <f ca="1">_xlfn.NORM.INV(RAND(),AVERAGE(Assumptions!$D$7,Assumptions!$F$7),(Assumptions!$F$7-Assumptions!$D$7)/3.29)*RANDBETWEEN(1,3)</f>
        <v>3128373.4356517699</v>
      </c>
      <c r="G790" s="3">
        <f ca="1">_xlfn.NORM.INV(RAND(),AVERAGE(Assumptions!$D$8,Assumptions!$F$8),(Assumptions!$F$8-Assumptions!$D$8)/3.29)*44</f>
        <v>1390501.9859538577</v>
      </c>
      <c r="H790" s="6">
        <f ca="1">_xlfn.NORM.INV(RAND(),AVERAGE(Assumptions!$D$9,Assumptions!$F$9),(Assumptions!$F$9-Assumptions!$D$9)/3.29)*21</f>
        <v>3407238.959633559</v>
      </c>
      <c r="I790" s="9">
        <f ca="1">_xlfn.NORM.INV(RAND(),AVERAGE(Assumptions!$D$10,Assumptions!$F$10),(Assumptions!$F$10-Assumptions!$D$10)/3.29)*21</f>
        <v>990230.11943849106</v>
      </c>
      <c r="J790" s="12">
        <f ca="1">NORMINV(RAND(),AVERAGE(Assumptions!$D$11,Assumptions!$F$11),(Assumptions!$F$11-Assumptions!$D$11)/3.29)*44</f>
        <v>2021622.5542364193</v>
      </c>
      <c r="K790" s="15">
        <f ca="1">_xlfn.NORM.INV(RAND(),AVERAGE(Assumptions!$D$12,Assumptions!$F$12),(Assumptions!$F$12-Assumptions!$D$12)/3.29)*44</f>
        <v>5542169.7335092705</v>
      </c>
      <c r="L790" s="3">
        <f ca="1">_xlfn.NORM.INV(RAND(),AVERAGE(Assumptions!$D$13,Assumptions!$F$13),(Assumptions!$F$13-Assumptions!$D$13)/3.29)*44</f>
        <v>12275835.419980183</v>
      </c>
      <c r="M790" s="6">
        <f ca="1">_xlfn.NORM.INV(RAND(),AVERAGE(Assumptions!$D$14,Assumptions!$F$14),(Assumptions!$F$14-Assumptions!$D$14)/3.29)*44</f>
        <v>6023621.5375665491</v>
      </c>
      <c r="N790" s="9">
        <f ca="1">_xlfn.NORM.INV(RAND(),AVERAGE(Assumptions!$D$16,Assumptions!$F$16),(Assumptions!$F$16-Assumptions!$D$16)/3.29)*44</f>
        <v>16857705.505438637</v>
      </c>
      <c r="O790" s="12">
        <f ca="1">_xlfn.NORM.INV(RAND(),AVERAGE(Assumptions!$D$15,Assumptions!$F$15),(Assumptions!$F$15-Assumptions!$D$15)/3.29)*44</f>
        <v>124717300.52391888</v>
      </c>
      <c r="P790" s="15">
        <f>Assumptions!$D$18</f>
        <v>14641750.345627395</v>
      </c>
      <c r="Q790" s="3">
        <f t="shared" ca="1" si="24"/>
        <v>63881287.238507301</v>
      </c>
      <c r="R790" s="6">
        <f t="shared" ca="1" si="25"/>
        <v>78523037.584134698</v>
      </c>
    </row>
    <row r="791" spans="1:18">
      <c r="A791" s="20">
        <v>790</v>
      </c>
      <c r="B791" s="3">
        <f ca="1">_xlfn.NORM.INV(RAND(),AVERAGE(Assumptions!$D$4,Assumptions!$F$4),(Assumptions!$F$4-Assumptions!$D$4)/3.29)*44</f>
        <v>1212760.6040709186</v>
      </c>
      <c r="C791" s="6">
        <f ca="1">_xlfn.NORM.INV(RAND(),AVERAGE(Assumptions!$D$5,Assumptions!$F$5),(Assumptions!$F$5-Assumptions!$D$5)/3.29)*44</f>
        <v>1693737.6146130341</v>
      </c>
      <c r="D791" s="9">
        <f ca="1">_xlfn.NORM.INV(RAND(),AVERAGE(Assumptions!$D$6,Assumptions!$F$6),(Assumptions!$F$6-Assumptions!$D$6)/3.29)*RANDBETWEEN(2,5)</f>
        <v>4058205.4769396186</v>
      </c>
      <c r="E791" s="12">
        <f ca="1">_xlfn.NORM.INV(RAND(),AVERAGE(Assumptions!$D$17,Assumptions!$F$17),(Assumptions!$F$17-Assumptions!$D$17)/3.29)*8</f>
        <v>1008769.5814181155</v>
      </c>
      <c r="F791" s="15">
        <f ca="1">_xlfn.NORM.INV(RAND(),AVERAGE(Assumptions!$D$7,Assumptions!$F$7),(Assumptions!$F$7-Assumptions!$D$7)/3.29)*RANDBETWEEN(1,3)</f>
        <v>6023423.1854326893</v>
      </c>
      <c r="G791" s="3">
        <f ca="1">_xlfn.NORM.INV(RAND(),AVERAGE(Assumptions!$D$8,Assumptions!$F$8),(Assumptions!$F$8-Assumptions!$D$8)/3.29)*44</f>
        <v>1480880.4272118658</v>
      </c>
      <c r="H791" s="6">
        <f ca="1">_xlfn.NORM.INV(RAND(),AVERAGE(Assumptions!$D$9,Assumptions!$F$9),(Assumptions!$F$9-Assumptions!$D$9)/3.29)*21</f>
        <v>3703380.0543482914</v>
      </c>
      <c r="I791" s="9">
        <f ca="1">_xlfn.NORM.INV(RAND(),AVERAGE(Assumptions!$D$10,Assumptions!$F$10),(Assumptions!$F$10-Assumptions!$D$10)/3.29)*21</f>
        <v>556631.96360599308</v>
      </c>
      <c r="J791" s="12">
        <f ca="1">NORMINV(RAND(),AVERAGE(Assumptions!$D$11,Assumptions!$F$11),(Assumptions!$F$11-Assumptions!$D$11)/3.29)*44</f>
        <v>2840846.6683275187</v>
      </c>
      <c r="K791" s="15">
        <f ca="1">_xlfn.NORM.INV(RAND(),AVERAGE(Assumptions!$D$12,Assumptions!$F$12),(Assumptions!$F$12-Assumptions!$D$12)/3.29)*44</f>
        <v>5784507.8874932434</v>
      </c>
      <c r="L791" s="3">
        <f ca="1">_xlfn.NORM.INV(RAND(),AVERAGE(Assumptions!$D$13,Assumptions!$F$13),(Assumptions!$F$13-Assumptions!$D$13)/3.29)*44</f>
        <v>18576496.914634537</v>
      </c>
      <c r="M791" s="6">
        <f ca="1">_xlfn.NORM.INV(RAND(),AVERAGE(Assumptions!$D$14,Assumptions!$F$14),(Assumptions!$F$14-Assumptions!$D$14)/3.29)*44</f>
        <v>5943156.918657681</v>
      </c>
      <c r="N791" s="9">
        <f ca="1">_xlfn.NORM.INV(RAND(),AVERAGE(Assumptions!$D$16,Assumptions!$F$16),(Assumptions!$F$16-Assumptions!$D$16)/3.29)*44</f>
        <v>9162238.4984499887</v>
      </c>
      <c r="O791" s="12">
        <f ca="1">_xlfn.NORM.INV(RAND(),AVERAGE(Assumptions!$D$15,Assumptions!$F$15),(Assumptions!$F$15-Assumptions!$D$15)/3.29)*44</f>
        <v>206007566.76706016</v>
      </c>
      <c r="P791" s="15">
        <f>Assumptions!$D$18</f>
        <v>14641750.345627395</v>
      </c>
      <c r="Q791" s="3">
        <f t="shared" ca="1" si="24"/>
        <v>143962530.97185665</v>
      </c>
      <c r="R791" s="6">
        <f t="shared" ca="1" si="25"/>
        <v>158604281.31748405</v>
      </c>
    </row>
    <row r="792" spans="1:18">
      <c r="A792" s="20">
        <v>791</v>
      </c>
      <c r="B792" s="3">
        <f ca="1">_xlfn.NORM.INV(RAND(),AVERAGE(Assumptions!$D$4,Assumptions!$F$4),(Assumptions!$F$4-Assumptions!$D$4)/3.29)*44</f>
        <v>1167220.917327598</v>
      </c>
      <c r="C792" s="6">
        <f ca="1">_xlfn.NORM.INV(RAND(),AVERAGE(Assumptions!$D$5,Assumptions!$F$5),(Assumptions!$F$5-Assumptions!$D$5)/3.29)*44</f>
        <v>1742839.1984896252</v>
      </c>
      <c r="D792" s="9">
        <f ca="1">_xlfn.NORM.INV(RAND(),AVERAGE(Assumptions!$D$6,Assumptions!$F$6),(Assumptions!$F$6-Assumptions!$D$6)/3.29)*RANDBETWEEN(2,5)</f>
        <v>4580984.3933959212</v>
      </c>
      <c r="E792" s="12">
        <f ca="1">_xlfn.NORM.INV(RAND(),AVERAGE(Assumptions!$D$17,Assumptions!$F$17),(Assumptions!$F$17-Assumptions!$D$17)/3.29)*8</f>
        <v>1024608.1248521254</v>
      </c>
      <c r="F792" s="15">
        <f ca="1">_xlfn.NORM.INV(RAND(),AVERAGE(Assumptions!$D$7,Assumptions!$F$7),(Assumptions!$F$7-Assumptions!$D$7)/3.29)*RANDBETWEEN(1,3)</f>
        <v>7351511.7126903497</v>
      </c>
      <c r="G792" s="3">
        <f ca="1">_xlfn.NORM.INV(RAND(),AVERAGE(Assumptions!$D$8,Assumptions!$F$8),(Assumptions!$F$8-Assumptions!$D$8)/3.29)*44</f>
        <v>1431244.4429890784</v>
      </c>
      <c r="H792" s="6">
        <f ca="1">_xlfn.NORM.INV(RAND(),AVERAGE(Assumptions!$D$9,Assumptions!$F$9),(Assumptions!$F$9-Assumptions!$D$9)/3.29)*21</f>
        <v>3192840.671613019</v>
      </c>
      <c r="I792" s="9">
        <f ca="1">_xlfn.NORM.INV(RAND(),AVERAGE(Assumptions!$D$10,Assumptions!$F$10),(Assumptions!$F$10-Assumptions!$D$10)/3.29)*21</f>
        <v>863833.35573222605</v>
      </c>
      <c r="J792" s="12">
        <f ca="1">NORMINV(RAND(),AVERAGE(Assumptions!$D$11,Assumptions!$F$11),(Assumptions!$F$11-Assumptions!$D$11)/3.29)*44</f>
        <v>3111014.2957599894</v>
      </c>
      <c r="K792" s="15">
        <f ca="1">_xlfn.NORM.INV(RAND(),AVERAGE(Assumptions!$D$12,Assumptions!$F$12),(Assumptions!$F$12-Assumptions!$D$12)/3.29)*44</f>
        <v>6803651.9937414238</v>
      </c>
      <c r="L792" s="3">
        <f ca="1">_xlfn.NORM.INV(RAND(),AVERAGE(Assumptions!$D$13,Assumptions!$F$13),(Assumptions!$F$13-Assumptions!$D$13)/3.29)*44</f>
        <v>21652120.06756416</v>
      </c>
      <c r="M792" s="6">
        <f ca="1">_xlfn.NORM.INV(RAND(),AVERAGE(Assumptions!$D$14,Assumptions!$F$14),(Assumptions!$F$14-Assumptions!$D$14)/3.29)*44</f>
        <v>4972850.6665186305</v>
      </c>
      <c r="N792" s="9">
        <f ca="1">_xlfn.NORM.INV(RAND(),AVERAGE(Assumptions!$D$16,Assumptions!$F$16),(Assumptions!$F$16-Assumptions!$D$16)/3.29)*44</f>
        <v>9756893.086856531</v>
      </c>
      <c r="O792" s="12">
        <f ca="1">_xlfn.NORM.INV(RAND(),AVERAGE(Assumptions!$D$15,Assumptions!$F$15),(Assumptions!$F$15-Assumptions!$D$15)/3.29)*44</f>
        <v>11537742.744261533</v>
      </c>
      <c r="P792" s="15">
        <f>Assumptions!$D$18</f>
        <v>14641750.345627395</v>
      </c>
      <c r="Q792" s="3">
        <f t="shared" ca="1" si="24"/>
        <v>-56113870.183269143</v>
      </c>
      <c r="R792" s="6">
        <f t="shared" ca="1" si="25"/>
        <v>-41472119.837641746</v>
      </c>
    </row>
    <row r="793" spans="1:18">
      <c r="A793" s="20">
        <v>792</v>
      </c>
      <c r="B793" s="3">
        <f ca="1">_xlfn.NORM.INV(RAND(),AVERAGE(Assumptions!$D$4,Assumptions!$F$4),(Assumptions!$F$4-Assumptions!$D$4)/3.29)*44</f>
        <v>1296834.498583049</v>
      </c>
      <c r="C793" s="6">
        <f ca="1">_xlfn.NORM.INV(RAND(),AVERAGE(Assumptions!$D$5,Assumptions!$F$5),(Assumptions!$F$5-Assumptions!$D$5)/3.29)*44</f>
        <v>1957572.7064647241</v>
      </c>
      <c r="D793" s="9">
        <f ca="1">_xlfn.NORM.INV(RAND(),AVERAGE(Assumptions!$D$6,Assumptions!$F$6),(Assumptions!$F$6-Assumptions!$D$6)/3.29)*RANDBETWEEN(2,5)</f>
        <v>5852607.4874104094</v>
      </c>
      <c r="E793" s="12">
        <f ca="1">_xlfn.NORM.INV(RAND(),AVERAGE(Assumptions!$D$17,Assumptions!$F$17),(Assumptions!$F$17-Assumptions!$D$17)/3.29)*8</f>
        <v>909685.21825782117</v>
      </c>
      <c r="F793" s="15">
        <f ca="1">_xlfn.NORM.INV(RAND(),AVERAGE(Assumptions!$D$7,Assumptions!$F$7),(Assumptions!$F$7-Assumptions!$D$7)/3.29)*RANDBETWEEN(1,3)</f>
        <v>3093367.7737613176</v>
      </c>
      <c r="G793" s="3">
        <f ca="1">_xlfn.NORM.INV(RAND(),AVERAGE(Assumptions!$D$8,Assumptions!$F$8),(Assumptions!$F$8-Assumptions!$D$8)/3.29)*44</f>
        <v>1429117.9186540977</v>
      </c>
      <c r="H793" s="6">
        <f ca="1">_xlfn.NORM.INV(RAND(),AVERAGE(Assumptions!$D$9,Assumptions!$F$9),(Assumptions!$F$9-Assumptions!$D$9)/3.29)*21</f>
        <v>3726827.8260279419</v>
      </c>
      <c r="I793" s="9">
        <f ca="1">_xlfn.NORM.INV(RAND(),AVERAGE(Assumptions!$D$10,Assumptions!$F$10),(Assumptions!$F$10-Assumptions!$D$10)/3.29)*21</f>
        <v>932978.83506351407</v>
      </c>
      <c r="J793" s="12">
        <f ca="1">NORMINV(RAND(),AVERAGE(Assumptions!$D$11,Assumptions!$F$11),(Assumptions!$F$11-Assumptions!$D$11)/3.29)*44</f>
        <v>4471905.2774904929</v>
      </c>
      <c r="K793" s="15">
        <f ca="1">_xlfn.NORM.INV(RAND(),AVERAGE(Assumptions!$D$12,Assumptions!$F$12),(Assumptions!$F$12-Assumptions!$D$12)/3.29)*44</f>
        <v>6898955.1068139626</v>
      </c>
      <c r="L793" s="3">
        <f ca="1">_xlfn.NORM.INV(RAND(),AVERAGE(Assumptions!$D$13,Assumptions!$F$13),(Assumptions!$F$13-Assumptions!$D$13)/3.29)*44</f>
        <v>12349133.873201875</v>
      </c>
      <c r="M793" s="6">
        <f ca="1">_xlfn.NORM.INV(RAND(),AVERAGE(Assumptions!$D$14,Assumptions!$F$14),(Assumptions!$F$14-Assumptions!$D$14)/3.29)*44</f>
        <v>6676826.2731973575</v>
      </c>
      <c r="N793" s="9">
        <f ca="1">_xlfn.NORM.INV(RAND(),AVERAGE(Assumptions!$D$16,Assumptions!$F$16),(Assumptions!$F$16-Assumptions!$D$16)/3.29)*44</f>
        <v>10118131.715201441</v>
      </c>
      <c r="O793" s="12">
        <f ca="1">_xlfn.NORM.INV(RAND(),AVERAGE(Assumptions!$D$15,Assumptions!$F$15),(Assumptions!$F$15-Assumptions!$D$15)/3.29)*44</f>
        <v>60737392.794581562</v>
      </c>
      <c r="P793" s="15">
        <f>Assumptions!$D$18</f>
        <v>14641750.345627395</v>
      </c>
      <c r="Q793" s="3">
        <f t="shared" ca="1" si="24"/>
        <v>1023448.2844535485</v>
      </c>
      <c r="R793" s="6">
        <f t="shared" ca="1" si="25"/>
        <v>15665198.630080944</v>
      </c>
    </row>
    <row r="794" spans="1:18">
      <c r="A794" s="20">
        <v>793</v>
      </c>
      <c r="B794" s="3">
        <f ca="1">_xlfn.NORM.INV(RAND(),AVERAGE(Assumptions!$D$4,Assumptions!$F$4),(Assumptions!$F$4-Assumptions!$D$4)/3.29)*44</f>
        <v>1155222.6379611944</v>
      </c>
      <c r="C794" s="6">
        <f ca="1">_xlfn.NORM.INV(RAND(),AVERAGE(Assumptions!$D$5,Assumptions!$F$5),(Assumptions!$F$5-Assumptions!$D$5)/3.29)*44</f>
        <v>1867378.1054308382</v>
      </c>
      <c r="D794" s="9">
        <f ca="1">_xlfn.NORM.INV(RAND(),AVERAGE(Assumptions!$D$6,Assumptions!$F$6),(Assumptions!$F$6-Assumptions!$D$6)/3.29)*RANDBETWEEN(2,5)</f>
        <v>3612116.541612213</v>
      </c>
      <c r="E794" s="12">
        <f ca="1">_xlfn.NORM.INV(RAND(),AVERAGE(Assumptions!$D$17,Assumptions!$F$17),(Assumptions!$F$17-Assumptions!$D$17)/3.29)*8</f>
        <v>779688.71613166248</v>
      </c>
      <c r="F794" s="15">
        <f ca="1">_xlfn.NORM.INV(RAND(),AVERAGE(Assumptions!$D$7,Assumptions!$F$7),(Assumptions!$F$7-Assumptions!$D$7)/3.29)*RANDBETWEEN(1,3)</f>
        <v>9511754.6530378964</v>
      </c>
      <c r="G794" s="3">
        <f ca="1">_xlfn.NORM.INV(RAND(),AVERAGE(Assumptions!$D$8,Assumptions!$F$8),(Assumptions!$F$8-Assumptions!$D$8)/3.29)*44</f>
        <v>567150.95318938943</v>
      </c>
      <c r="H794" s="6">
        <f ca="1">_xlfn.NORM.INV(RAND(),AVERAGE(Assumptions!$D$9,Assumptions!$F$9),(Assumptions!$F$9-Assumptions!$D$9)/3.29)*21</f>
        <v>6219772.1022937596</v>
      </c>
      <c r="I794" s="9">
        <f ca="1">_xlfn.NORM.INV(RAND(),AVERAGE(Assumptions!$D$10,Assumptions!$F$10),(Assumptions!$F$10-Assumptions!$D$10)/3.29)*21</f>
        <v>1053217.6553484935</v>
      </c>
      <c r="J794" s="12">
        <f ca="1">NORMINV(RAND(),AVERAGE(Assumptions!$D$11,Assumptions!$F$11),(Assumptions!$F$11-Assumptions!$D$11)/3.29)*44</f>
        <v>1245535.6273997354</v>
      </c>
      <c r="K794" s="15">
        <f ca="1">_xlfn.NORM.INV(RAND(),AVERAGE(Assumptions!$D$12,Assumptions!$F$12),(Assumptions!$F$12-Assumptions!$D$12)/3.29)*44</f>
        <v>9447627.3427413423</v>
      </c>
      <c r="L794" s="3">
        <f ca="1">_xlfn.NORM.INV(RAND(),AVERAGE(Assumptions!$D$13,Assumptions!$F$13),(Assumptions!$F$13-Assumptions!$D$13)/3.29)*44</f>
        <v>10412505.000182511</v>
      </c>
      <c r="M794" s="6">
        <f ca="1">_xlfn.NORM.INV(RAND(),AVERAGE(Assumptions!$D$14,Assumptions!$F$14),(Assumptions!$F$14-Assumptions!$D$14)/3.29)*44</f>
        <v>6088926.3318166211</v>
      </c>
      <c r="N794" s="9">
        <f ca="1">_xlfn.NORM.INV(RAND(),AVERAGE(Assumptions!$D$16,Assumptions!$F$16),(Assumptions!$F$16-Assumptions!$D$16)/3.29)*44</f>
        <v>6043182.4939948199</v>
      </c>
      <c r="O794" s="12">
        <f ca="1">_xlfn.NORM.INV(RAND(),AVERAGE(Assumptions!$D$15,Assumptions!$F$15),(Assumptions!$F$15-Assumptions!$D$15)/3.29)*44</f>
        <v>33560834.039384067</v>
      </c>
      <c r="P794" s="15">
        <f>Assumptions!$D$18</f>
        <v>14641750.345627395</v>
      </c>
      <c r="Q794" s="3">
        <f t="shared" ca="1" si="24"/>
        <v>-24443244.121756405</v>
      </c>
      <c r="R794" s="6">
        <f t="shared" ca="1" si="25"/>
        <v>-9801493.7761290092</v>
      </c>
    </row>
    <row r="795" spans="1:18">
      <c r="A795" s="20">
        <v>794</v>
      </c>
      <c r="B795" s="3">
        <f ca="1">_xlfn.NORM.INV(RAND(),AVERAGE(Assumptions!$D$4,Assumptions!$F$4),(Assumptions!$F$4-Assumptions!$D$4)/3.29)*44</f>
        <v>1186981.2565978046</v>
      </c>
      <c r="C795" s="6">
        <f ca="1">_xlfn.NORM.INV(RAND(),AVERAGE(Assumptions!$D$5,Assumptions!$F$5),(Assumptions!$F$5-Assumptions!$D$5)/3.29)*44</f>
        <v>1849008.4890562696</v>
      </c>
      <c r="D795" s="9">
        <f ca="1">_xlfn.NORM.INV(RAND(),AVERAGE(Assumptions!$D$6,Assumptions!$F$6),(Assumptions!$F$6-Assumptions!$D$6)/3.29)*RANDBETWEEN(2,5)</f>
        <v>2621703.6842807173</v>
      </c>
      <c r="E795" s="12">
        <f ca="1">_xlfn.NORM.INV(RAND(),AVERAGE(Assumptions!$D$17,Assumptions!$F$17),(Assumptions!$F$17-Assumptions!$D$17)/3.29)*8</f>
        <v>754139.45719221095</v>
      </c>
      <c r="F795" s="15">
        <f ca="1">_xlfn.NORM.INV(RAND(),AVERAGE(Assumptions!$D$7,Assumptions!$F$7),(Assumptions!$F$7-Assumptions!$D$7)/3.29)*RANDBETWEEN(1,3)</f>
        <v>10498480.768771999</v>
      </c>
      <c r="G795" s="3">
        <f ca="1">_xlfn.NORM.INV(RAND(),AVERAGE(Assumptions!$D$8,Assumptions!$F$8),(Assumptions!$F$8-Assumptions!$D$8)/3.29)*44</f>
        <v>1026761.7017295496</v>
      </c>
      <c r="H795" s="6">
        <f ca="1">_xlfn.NORM.INV(RAND(),AVERAGE(Assumptions!$D$9,Assumptions!$F$9),(Assumptions!$F$9-Assumptions!$D$9)/3.29)*21</f>
        <v>5836291.0946116382</v>
      </c>
      <c r="I795" s="9">
        <f ca="1">_xlfn.NORM.INV(RAND(),AVERAGE(Assumptions!$D$10,Assumptions!$F$10),(Assumptions!$F$10-Assumptions!$D$10)/3.29)*21</f>
        <v>1070634.5755433878</v>
      </c>
      <c r="J795" s="12">
        <f ca="1">NORMINV(RAND(),AVERAGE(Assumptions!$D$11,Assumptions!$F$11),(Assumptions!$F$11-Assumptions!$D$11)/3.29)*44</f>
        <v>2811328.4082166757</v>
      </c>
      <c r="K795" s="15">
        <f ca="1">_xlfn.NORM.INV(RAND(),AVERAGE(Assumptions!$D$12,Assumptions!$F$12),(Assumptions!$F$12-Assumptions!$D$12)/3.29)*44</f>
        <v>8686184.1655690875</v>
      </c>
      <c r="L795" s="3">
        <f ca="1">_xlfn.NORM.INV(RAND(),AVERAGE(Assumptions!$D$13,Assumptions!$F$13),(Assumptions!$F$13-Assumptions!$D$13)/3.29)*44</f>
        <v>19932919.055534415</v>
      </c>
      <c r="M795" s="6">
        <f ca="1">_xlfn.NORM.INV(RAND(),AVERAGE(Assumptions!$D$14,Assumptions!$F$14),(Assumptions!$F$14-Assumptions!$D$14)/3.29)*44</f>
        <v>7668835.7889042366</v>
      </c>
      <c r="N795" s="9">
        <f ca="1">_xlfn.NORM.INV(RAND(),AVERAGE(Assumptions!$D$16,Assumptions!$F$16),(Assumptions!$F$16-Assumptions!$D$16)/3.29)*44</f>
        <v>13142115.401985731</v>
      </c>
      <c r="O795" s="12">
        <f ca="1">_xlfn.NORM.INV(RAND(),AVERAGE(Assumptions!$D$15,Assumptions!$F$15),(Assumptions!$F$15-Assumptions!$D$15)/3.29)*44</f>
        <v>95272833.918810681</v>
      </c>
      <c r="P795" s="15">
        <f>Assumptions!$D$18</f>
        <v>14641750.345627395</v>
      </c>
      <c r="Q795" s="3">
        <f t="shared" ca="1" si="24"/>
        <v>18187450.070816949</v>
      </c>
      <c r="R795" s="6">
        <f t="shared" ca="1" si="25"/>
        <v>32829200.416444346</v>
      </c>
    </row>
    <row r="796" spans="1:18">
      <c r="A796" s="20">
        <v>795</v>
      </c>
      <c r="B796" s="3">
        <f ca="1">_xlfn.NORM.INV(RAND(),AVERAGE(Assumptions!$D$4,Assumptions!$F$4),(Assumptions!$F$4-Assumptions!$D$4)/3.29)*44</f>
        <v>1250844.7876405516</v>
      </c>
      <c r="C796" s="6">
        <f ca="1">_xlfn.NORM.INV(RAND(),AVERAGE(Assumptions!$D$5,Assumptions!$F$5),(Assumptions!$F$5-Assumptions!$D$5)/3.29)*44</f>
        <v>1961577.6538922701</v>
      </c>
      <c r="D796" s="9">
        <f ca="1">_xlfn.NORM.INV(RAND(),AVERAGE(Assumptions!$D$6,Assumptions!$F$6),(Assumptions!$F$6-Assumptions!$D$6)/3.29)*RANDBETWEEN(2,5)</f>
        <v>3154565.0549900215</v>
      </c>
      <c r="E796" s="12">
        <f ca="1">_xlfn.NORM.INV(RAND(),AVERAGE(Assumptions!$D$17,Assumptions!$F$17),(Assumptions!$F$17-Assumptions!$D$17)/3.29)*8</f>
        <v>913028.59396480897</v>
      </c>
      <c r="F796" s="15">
        <f ca="1">_xlfn.NORM.INV(RAND(),AVERAGE(Assumptions!$D$7,Assumptions!$F$7),(Assumptions!$F$7-Assumptions!$D$7)/3.29)*RANDBETWEEN(1,3)</f>
        <v>5336231.3183255019</v>
      </c>
      <c r="G796" s="3">
        <f ca="1">_xlfn.NORM.INV(RAND(),AVERAGE(Assumptions!$D$8,Assumptions!$F$8),(Assumptions!$F$8-Assumptions!$D$8)/3.29)*44</f>
        <v>1036337.4880175896</v>
      </c>
      <c r="H796" s="6">
        <f ca="1">_xlfn.NORM.INV(RAND(),AVERAGE(Assumptions!$D$9,Assumptions!$F$9),(Assumptions!$F$9-Assumptions!$D$9)/3.29)*21</f>
        <v>2817953.8183245389</v>
      </c>
      <c r="I796" s="9">
        <f ca="1">_xlfn.NORM.INV(RAND(),AVERAGE(Assumptions!$D$10,Assumptions!$F$10),(Assumptions!$F$10-Assumptions!$D$10)/3.29)*21</f>
        <v>743922.38804741763</v>
      </c>
      <c r="J796" s="12">
        <f ca="1">NORMINV(RAND(),AVERAGE(Assumptions!$D$11,Assumptions!$F$11),(Assumptions!$F$11-Assumptions!$D$11)/3.29)*44</f>
        <v>4531871.4568337314</v>
      </c>
      <c r="K796" s="15">
        <f ca="1">_xlfn.NORM.INV(RAND(),AVERAGE(Assumptions!$D$12,Assumptions!$F$12),(Assumptions!$F$12-Assumptions!$D$12)/3.29)*44</f>
        <v>7467676.0818085</v>
      </c>
      <c r="L796" s="3">
        <f ca="1">_xlfn.NORM.INV(RAND(),AVERAGE(Assumptions!$D$13,Assumptions!$F$13),(Assumptions!$F$13-Assumptions!$D$13)/3.29)*44</f>
        <v>23484039.49393367</v>
      </c>
      <c r="M796" s="6">
        <f ca="1">_xlfn.NORM.INV(RAND(),AVERAGE(Assumptions!$D$14,Assumptions!$F$14),(Assumptions!$F$14-Assumptions!$D$14)/3.29)*44</f>
        <v>4294036.9466958903</v>
      </c>
      <c r="N796" s="9">
        <f ca="1">_xlfn.NORM.INV(RAND(),AVERAGE(Assumptions!$D$16,Assumptions!$F$16),(Assumptions!$F$16-Assumptions!$D$16)/3.29)*44</f>
        <v>5592552.4531703349</v>
      </c>
      <c r="O796" s="12">
        <f ca="1">_xlfn.NORM.INV(RAND(),AVERAGE(Assumptions!$D$15,Assumptions!$F$15),(Assumptions!$F$15-Assumptions!$D$15)/3.29)*44</f>
        <v>114071337.46597555</v>
      </c>
      <c r="P796" s="15">
        <f>Assumptions!$D$18</f>
        <v>14641750.345627395</v>
      </c>
      <c r="Q796" s="3">
        <f t="shared" ca="1" si="24"/>
        <v>51486699.930330724</v>
      </c>
      <c r="R796" s="6">
        <f t="shared" ca="1" si="25"/>
        <v>66128450.275958121</v>
      </c>
    </row>
    <row r="797" spans="1:18">
      <c r="A797" s="20">
        <v>796</v>
      </c>
      <c r="B797" s="3">
        <f ca="1">_xlfn.NORM.INV(RAND(),AVERAGE(Assumptions!$D$4,Assumptions!$F$4),(Assumptions!$F$4-Assumptions!$D$4)/3.29)*44</f>
        <v>1315951.7405366173</v>
      </c>
      <c r="C797" s="6">
        <f ca="1">_xlfn.NORM.INV(RAND(),AVERAGE(Assumptions!$D$5,Assumptions!$F$5),(Assumptions!$F$5-Assumptions!$D$5)/3.29)*44</f>
        <v>1747789.3133789822</v>
      </c>
      <c r="D797" s="9">
        <f ca="1">_xlfn.NORM.INV(RAND(),AVERAGE(Assumptions!$D$6,Assumptions!$F$6),(Assumptions!$F$6-Assumptions!$D$6)/3.29)*RANDBETWEEN(2,5)</f>
        <v>5345991.2279942222</v>
      </c>
      <c r="E797" s="12">
        <f ca="1">_xlfn.NORM.INV(RAND(),AVERAGE(Assumptions!$D$17,Assumptions!$F$17),(Assumptions!$F$17-Assumptions!$D$17)/3.29)*8</f>
        <v>818817.79536406673</v>
      </c>
      <c r="F797" s="15">
        <f ca="1">_xlfn.NORM.INV(RAND(),AVERAGE(Assumptions!$D$7,Assumptions!$F$7),(Assumptions!$F$7-Assumptions!$D$7)/3.29)*RANDBETWEEN(1,3)</f>
        <v>7429632.0031664176</v>
      </c>
      <c r="G797" s="3">
        <f ca="1">_xlfn.NORM.INV(RAND(),AVERAGE(Assumptions!$D$8,Assumptions!$F$8),(Assumptions!$F$8-Assumptions!$D$8)/3.29)*44</f>
        <v>1225550.8069476443</v>
      </c>
      <c r="H797" s="6">
        <f ca="1">_xlfn.NORM.INV(RAND(),AVERAGE(Assumptions!$D$9,Assumptions!$F$9),(Assumptions!$F$9-Assumptions!$D$9)/3.29)*21</f>
        <v>5385743.9246389484</v>
      </c>
      <c r="I797" s="9">
        <f ca="1">_xlfn.NORM.INV(RAND(),AVERAGE(Assumptions!$D$10,Assumptions!$F$10),(Assumptions!$F$10-Assumptions!$D$10)/3.29)*21</f>
        <v>1235290.0262704939</v>
      </c>
      <c r="J797" s="12">
        <f ca="1">NORMINV(RAND(),AVERAGE(Assumptions!$D$11,Assumptions!$F$11),(Assumptions!$F$11-Assumptions!$D$11)/3.29)*44</f>
        <v>2741456.1980127995</v>
      </c>
      <c r="K797" s="15">
        <f ca="1">_xlfn.NORM.INV(RAND(),AVERAGE(Assumptions!$D$12,Assumptions!$F$12),(Assumptions!$F$12-Assumptions!$D$12)/3.29)*44</f>
        <v>5784617.3359034825</v>
      </c>
      <c r="L797" s="3">
        <f ca="1">_xlfn.NORM.INV(RAND(),AVERAGE(Assumptions!$D$13,Assumptions!$F$13),(Assumptions!$F$13-Assumptions!$D$13)/3.29)*44</f>
        <v>11561384.147968456</v>
      </c>
      <c r="M797" s="6">
        <f ca="1">_xlfn.NORM.INV(RAND(),AVERAGE(Assumptions!$D$14,Assumptions!$F$14),(Assumptions!$F$14-Assumptions!$D$14)/3.29)*44</f>
        <v>5137283.3603649745</v>
      </c>
      <c r="N797" s="9">
        <f ca="1">_xlfn.NORM.INV(RAND(),AVERAGE(Assumptions!$D$16,Assumptions!$F$16),(Assumptions!$F$16-Assumptions!$D$16)/3.29)*44</f>
        <v>12493176.712289818</v>
      </c>
      <c r="O797" s="12">
        <f ca="1">_xlfn.NORM.INV(RAND(),AVERAGE(Assumptions!$D$15,Assumptions!$F$15),(Assumptions!$F$15-Assumptions!$D$15)/3.29)*44</f>
        <v>108884342.35244238</v>
      </c>
      <c r="P797" s="15">
        <f>Assumptions!$D$18</f>
        <v>14641750.345627395</v>
      </c>
      <c r="Q797" s="3">
        <f t="shared" ca="1" si="24"/>
        <v>46661657.75960546</v>
      </c>
      <c r="R797" s="6">
        <f t="shared" ca="1" si="25"/>
        <v>61303408.105232857</v>
      </c>
    </row>
    <row r="798" spans="1:18">
      <c r="A798" s="20">
        <v>797</v>
      </c>
      <c r="B798" s="3">
        <f ca="1">_xlfn.NORM.INV(RAND(),AVERAGE(Assumptions!$D$4,Assumptions!$F$4),(Assumptions!$F$4-Assumptions!$D$4)/3.29)*44</f>
        <v>1151341.2399114205</v>
      </c>
      <c r="C798" s="6">
        <f ca="1">_xlfn.NORM.INV(RAND(),AVERAGE(Assumptions!$D$5,Assumptions!$F$5),(Assumptions!$F$5-Assumptions!$D$5)/3.29)*44</f>
        <v>2152999.7784622442</v>
      </c>
      <c r="D798" s="9">
        <f ca="1">_xlfn.NORM.INV(RAND(),AVERAGE(Assumptions!$D$6,Assumptions!$F$6),(Assumptions!$F$6-Assumptions!$D$6)/3.29)*RANDBETWEEN(2,5)</f>
        <v>3105098.2887689332</v>
      </c>
      <c r="E798" s="12">
        <f ca="1">_xlfn.NORM.INV(RAND(),AVERAGE(Assumptions!$D$17,Assumptions!$F$17),(Assumptions!$F$17-Assumptions!$D$17)/3.29)*8</f>
        <v>958895.73489972774</v>
      </c>
      <c r="F798" s="15">
        <f ca="1">_xlfn.NORM.INV(RAND(),AVERAGE(Assumptions!$D$7,Assumptions!$F$7),(Assumptions!$F$7-Assumptions!$D$7)/3.29)*RANDBETWEEN(1,3)</f>
        <v>3641044.6786710899</v>
      </c>
      <c r="G798" s="3">
        <f ca="1">_xlfn.NORM.INV(RAND(),AVERAGE(Assumptions!$D$8,Assumptions!$F$8),(Assumptions!$F$8-Assumptions!$D$8)/3.29)*44</f>
        <v>1430015.4664538931</v>
      </c>
      <c r="H798" s="6">
        <f ca="1">_xlfn.NORM.INV(RAND(),AVERAGE(Assumptions!$D$9,Assumptions!$F$9),(Assumptions!$F$9-Assumptions!$D$9)/3.29)*21</f>
        <v>4757918.2367642969</v>
      </c>
      <c r="I798" s="9">
        <f ca="1">_xlfn.NORM.INV(RAND(),AVERAGE(Assumptions!$D$10,Assumptions!$F$10),(Assumptions!$F$10-Assumptions!$D$10)/3.29)*21</f>
        <v>479124.11050591507</v>
      </c>
      <c r="J798" s="12">
        <f ca="1">NORMINV(RAND(),AVERAGE(Assumptions!$D$11,Assumptions!$F$11),(Assumptions!$F$11-Assumptions!$D$11)/3.29)*44</f>
        <v>3752059.2996997503</v>
      </c>
      <c r="K798" s="15">
        <f ca="1">_xlfn.NORM.INV(RAND(),AVERAGE(Assumptions!$D$12,Assumptions!$F$12),(Assumptions!$F$12-Assumptions!$D$12)/3.29)*44</f>
        <v>7926177.5740388362</v>
      </c>
      <c r="L798" s="3">
        <f ca="1">_xlfn.NORM.INV(RAND(),AVERAGE(Assumptions!$D$13,Assumptions!$F$13),(Assumptions!$F$13-Assumptions!$D$13)/3.29)*44</f>
        <v>18852169.548459228</v>
      </c>
      <c r="M798" s="6">
        <f ca="1">_xlfn.NORM.INV(RAND(),AVERAGE(Assumptions!$D$14,Assumptions!$F$14),(Assumptions!$F$14-Assumptions!$D$14)/3.29)*44</f>
        <v>6295732.7188846013</v>
      </c>
      <c r="N798" s="9">
        <f ca="1">_xlfn.NORM.INV(RAND(),AVERAGE(Assumptions!$D$16,Assumptions!$F$16),(Assumptions!$F$16-Assumptions!$D$16)/3.29)*44</f>
        <v>11522337.515522243</v>
      </c>
      <c r="O798" s="12">
        <f ca="1">_xlfn.NORM.INV(RAND(),AVERAGE(Assumptions!$D$15,Assumptions!$F$15),(Assumptions!$F$15-Assumptions!$D$15)/3.29)*44</f>
        <v>152366205.04951867</v>
      </c>
      <c r="P798" s="15">
        <f>Assumptions!$D$18</f>
        <v>14641750.345627395</v>
      </c>
      <c r="Q798" s="3">
        <f t="shared" ca="1" si="24"/>
        <v>86341290.85847649</v>
      </c>
      <c r="R798" s="6">
        <f t="shared" ca="1" si="25"/>
        <v>100983041.20410389</v>
      </c>
    </row>
    <row r="799" spans="1:18">
      <c r="A799" s="20">
        <v>798</v>
      </c>
      <c r="B799" s="3">
        <f ca="1">_xlfn.NORM.INV(RAND(),AVERAGE(Assumptions!$D$4,Assumptions!$F$4),(Assumptions!$F$4-Assumptions!$D$4)/3.29)*44</f>
        <v>1170759.078231921</v>
      </c>
      <c r="C799" s="6">
        <f ca="1">_xlfn.NORM.INV(RAND(),AVERAGE(Assumptions!$D$5,Assumptions!$F$5),(Assumptions!$F$5-Assumptions!$D$5)/3.29)*44</f>
        <v>1938237.210257631</v>
      </c>
      <c r="D799" s="9">
        <f ca="1">_xlfn.NORM.INV(RAND(),AVERAGE(Assumptions!$D$6,Assumptions!$F$6),(Assumptions!$F$6-Assumptions!$D$6)/3.29)*RANDBETWEEN(2,5)</f>
        <v>2680801.8934693122</v>
      </c>
      <c r="E799" s="12">
        <f ca="1">_xlfn.NORM.INV(RAND(),AVERAGE(Assumptions!$D$17,Assumptions!$F$17),(Assumptions!$F$17-Assumptions!$D$17)/3.29)*8</f>
        <v>1069234.0199590959</v>
      </c>
      <c r="F799" s="15">
        <f ca="1">_xlfn.NORM.INV(RAND(),AVERAGE(Assumptions!$D$7,Assumptions!$F$7),(Assumptions!$F$7-Assumptions!$D$7)/3.29)*RANDBETWEEN(1,3)</f>
        <v>4941735.3259387091</v>
      </c>
      <c r="G799" s="3">
        <f ca="1">_xlfn.NORM.INV(RAND(),AVERAGE(Assumptions!$D$8,Assumptions!$F$8),(Assumptions!$F$8-Assumptions!$D$8)/3.29)*44</f>
        <v>936400.70683956635</v>
      </c>
      <c r="H799" s="6">
        <f ca="1">_xlfn.NORM.INV(RAND(),AVERAGE(Assumptions!$D$9,Assumptions!$F$9),(Assumptions!$F$9-Assumptions!$D$9)/3.29)*21</f>
        <v>4030954.0895425109</v>
      </c>
      <c r="I799" s="9">
        <f ca="1">_xlfn.NORM.INV(RAND(),AVERAGE(Assumptions!$D$10,Assumptions!$F$10),(Assumptions!$F$10-Assumptions!$D$10)/3.29)*21</f>
        <v>828248.59496421041</v>
      </c>
      <c r="J799" s="12">
        <f ca="1">NORMINV(RAND(),AVERAGE(Assumptions!$D$11,Assumptions!$F$11),(Assumptions!$F$11-Assumptions!$D$11)/3.29)*44</f>
        <v>3634754.4994565155</v>
      </c>
      <c r="K799" s="15">
        <f ca="1">_xlfn.NORM.INV(RAND(),AVERAGE(Assumptions!$D$12,Assumptions!$F$12),(Assumptions!$F$12-Assumptions!$D$12)/3.29)*44</f>
        <v>11126089.012647262</v>
      </c>
      <c r="L799" s="3">
        <f ca="1">_xlfn.NORM.INV(RAND(),AVERAGE(Assumptions!$D$13,Assumptions!$F$13),(Assumptions!$F$13-Assumptions!$D$13)/3.29)*44</f>
        <v>8744238.636543816</v>
      </c>
      <c r="M799" s="6">
        <f ca="1">_xlfn.NORM.INV(RAND(),AVERAGE(Assumptions!$D$14,Assumptions!$F$14),(Assumptions!$F$14-Assumptions!$D$14)/3.29)*44</f>
        <v>6753582.1059300154</v>
      </c>
      <c r="N799" s="9">
        <f ca="1">_xlfn.NORM.INV(RAND(),AVERAGE(Assumptions!$D$16,Assumptions!$F$16),(Assumptions!$F$16-Assumptions!$D$16)/3.29)*44</f>
        <v>9655953.102370752</v>
      </c>
      <c r="O799" s="12">
        <f ca="1">_xlfn.NORM.INV(RAND(),AVERAGE(Assumptions!$D$15,Assumptions!$F$15),(Assumptions!$F$15-Assumptions!$D$15)/3.29)*44</f>
        <v>68397551.309230998</v>
      </c>
      <c r="P799" s="15">
        <f>Assumptions!$D$18</f>
        <v>14641750.345627395</v>
      </c>
      <c r="Q799" s="3">
        <f t="shared" ca="1" si="24"/>
        <v>10886563.033079669</v>
      </c>
      <c r="R799" s="6">
        <f t="shared" ca="1" si="25"/>
        <v>25528313.378707066</v>
      </c>
    </row>
    <row r="800" spans="1:18">
      <c r="A800" s="20">
        <v>799</v>
      </c>
      <c r="B800" s="3">
        <f ca="1">_xlfn.NORM.INV(RAND(),AVERAGE(Assumptions!$D$4,Assumptions!$F$4),(Assumptions!$F$4-Assumptions!$D$4)/3.29)*44</f>
        <v>1168510.2416406418</v>
      </c>
      <c r="C800" s="6">
        <f ca="1">_xlfn.NORM.INV(RAND(),AVERAGE(Assumptions!$D$5,Assumptions!$F$5),(Assumptions!$F$5-Assumptions!$D$5)/3.29)*44</f>
        <v>1896749.1821811625</v>
      </c>
      <c r="D800" s="9">
        <f ca="1">_xlfn.NORM.INV(RAND(),AVERAGE(Assumptions!$D$6,Assumptions!$F$6),(Assumptions!$F$6-Assumptions!$D$6)/3.29)*RANDBETWEEN(2,5)</f>
        <v>3620844.2026966242</v>
      </c>
      <c r="E800" s="12">
        <f ca="1">_xlfn.NORM.INV(RAND(),AVERAGE(Assumptions!$D$17,Assumptions!$F$17),(Assumptions!$F$17-Assumptions!$D$17)/3.29)*8</f>
        <v>1059616.2709878774</v>
      </c>
      <c r="F800" s="15">
        <f ca="1">_xlfn.NORM.INV(RAND(),AVERAGE(Assumptions!$D$7,Assumptions!$F$7),(Assumptions!$F$7-Assumptions!$D$7)/3.29)*RANDBETWEEN(1,3)</f>
        <v>4104000.1213700604</v>
      </c>
      <c r="G800" s="3">
        <f ca="1">_xlfn.NORM.INV(RAND(),AVERAGE(Assumptions!$D$8,Assumptions!$F$8),(Assumptions!$F$8-Assumptions!$D$8)/3.29)*44</f>
        <v>1275828.4272966683</v>
      </c>
      <c r="H800" s="6">
        <f ca="1">_xlfn.NORM.INV(RAND(),AVERAGE(Assumptions!$D$9,Assumptions!$F$9),(Assumptions!$F$9-Assumptions!$D$9)/3.29)*21</f>
        <v>5085065.8598096222</v>
      </c>
      <c r="I800" s="9">
        <f ca="1">_xlfn.NORM.INV(RAND(),AVERAGE(Assumptions!$D$10,Assumptions!$F$10),(Assumptions!$F$10-Assumptions!$D$10)/3.29)*21</f>
        <v>1146393.6846402481</v>
      </c>
      <c r="J800" s="12">
        <f ca="1">NORMINV(RAND(),AVERAGE(Assumptions!$D$11,Assumptions!$F$11),(Assumptions!$F$11-Assumptions!$D$11)/3.29)*44</f>
        <v>4266157.4414675813</v>
      </c>
      <c r="K800" s="15">
        <f ca="1">_xlfn.NORM.INV(RAND(),AVERAGE(Assumptions!$D$12,Assumptions!$F$12),(Assumptions!$F$12-Assumptions!$D$12)/3.29)*44</f>
        <v>6932627.3317350801</v>
      </c>
      <c r="L800" s="3">
        <f ca="1">_xlfn.NORM.INV(RAND(),AVERAGE(Assumptions!$D$13,Assumptions!$F$13),(Assumptions!$F$13-Assumptions!$D$13)/3.29)*44</f>
        <v>16355365.524388388</v>
      </c>
      <c r="M800" s="6">
        <f ca="1">_xlfn.NORM.INV(RAND(),AVERAGE(Assumptions!$D$14,Assumptions!$F$14),(Assumptions!$F$14-Assumptions!$D$14)/3.29)*44</f>
        <v>6836251.4797147475</v>
      </c>
      <c r="N800" s="9">
        <f ca="1">_xlfn.NORM.INV(RAND(),AVERAGE(Assumptions!$D$16,Assumptions!$F$16),(Assumptions!$F$16-Assumptions!$D$16)/3.29)*44</f>
        <v>12688551.006863073</v>
      </c>
      <c r="O800" s="12">
        <f ca="1">_xlfn.NORM.INV(RAND(),AVERAGE(Assumptions!$D$15,Assumptions!$F$15),(Assumptions!$F$15-Assumptions!$D$15)/3.29)*44</f>
        <v>95280298.635606006</v>
      </c>
      <c r="P800" s="15">
        <f>Assumptions!$D$18</f>
        <v>14641750.345627395</v>
      </c>
      <c r="Q800" s="3">
        <f t="shared" ca="1" si="24"/>
        <v>28844337.860814236</v>
      </c>
      <c r="R800" s="6">
        <f t="shared" ca="1" si="25"/>
        <v>43486088.206441633</v>
      </c>
    </row>
    <row r="801" spans="1:18">
      <c r="A801" s="20">
        <v>800</v>
      </c>
      <c r="B801" s="3">
        <f ca="1">_xlfn.NORM.INV(RAND(),AVERAGE(Assumptions!$D$4,Assumptions!$F$4),(Assumptions!$F$4-Assumptions!$D$4)/3.29)*44</f>
        <v>1155286.1419353548</v>
      </c>
      <c r="C801" s="6">
        <f ca="1">_xlfn.NORM.INV(RAND(),AVERAGE(Assumptions!$D$5,Assumptions!$F$5),(Assumptions!$F$5-Assumptions!$D$5)/3.29)*44</f>
        <v>1813808.7270890949</v>
      </c>
      <c r="D801" s="9">
        <f ca="1">_xlfn.NORM.INV(RAND(),AVERAGE(Assumptions!$D$6,Assumptions!$F$6),(Assumptions!$F$6-Assumptions!$D$6)/3.29)*RANDBETWEEN(2,5)</f>
        <v>1772132.9084060504</v>
      </c>
      <c r="E801" s="12">
        <f ca="1">_xlfn.NORM.INV(RAND(),AVERAGE(Assumptions!$D$17,Assumptions!$F$17),(Assumptions!$F$17-Assumptions!$D$17)/3.29)*8</f>
        <v>877764.25008656748</v>
      </c>
      <c r="F801" s="15">
        <f ca="1">_xlfn.NORM.INV(RAND(),AVERAGE(Assumptions!$D$7,Assumptions!$F$7),(Assumptions!$F$7-Assumptions!$D$7)/3.29)*RANDBETWEEN(1,3)</f>
        <v>7511279.8569110353</v>
      </c>
      <c r="G801" s="3">
        <f ca="1">_xlfn.NORM.INV(RAND(),AVERAGE(Assumptions!$D$8,Assumptions!$F$8),(Assumptions!$F$8-Assumptions!$D$8)/3.29)*44</f>
        <v>1371473.3497477407</v>
      </c>
      <c r="H801" s="6">
        <f ca="1">_xlfn.NORM.INV(RAND(),AVERAGE(Assumptions!$D$9,Assumptions!$F$9),(Assumptions!$F$9-Assumptions!$D$9)/3.29)*21</f>
        <v>6256623.0835735081</v>
      </c>
      <c r="I801" s="9">
        <f ca="1">_xlfn.NORM.INV(RAND(),AVERAGE(Assumptions!$D$10,Assumptions!$F$10),(Assumptions!$F$10-Assumptions!$D$10)/3.29)*21</f>
        <v>872378.90888543113</v>
      </c>
      <c r="J801" s="12">
        <f ca="1">NORMINV(RAND(),AVERAGE(Assumptions!$D$11,Assumptions!$F$11),(Assumptions!$F$11-Assumptions!$D$11)/3.29)*44</f>
        <v>653934.59915327409</v>
      </c>
      <c r="K801" s="15">
        <f ca="1">_xlfn.NORM.INV(RAND(),AVERAGE(Assumptions!$D$12,Assumptions!$F$12),(Assumptions!$F$12-Assumptions!$D$12)/3.29)*44</f>
        <v>7878720.6336552864</v>
      </c>
      <c r="L801" s="3">
        <f ca="1">_xlfn.NORM.INV(RAND(),AVERAGE(Assumptions!$D$13,Assumptions!$F$13),(Assumptions!$F$13-Assumptions!$D$13)/3.29)*44</f>
        <v>21057794.759928357</v>
      </c>
      <c r="M801" s="6">
        <f ca="1">_xlfn.NORM.INV(RAND(),AVERAGE(Assumptions!$D$14,Assumptions!$F$14),(Assumptions!$F$14-Assumptions!$D$14)/3.29)*44</f>
        <v>5724938.2051763777</v>
      </c>
      <c r="N801" s="9">
        <f ca="1">_xlfn.NORM.INV(RAND(),AVERAGE(Assumptions!$D$16,Assumptions!$F$16),(Assumptions!$F$16-Assumptions!$D$16)/3.29)*44</f>
        <v>9668527.105243586</v>
      </c>
      <c r="O801" s="12">
        <f ca="1">_xlfn.NORM.INV(RAND(),AVERAGE(Assumptions!$D$15,Assumptions!$F$15),(Assumptions!$F$15-Assumptions!$D$15)/3.29)*44</f>
        <v>101134074.08685794</v>
      </c>
      <c r="P801" s="15">
        <f>Assumptions!$D$18</f>
        <v>14641750.345627395</v>
      </c>
      <c r="Q801" s="3">
        <f t="shared" ca="1" si="24"/>
        <v>34519411.557066284</v>
      </c>
      <c r="R801" s="6">
        <f t="shared" ca="1" si="25"/>
        <v>49161161.902693681</v>
      </c>
    </row>
    <row r="802" spans="1:18">
      <c r="A802" s="20">
        <v>801</v>
      </c>
      <c r="B802" s="3">
        <f ca="1">_xlfn.NORM.INV(RAND(),AVERAGE(Assumptions!$D$4,Assumptions!$F$4),(Assumptions!$F$4-Assumptions!$D$4)/3.29)*44</f>
        <v>1306851.789167864</v>
      </c>
      <c r="C802" s="6">
        <f ca="1">_xlfn.NORM.INV(RAND(),AVERAGE(Assumptions!$D$5,Assumptions!$F$5),(Assumptions!$F$5-Assumptions!$D$5)/3.29)*44</f>
        <v>1813740.437824687</v>
      </c>
      <c r="D802" s="9">
        <f ca="1">_xlfn.NORM.INV(RAND(),AVERAGE(Assumptions!$D$6,Assumptions!$F$6),(Assumptions!$F$6-Assumptions!$D$6)/3.29)*RANDBETWEEN(2,5)</f>
        <v>4764203.0049660765</v>
      </c>
      <c r="E802" s="12">
        <f ca="1">_xlfn.NORM.INV(RAND(),AVERAGE(Assumptions!$D$17,Assumptions!$F$17),(Assumptions!$F$17-Assumptions!$D$17)/3.29)*8</f>
        <v>890133.56194781756</v>
      </c>
      <c r="F802" s="15">
        <f ca="1">_xlfn.NORM.INV(RAND(),AVERAGE(Assumptions!$D$7,Assumptions!$F$7),(Assumptions!$F$7-Assumptions!$D$7)/3.29)*RANDBETWEEN(1,3)</f>
        <v>2289691.3234728118</v>
      </c>
      <c r="G802" s="3">
        <f ca="1">_xlfn.NORM.INV(RAND(),AVERAGE(Assumptions!$D$8,Assumptions!$F$8),(Assumptions!$F$8-Assumptions!$D$8)/3.29)*44</f>
        <v>1210883.3685254003</v>
      </c>
      <c r="H802" s="6">
        <f ca="1">_xlfn.NORM.INV(RAND(),AVERAGE(Assumptions!$D$9,Assumptions!$F$9),(Assumptions!$F$9-Assumptions!$D$9)/3.29)*21</f>
        <v>6411816.2402050588</v>
      </c>
      <c r="I802" s="9">
        <f ca="1">_xlfn.NORM.INV(RAND(),AVERAGE(Assumptions!$D$10,Assumptions!$F$10),(Assumptions!$F$10-Assumptions!$D$10)/3.29)*21</f>
        <v>949746.0349911002</v>
      </c>
      <c r="J802" s="12">
        <f ca="1">NORMINV(RAND(),AVERAGE(Assumptions!$D$11,Assumptions!$F$11),(Assumptions!$F$11-Assumptions!$D$11)/3.29)*44</f>
        <v>3143683.3664125674</v>
      </c>
      <c r="K802" s="15">
        <f ca="1">_xlfn.NORM.INV(RAND(),AVERAGE(Assumptions!$D$12,Assumptions!$F$12),(Assumptions!$F$12-Assumptions!$D$12)/3.29)*44</f>
        <v>8773927.6788127683</v>
      </c>
      <c r="L802" s="3">
        <f ca="1">_xlfn.NORM.INV(RAND(),AVERAGE(Assumptions!$D$13,Assumptions!$F$13),(Assumptions!$F$13-Assumptions!$D$13)/3.29)*44</f>
        <v>17424533.295564305</v>
      </c>
      <c r="M802" s="6">
        <f ca="1">_xlfn.NORM.INV(RAND(),AVERAGE(Assumptions!$D$14,Assumptions!$F$14),(Assumptions!$F$14-Assumptions!$D$14)/3.29)*44</f>
        <v>6780553.107182404</v>
      </c>
      <c r="N802" s="9">
        <f ca="1">_xlfn.NORM.INV(RAND(),AVERAGE(Assumptions!$D$16,Assumptions!$F$16),(Assumptions!$F$16-Assumptions!$D$16)/3.29)*44</f>
        <v>18098279.221109636</v>
      </c>
      <c r="O802" s="12">
        <f ca="1">_xlfn.NORM.INV(RAND(),AVERAGE(Assumptions!$D$15,Assumptions!$F$15),(Assumptions!$F$15-Assumptions!$D$15)/3.29)*44</f>
        <v>67757031.874876156</v>
      </c>
      <c r="P802" s="15">
        <f>Assumptions!$D$18</f>
        <v>14641750.345627395</v>
      </c>
      <c r="Q802" s="3">
        <f t="shared" ca="1" si="24"/>
        <v>-6101010.5553063452</v>
      </c>
      <c r="R802" s="6">
        <f t="shared" ca="1" si="25"/>
        <v>8540739.7903210502</v>
      </c>
    </row>
    <row r="803" spans="1:18">
      <c r="A803" s="20">
        <v>802</v>
      </c>
      <c r="B803" s="3">
        <f ca="1">_xlfn.NORM.INV(RAND(),AVERAGE(Assumptions!$D$4,Assumptions!$F$4),(Assumptions!$F$4-Assumptions!$D$4)/3.29)*44</f>
        <v>1216690.9131235417</v>
      </c>
      <c r="C803" s="6">
        <f ca="1">_xlfn.NORM.INV(RAND(),AVERAGE(Assumptions!$D$5,Assumptions!$F$5),(Assumptions!$F$5-Assumptions!$D$5)/3.29)*44</f>
        <v>1568286.4635124516</v>
      </c>
      <c r="D803" s="9">
        <f ca="1">_xlfn.NORM.INV(RAND(),AVERAGE(Assumptions!$D$6,Assumptions!$F$6),(Assumptions!$F$6-Assumptions!$D$6)/3.29)*RANDBETWEEN(2,5)</f>
        <v>1623371.1894293118</v>
      </c>
      <c r="E803" s="12">
        <f ca="1">_xlfn.NORM.INV(RAND(),AVERAGE(Assumptions!$D$17,Assumptions!$F$17),(Assumptions!$F$17-Assumptions!$D$17)/3.29)*8</f>
        <v>900072.66724023642</v>
      </c>
      <c r="F803" s="15">
        <f ca="1">_xlfn.NORM.INV(RAND(),AVERAGE(Assumptions!$D$7,Assumptions!$F$7),(Assumptions!$F$7-Assumptions!$D$7)/3.29)*RANDBETWEEN(1,3)</f>
        <v>3145208.7836874695</v>
      </c>
      <c r="G803" s="3">
        <f ca="1">_xlfn.NORM.INV(RAND(),AVERAGE(Assumptions!$D$8,Assumptions!$F$8),(Assumptions!$F$8-Assumptions!$D$8)/3.29)*44</f>
        <v>1184646.6043596303</v>
      </c>
      <c r="H803" s="6">
        <f ca="1">_xlfn.NORM.INV(RAND(),AVERAGE(Assumptions!$D$9,Assumptions!$F$9),(Assumptions!$F$9-Assumptions!$D$9)/3.29)*21</f>
        <v>6156821.4881846383</v>
      </c>
      <c r="I803" s="9">
        <f ca="1">_xlfn.NORM.INV(RAND(),AVERAGE(Assumptions!$D$10,Assumptions!$F$10),(Assumptions!$F$10-Assumptions!$D$10)/3.29)*21</f>
        <v>899496.66407378798</v>
      </c>
      <c r="J803" s="12">
        <f ca="1">NORMINV(RAND(),AVERAGE(Assumptions!$D$11,Assumptions!$F$11),(Assumptions!$F$11-Assumptions!$D$11)/3.29)*44</f>
        <v>4343886.8739132052</v>
      </c>
      <c r="K803" s="15">
        <f ca="1">_xlfn.NORM.INV(RAND(),AVERAGE(Assumptions!$D$12,Assumptions!$F$12),(Assumptions!$F$12-Assumptions!$D$12)/3.29)*44</f>
        <v>9872764.9190456923</v>
      </c>
      <c r="L803" s="3">
        <f ca="1">_xlfn.NORM.INV(RAND(),AVERAGE(Assumptions!$D$13,Assumptions!$F$13),(Assumptions!$F$13-Assumptions!$D$13)/3.29)*44</f>
        <v>14843583.226062244</v>
      </c>
      <c r="M803" s="6">
        <f ca="1">_xlfn.NORM.INV(RAND(),AVERAGE(Assumptions!$D$14,Assumptions!$F$14),(Assumptions!$F$14-Assumptions!$D$14)/3.29)*44</f>
        <v>6547520.1434169281</v>
      </c>
      <c r="N803" s="9">
        <f ca="1">_xlfn.NORM.INV(RAND(),AVERAGE(Assumptions!$D$16,Assumptions!$F$16),(Assumptions!$F$16-Assumptions!$D$16)/3.29)*44</f>
        <v>13133648.630465137</v>
      </c>
      <c r="O803" s="12">
        <f ca="1">_xlfn.NORM.INV(RAND(),AVERAGE(Assumptions!$D$15,Assumptions!$F$15),(Assumptions!$F$15-Assumptions!$D$15)/3.29)*44</f>
        <v>119768980.27151224</v>
      </c>
      <c r="P803" s="15">
        <f>Assumptions!$D$18</f>
        <v>14641750.345627395</v>
      </c>
      <c r="Q803" s="3">
        <f t="shared" ca="1" si="24"/>
        <v>54332981.704997964</v>
      </c>
      <c r="R803" s="6">
        <f t="shared" ca="1" si="25"/>
        <v>68974732.050625354</v>
      </c>
    </row>
    <row r="804" spans="1:18">
      <c r="A804" s="20">
        <v>803</v>
      </c>
      <c r="B804" s="3">
        <f ca="1">_xlfn.NORM.INV(RAND(),AVERAGE(Assumptions!$D$4,Assumptions!$F$4),(Assumptions!$F$4-Assumptions!$D$4)/3.29)*44</f>
        <v>1120552.7343222382</v>
      </c>
      <c r="C804" s="6">
        <f ca="1">_xlfn.NORM.INV(RAND(),AVERAGE(Assumptions!$D$5,Assumptions!$F$5),(Assumptions!$F$5-Assumptions!$D$5)/3.29)*44</f>
        <v>2028064.405636583</v>
      </c>
      <c r="D804" s="9">
        <f ca="1">_xlfn.NORM.INV(RAND(),AVERAGE(Assumptions!$D$6,Assumptions!$F$6),(Assumptions!$F$6-Assumptions!$D$6)/3.29)*RANDBETWEEN(2,5)</f>
        <v>3199362.0517421737</v>
      </c>
      <c r="E804" s="12">
        <f ca="1">_xlfn.NORM.INV(RAND(),AVERAGE(Assumptions!$D$17,Assumptions!$F$17),(Assumptions!$F$17-Assumptions!$D$17)/3.29)*8</f>
        <v>851125.72181425011</v>
      </c>
      <c r="F804" s="15">
        <f ca="1">_xlfn.NORM.INV(RAND(),AVERAGE(Assumptions!$D$7,Assumptions!$F$7),(Assumptions!$F$7-Assumptions!$D$7)/3.29)*RANDBETWEEN(1,3)</f>
        <v>8523855.492523063</v>
      </c>
      <c r="G804" s="3">
        <f ca="1">_xlfn.NORM.INV(RAND(),AVERAGE(Assumptions!$D$8,Assumptions!$F$8),(Assumptions!$F$8-Assumptions!$D$8)/3.29)*44</f>
        <v>1032155.167729554</v>
      </c>
      <c r="H804" s="6">
        <f ca="1">_xlfn.NORM.INV(RAND(),AVERAGE(Assumptions!$D$9,Assumptions!$F$9),(Assumptions!$F$9-Assumptions!$D$9)/3.29)*21</f>
        <v>6175814.6524898466</v>
      </c>
      <c r="I804" s="9">
        <f ca="1">_xlfn.NORM.INV(RAND(),AVERAGE(Assumptions!$D$10,Assumptions!$F$10),(Assumptions!$F$10-Assumptions!$D$10)/3.29)*21</f>
        <v>984820.81896371453</v>
      </c>
      <c r="J804" s="12">
        <f ca="1">NORMINV(RAND(),AVERAGE(Assumptions!$D$11,Assumptions!$F$11),(Assumptions!$F$11-Assumptions!$D$11)/3.29)*44</f>
        <v>5169174.5595659157</v>
      </c>
      <c r="K804" s="15">
        <f ca="1">_xlfn.NORM.INV(RAND(),AVERAGE(Assumptions!$D$12,Assumptions!$F$12),(Assumptions!$F$12-Assumptions!$D$12)/3.29)*44</f>
        <v>9205854.6703553386</v>
      </c>
      <c r="L804" s="3">
        <f ca="1">_xlfn.NORM.INV(RAND(),AVERAGE(Assumptions!$D$13,Assumptions!$F$13),(Assumptions!$F$13-Assumptions!$D$13)/3.29)*44</f>
        <v>16959654.897862624</v>
      </c>
      <c r="M804" s="6">
        <f ca="1">_xlfn.NORM.INV(RAND(),AVERAGE(Assumptions!$D$14,Assumptions!$F$14),(Assumptions!$F$14-Assumptions!$D$14)/3.29)*44</f>
        <v>7366642.5838332046</v>
      </c>
      <c r="N804" s="9">
        <f ca="1">_xlfn.NORM.INV(RAND(),AVERAGE(Assumptions!$D$16,Assumptions!$F$16),(Assumptions!$F$16-Assumptions!$D$16)/3.29)*44</f>
        <v>7631225.2641324671</v>
      </c>
      <c r="O804" s="12">
        <f ca="1">_xlfn.NORM.INV(RAND(),AVERAGE(Assumptions!$D$15,Assumptions!$F$15),(Assumptions!$F$15-Assumptions!$D$15)/3.29)*44</f>
        <v>99746629.806247428</v>
      </c>
      <c r="P804" s="15">
        <f>Assumptions!$D$18</f>
        <v>14641750.345627395</v>
      </c>
      <c r="Q804" s="3">
        <f t="shared" ca="1" si="24"/>
        <v>29498326.785276458</v>
      </c>
      <c r="R804" s="6">
        <f t="shared" ca="1" si="25"/>
        <v>44140077.130903855</v>
      </c>
    </row>
    <row r="805" spans="1:18">
      <c r="A805" s="20">
        <v>804</v>
      </c>
      <c r="B805" s="3">
        <f ca="1">_xlfn.NORM.INV(RAND(),AVERAGE(Assumptions!$D$4,Assumptions!$F$4),(Assumptions!$F$4-Assumptions!$D$4)/3.29)*44</f>
        <v>1224873.9911317683</v>
      </c>
      <c r="C805" s="6">
        <f ca="1">_xlfn.NORM.INV(RAND(),AVERAGE(Assumptions!$D$5,Assumptions!$F$5),(Assumptions!$F$5-Assumptions!$D$5)/3.29)*44</f>
        <v>1884943.8508545132</v>
      </c>
      <c r="D805" s="9">
        <f ca="1">_xlfn.NORM.INV(RAND(),AVERAGE(Assumptions!$D$6,Assumptions!$F$6),(Assumptions!$F$6-Assumptions!$D$6)/3.29)*RANDBETWEEN(2,5)</f>
        <v>4387463.4761478966</v>
      </c>
      <c r="E805" s="12">
        <f ca="1">_xlfn.NORM.INV(RAND(),AVERAGE(Assumptions!$D$17,Assumptions!$F$17),(Assumptions!$F$17-Assumptions!$D$17)/3.29)*8</f>
        <v>896471.16124258691</v>
      </c>
      <c r="F805" s="15">
        <f ca="1">_xlfn.NORM.INV(RAND(),AVERAGE(Assumptions!$D$7,Assumptions!$F$7),(Assumptions!$F$7-Assumptions!$D$7)/3.29)*RANDBETWEEN(1,3)</f>
        <v>1712445.5863997252</v>
      </c>
      <c r="G805" s="3">
        <f ca="1">_xlfn.NORM.INV(RAND(),AVERAGE(Assumptions!$D$8,Assumptions!$F$8),(Assumptions!$F$8-Assumptions!$D$8)/3.29)*44</f>
        <v>1473613.76048478</v>
      </c>
      <c r="H805" s="6">
        <f ca="1">_xlfn.NORM.INV(RAND(),AVERAGE(Assumptions!$D$9,Assumptions!$F$9),(Assumptions!$F$9-Assumptions!$D$9)/3.29)*21</f>
        <v>3744704.2291192515</v>
      </c>
      <c r="I805" s="9">
        <f ca="1">_xlfn.NORM.INV(RAND(),AVERAGE(Assumptions!$D$10,Assumptions!$F$10),(Assumptions!$F$10-Assumptions!$D$10)/3.29)*21</f>
        <v>758796.95831793023</v>
      </c>
      <c r="J805" s="12">
        <f ca="1">NORMINV(RAND(),AVERAGE(Assumptions!$D$11,Assumptions!$F$11),(Assumptions!$F$11-Assumptions!$D$11)/3.29)*44</f>
        <v>3103653.4405057165</v>
      </c>
      <c r="K805" s="15">
        <f ca="1">_xlfn.NORM.INV(RAND(),AVERAGE(Assumptions!$D$12,Assumptions!$F$12),(Assumptions!$F$12-Assumptions!$D$12)/3.29)*44</f>
        <v>7359690.0522072362</v>
      </c>
      <c r="L805" s="3">
        <f ca="1">_xlfn.NORM.INV(RAND(),AVERAGE(Assumptions!$D$13,Assumptions!$F$13),(Assumptions!$F$13-Assumptions!$D$13)/3.29)*44</f>
        <v>24185669.081894405</v>
      </c>
      <c r="M805" s="6">
        <f ca="1">_xlfn.NORM.INV(RAND(),AVERAGE(Assumptions!$D$14,Assumptions!$F$14),(Assumptions!$F$14-Assumptions!$D$14)/3.29)*44</f>
        <v>4323643.2137777759</v>
      </c>
      <c r="N805" s="9">
        <f ca="1">_xlfn.NORM.INV(RAND(),AVERAGE(Assumptions!$D$16,Assumptions!$F$16),(Assumptions!$F$16-Assumptions!$D$16)/3.29)*44</f>
        <v>10411715.432212071</v>
      </c>
      <c r="O805" s="12">
        <f ca="1">_xlfn.NORM.INV(RAND(),AVERAGE(Assumptions!$D$15,Assumptions!$F$15),(Assumptions!$F$15-Assumptions!$D$15)/3.29)*44</f>
        <v>140687436.2569052</v>
      </c>
      <c r="P805" s="15">
        <f>Assumptions!$D$18</f>
        <v>14641750.345627395</v>
      </c>
      <c r="Q805" s="3">
        <f t="shared" ca="1" si="24"/>
        <v>75219752.022609547</v>
      </c>
      <c r="R805" s="6">
        <f t="shared" ca="1" si="25"/>
        <v>89861502.368236944</v>
      </c>
    </row>
    <row r="806" spans="1:18">
      <c r="A806" s="20">
        <v>805</v>
      </c>
      <c r="B806" s="3">
        <f ca="1">_xlfn.NORM.INV(RAND(),AVERAGE(Assumptions!$D$4,Assumptions!$F$4),(Assumptions!$F$4-Assumptions!$D$4)/3.29)*44</f>
        <v>1215117.1515325559</v>
      </c>
      <c r="C806" s="6">
        <f ca="1">_xlfn.NORM.INV(RAND(),AVERAGE(Assumptions!$D$5,Assumptions!$F$5),(Assumptions!$F$5-Assumptions!$D$5)/3.29)*44</f>
        <v>1986269.8344499995</v>
      </c>
      <c r="D806" s="9">
        <f ca="1">_xlfn.NORM.INV(RAND(),AVERAGE(Assumptions!$D$6,Assumptions!$F$6),(Assumptions!$F$6-Assumptions!$D$6)/3.29)*RANDBETWEEN(2,5)</f>
        <v>3131072.5687727346</v>
      </c>
      <c r="E806" s="12">
        <f ca="1">_xlfn.NORM.INV(RAND(),AVERAGE(Assumptions!$D$17,Assumptions!$F$17),(Assumptions!$F$17-Assumptions!$D$17)/3.29)*8</f>
        <v>1075777.4494488991</v>
      </c>
      <c r="F806" s="15">
        <f ca="1">_xlfn.NORM.INV(RAND(),AVERAGE(Assumptions!$D$7,Assumptions!$F$7),(Assumptions!$F$7-Assumptions!$D$7)/3.29)*RANDBETWEEN(1,3)</f>
        <v>3605719.1030872054</v>
      </c>
      <c r="G806" s="3">
        <f ca="1">_xlfn.NORM.INV(RAND(),AVERAGE(Assumptions!$D$8,Assumptions!$F$8),(Assumptions!$F$8-Assumptions!$D$8)/3.29)*44</f>
        <v>613069.47299570171</v>
      </c>
      <c r="H806" s="6">
        <f ca="1">_xlfn.NORM.INV(RAND(),AVERAGE(Assumptions!$D$9,Assumptions!$F$9),(Assumptions!$F$9-Assumptions!$D$9)/3.29)*21</f>
        <v>3872599.7808098146</v>
      </c>
      <c r="I806" s="9">
        <f ca="1">_xlfn.NORM.INV(RAND(),AVERAGE(Assumptions!$D$10,Assumptions!$F$10),(Assumptions!$F$10-Assumptions!$D$10)/3.29)*21</f>
        <v>869334.60275007959</v>
      </c>
      <c r="J806" s="12">
        <f ca="1">NORMINV(RAND(),AVERAGE(Assumptions!$D$11,Assumptions!$F$11),(Assumptions!$F$11-Assumptions!$D$11)/3.29)*44</f>
        <v>2769005.0233368226</v>
      </c>
      <c r="K806" s="15">
        <f ca="1">_xlfn.NORM.INV(RAND(),AVERAGE(Assumptions!$D$12,Assumptions!$F$12),(Assumptions!$F$12-Assumptions!$D$12)/3.29)*44</f>
        <v>8798730.262514364</v>
      </c>
      <c r="L806" s="3">
        <f ca="1">_xlfn.NORM.INV(RAND(),AVERAGE(Assumptions!$D$13,Assumptions!$F$13),(Assumptions!$F$13-Assumptions!$D$13)/3.29)*44</f>
        <v>18016505.319651451</v>
      </c>
      <c r="M806" s="6">
        <f ca="1">_xlfn.NORM.INV(RAND(),AVERAGE(Assumptions!$D$14,Assumptions!$F$14),(Assumptions!$F$14-Assumptions!$D$14)/3.29)*44</f>
        <v>4568348.0498566655</v>
      </c>
      <c r="N806" s="9">
        <f ca="1">_xlfn.NORM.INV(RAND(),AVERAGE(Assumptions!$D$16,Assumptions!$F$16),(Assumptions!$F$16-Assumptions!$D$16)/3.29)*44</f>
        <v>10326673.347853251</v>
      </c>
      <c r="O806" s="12">
        <f ca="1">_xlfn.NORM.INV(RAND(),AVERAGE(Assumptions!$D$15,Assumptions!$F$15),(Assumptions!$F$15-Assumptions!$D$15)/3.29)*44</f>
        <v>175367048.7747688</v>
      </c>
      <c r="P806" s="15">
        <f>Assumptions!$D$18</f>
        <v>14641750.345627395</v>
      </c>
      <c r="Q806" s="3">
        <f t="shared" ca="1" si="24"/>
        <v>114518826.80770925</v>
      </c>
      <c r="R806" s="6">
        <f t="shared" ca="1" si="25"/>
        <v>129160577.15333664</v>
      </c>
    </row>
    <row r="807" spans="1:18">
      <c r="A807" s="20">
        <v>806</v>
      </c>
      <c r="B807" s="3">
        <f ca="1">_xlfn.NORM.INV(RAND(),AVERAGE(Assumptions!$D$4,Assumptions!$F$4),(Assumptions!$F$4-Assumptions!$D$4)/3.29)*44</f>
        <v>1155387.3166888892</v>
      </c>
      <c r="C807" s="6">
        <f ca="1">_xlfn.NORM.INV(RAND(),AVERAGE(Assumptions!$D$5,Assumptions!$F$5),(Assumptions!$F$5-Assumptions!$D$5)/3.29)*44</f>
        <v>1739544.4527075165</v>
      </c>
      <c r="D807" s="9">
        <f ca="1">_xlfn.NORM.INV(RAND(),AVERAGE(Assumptions!$D$6,Assumptions!$F$6),(Assumptions!$F$6-Assumptions!$D$6)/3.29)*RANDBETWEEN(2,5)</f>
        <v>9553218.5009275898</v>
      </c>
      <c r="E807" s="12">
        <f ca="1">_xlfn.NORM.INV(RAND(),AVERAGE(Assumptions!$D$17,Assumptions!$F$17),(Assumptions!$F$17-Assumptions!$D$17)/3.29)*8</f>
        <v>955914.46454462234</v>
      </c>
      <c r="F807" s="15">
        <f ca="1">_xlfn.NORM.INV(RAND(),AVERAGE(Assumptions!$D$7,Assumptions!$F$7),(Assumptions!$F$7-Assumptions!$D$7)/3.29)*RANDBETWEEN(1,3)</f>
        <v>7185873.9502225919</v>
      </c>
      <c r="G807" s="3">
        <f ca="1">_xlfn.NORM.INV(RAND(),AVERAGE(Assumptions!$D$8,Assumptions!$F$8),(Assumptions!$F$8-Assumptions!$D$8)/3.29)*44</f>
        <v>1338534.3542722273</v>
      </c>
      <c r="H807" s="6">
        <f ca="1">_xlfn.NORM.INV(RAND(),AVERAGE(Assumptions!$D$9,Assumptions!$F$9),(Assumptions!$F$9-Assumptions!$D$9)/3.29)*21</f>
        <v>4013099.2054099515</v>
      </c>
      <c r="I807" s="9">
        <f ca="1">_xlfn.NORM.INV(RAND(),AVERAGE(Assumptions!$D$10,Assumptions!$F$10),(Assumptions!$F$10-Assumptions!$D$10)/3.29)*21</f>
        <v>848922.727134182</v>
      </c>
      <c r="J807" s="12">
        <f ca="1">NORMINV(RAND(),AVERAGE(Assumptions!$D$11,Assumptions!$F$11),(Assumptions!$F$11-Assumptions!$D$11)/3.29)*44</f>
        <v>2615665.294407337</v>
      </c>
      <c r="K807" s="15">
        <f ca="1">_xlfn.NORM.INV(RAND(),AVERAGE(Assumptions!$D$12,Assumptions!$F$12),(Assumptions!$F$12-Assumptions!$D$12)/3.29)*44</f>
        <v>9361209.4341303706</v>
      </c>
      <c r="L807" s="3">
        <f ca="1">_xlfn.NORM.INV(RAND(),AVERAGE(Assumptions!$D$13,Assumptions!$F$13),(Assumptions!$F$13-Assumptions!$D$13)/3.29)*44</f>
        <v>19094692.885644123</v>
      </c>
      <c r="M807" s="6">
        <f ca="1">_xlfn.NORM.INV(RAND(),AVERAGE(Assumptions!$D$14,Assumptions!$F$14),(Assumptions!$F$14-Assumptions!$D$14)/3.29)*44</f>
        <v>5952998.295027459</v>
      </c>
      <c r="N807" s="9">
        <f ca="1">_xlfn.NORM.INV(RAND(),AVERAGE(Assumptions!$D$16,Assumptions!$F$16),(Assumptions!$F$16-Assumptions!$D$16)/3.29)*44</f>
        <v>16286914.735536031</v>
      </c>
      <c r="O807" s="12">
        <f ca="1">_xlfn.NORM.INV(RAND(),AVERAGE(Assumptions!$D$15,Assumptions!$F$15),(Assumptions!$F$15-Assumptions!$D$15)/3.29)*44</f>
        <v>92703682.863966227</v>
      </c>
      <c r="P807" s="15">
        <f>Assumptions!$D$18</f>
        <v>14641750.345627395</v>
      </c>
      <c r="Q807" s="3">
        <f t="shared" ca="1" si="24"/>
        <v>12601707.247313336</v>
      </c>
      <c r="R807" s="6">
        <f t="shared" ca="1" si="25"/>
        <v>27243457.592940733</v>
      </c>
    </row>
    <row r="808" spans="1:18">
      <c r="A808" s="20">
        <v>807</v>
      </c>
      <c r="B808" s="3">
        <f ca="1">_xlfn.NORM.INV(RAND(),AVERAGE(Assumptions!$D$4,Assumptions!$F$4),(Assumptions!$F$4-Assumptions!$D$4)/3.29)*44</f>
        <v>1264837.0865146753</v>
      </c>
      <c r="C808" s="6">
        <f ca="1">_xlfn.NORM.INV(RAND(),AVERAGE(Assumptions!$D$5,Assumptions!$F$5),(Assumptions!$F$5-Assumptions!$D$5)/3.29)*44</f>
        <v>1922619.6666342474</v>
      </c>
      <c r="D808" s="9">
        <f ca="1">_xlfn.NORM.INV(RAND(),AVERAGE(Assumptions!$D$6,Assumptions!$F$6),(Assumptions!$F$6-Assumptions!$D$6)/3.29)*RANDBETWEEN(2,5)</f>
        <v>4075777.2701162277</v>
      </c>
      <c r="E808" s="12">
        <f ca="1">_xlfn.NORM.INV(RAND(),AVERAGE(Assumptions!$D$17,Assumptions!$F$17),(Assumptions!$F$17-Assumptions!$D$17)/3.29)*8</f>
        <v>922608.82754076214</v>
      </c>
      <c r="F808" s="15">
        <f ca="1">_xlfn.NORM.INV(RAND(),AVERAGE(Assumptions!$D$7,Assumptions!$F$7),(Assumptions!$F$7-Assumptions!$D$7)/3.29)*RANDBETWEEN(1,3)</f>
        <v>9796083.4710741565</v>
      </c>
      <c r="G808" s="3">
        <f ca="1">_xlfn.NORM.INV(RAND(),AVERAGE(Assumptions!$D$8,Assumptions!$F$8),(Assumptions!$F$8-Assumptions!$D$8)/3.29)*44</f>
        <v>982153.73221428262</v>
      </c>
      <c r="H808" s="6">
        <f ca="1">_xlfn.NORM.INV(RAND(),AVERAGE(Assumptions!$D$9,Assumptions!$F$9),(Assumptions!$F$9-Assumptions!$D$9)/3.29)*21</f>
        <v>3456286.5753876292</v>
      </c>
      <c r="I808" s="9">
        <f ca="1">_xlfn.NORM.INV(RAND(),AVERAGE(Assumptions!$D$10,Assumptions!$F$10),(Assumptions!$F$10-Assumptions!$D$10)/3.29)*21</f>
        <v>761195.21224465745</v>
      </c>
      <c r="J808" s="12">
        <f ca="1">NORMINV(RAND(),AVERAGE(Assumptions!$D$11,Assumptions!$F$11),(Assumptions!$F$11-Assumptions!$D$11)/3.29)*44</f>
        <v>1810522.6737456729</v>
      </c>
      <c r="K808" s="15">
        <f ca="1">_xlfn.NORM.INV(RAND(),AVERAGE(Assumptions!$D$12,Assumptions!$F$12),(Assumptions!$F$12-Assumptions!$D$12)/3.29)*44</f>
        <v>9278924.1825507935</v>
      </c>
      <c r="L808" s="3">
        <f ca="1">_xlfn.NORM.INV(RAND(),AVERAGE(Assumptions!$D$13,Assumptions!$F$13),(Assumptions!$F$13-Assumptions!$D$13)/3.29)*44</f>
        <v>16169738.004014591</v>
      </c>
      <c r="M808" s="6">
        <f ca="1">_xlfn.NORM.INV(RAND(),AVERAGE(Assumptions!$D$14,Assumptions!$F$14),(Assumptions!$F$14-Assumptions!$D$14)/3.29)*44</f>
        <v>7009799.948302228</v>
      </c>
      <c r="N808" s="9">
        <f ca="1">_xlfn.NORM.INV(RAND(),AVERAGE(Assumptions!$D$16,Assumptions!$F$16),(Assumptions!$F$16-Assumptions!$D$16)/3.29)*44</f>
        <v>4338493.0654645814</v>
      </c>
      <c r="O808" s="12">
        <f ca="1">_xlfn.NORM.INV(RAND(),AVERAGE(Assumptions!$D$15,Assumptions!$F$15),(Assumptions!$F$15-Assumptions!$D$15)/3.29)*44</f>
        <v>-663572.14688011818</v>
      </c>
      <c r="P808" s="15">
        <f>Assumptions!$D$18</f>
        <v>14641750.345627395</v>
      </c>
      <c r="Q808" s="3">
        <f t="shared" ca="1" si="24"/>
        <v>-62452611.862684622</v>
      </c>
      <c r="R808" s="6">
        <f t="shared" ca="1" si="25"/>
        <v>-47810861.517057225</v>
      </c>
    </row>
    <row r="809" spans="1:18">
      <c r="A809" s="20">
        <v>808</v>
      </c>
      <c r="B809" s="3">
        <f ca="1">_xlfn.NORM.INV(RAND(),AVERAGE(Assumptions!$D$4,Assumptions!$F$4),(Assumptions!$F$4-Assumptions!$D$4)/3.29)*44</f>
        <v>1276928.758213297</v>
      </c>
      <c r="C809" s="6">
        <f ca="1">_xlfn.NORM.INV(RAND(),AVERAGE(Assumptions!$D$5,Assumptions!$F$5),(Assumptions!$F$5-Assumptions!$D$5)/3.29)*44</f>
        <v>1663117.262096673</v>
      </c>
      <c r="D809" s="9">
        <f ca="1">_xlfn.NORM.INV(RAND(),AVERAGE(Assumptions!$D$6,Assumptions!$F$6),(Assumptions!$F$6-Assumptions!$D$6)/3.29)*RANDBETWEEN(2,5)</f>
        <v>2954139.9992118431</v>
      </c>
      <c r="E809" s="12">
        <f ca="1">_xlfn.NORM.INV(RAND(),AVERAGE(Assumptions!$D$17,Assumptions!$F$17),(Assumptions!$F$17-Assumptions!$D$17)/3.29)*8</f>
        <v>1070797.9018608539</v>
      </c>
      <c r="F809" s="15">
        <f ca="1">_xlfn.NORM.INV(RAND(),AVERAGE(Assumptions!$D$7,Assumptions!$F$7),(Assumptions!$F$7-Assumptions!$D$7)/3.29)*RANDBETWEEN(1,3)</f>
        <v>5240164.8606749205</v>
      </c>
      <c r="G809" s="3">
        <f ca="1">_xlfn.NORM.INV(RAND(),AVERAGE(Assumptions!$D$8,Assumptions!$F$8),(Assumptions!$F$8-Assumptions!$D$8)/3.29)*44</f>
        <v>1007744.0989971254</v>
      </c>
      <c r="H809" s="6">
        <f ca="1">_xlfn.NORM.INV(RAND(),AVERAGE(Assumptions!$D$9,Assumptions!$F$9),(Assumptions!$F$9-Assumptions!$D$9)/3.29)*21</f>
        <v>3909535.0373782292</v>
      </c>
      <c r="I809" s="9">
        <f ca="1">_xlfn.NORM.INV(RAND(),AVERAGE(Assumptions!$D$10,Assumptions!$F$10),(Assumptions!$F$10-Assumptions!$D$10)/3.29)*21</f>
        <v>866064.42763774516</v>
      </c>
      <c r="J809" s="12">
        <f ca="1">NORMINV(RAND(),AVERAGE(Assumptions!$D$11,Assumptions!$F$11),(Assumptions!$F$11-Assumptions!$D$11)/3.29)*44</f>
        <v>5492441.5937192049</v>
      </c>
      <c r="K809" s="15">
        <f ca="1">_xlfn.NORM.INV(RAND(),AVERAGE(Assumptions!$D$12,Assumptions!$F$12),(Assumptions!$F$12-Assumptions!$D$12)/3.29)*44</f>
        <v>11421044.544434054</v>
      </c>
      <c r="L809" s="3">
        <f ca="1">_xlfn.NORM.INV(RAND(),AVERAGE(Assumptions!$D$13,Assumptions!$F$13),(Assumptions!$F$13-Assumptions!$D$13)/3.29)*44</f>
        <v>19713219.868423313</v>
      </c>
      <c r="M809" s="6">
        <f ca="1">_xlfn.NORM.INV(RAND(),AVERAGE(Assumptions!$D$14,Assumptions!$F$14),(Assumptions!$F$14-Assumptions!$D$14)/3.29)*44</f>
        <v>4932695.7295623031</v>
      </c>
      <c r="N809" s="9">
        <f ca="1">_xlfn.NORM.INV(RAND(),AVERAGE(Assumptions!$D$16,Assumptions!$F$16),(Assumptions!$F$16-Assumptions!$D$16)/3.29)*44</f>
        <v>10408643.941586124</v>
      </c>
      <c r="O809" s="12">
        <f ca="1">_xlfn.NORM.INV(RAND(),AVERAGE(Assumptions!$D$15,Assumptions!$F$15),(Assumptions!$F$15-Assumptions!$D$15)/3.29)*44</f>
        <v>147775190.43590906</v>
      </c>
      <c r="P809" s="15">
        <f>Assumptions!$D$18</f>
        <v>14641750.345627395</v>
      </c>
      <c r="Q809" s="3">
        <f t="shared" ca="1" si="24"/>
        <v>77818652.412113383</v>
      </c>
      <c r="R809" s="6">
        <f t="shared" ca="1" si="25"/>
        <v>92460402.757740781</v>
      </c>
    </row>
    <row r="810" spans="1:18">
      <c r="A810" s="20">
        <v>809</v>
      </c>
      <c r="B810" s="3">
        <f ca="1">_xlfn.NORM.INV(RAND(),AVERAGE(Assumptions!$D$4,Assumptions!$F$4),(Assumptions!$F$4-Assumptions!$D$4)/3.29)*44</f>
        <v>1158729.2731463537</v>
      </c>
      <c r="C810" s="6">
        <f ca="1">_xlfn.NORM.INV(RAND(),AVERAGE(Assumptions!$D$5,Assumptions!$F$5),(Assumptions!$F$5-Assumptions!$D$5)/3.29)*44</f>
        <v>2032008.6506862591</v>
      </c>
      <c r="D810" s="9">
        <f ca="1">_xlfn.NORM.INV(RAND(),AVERAGE(Assumptions!$D$6,Assumptions!$F$6),(Assumptions!$F$6-Assumptions!$D$6)/3.29)*RANDBETWEEN(2,5)</f>
        <v>3733126.4630182935</v>
      </c>
      <c r="E810" s="12">
        <f ca="1">_xlfn.NORM.INV(RAND(),AVERAGE(Assumptions!$D$17,Assumptions!$F$17),(Assumptions!$F$17-Assumptions!$D$17)/3.29)*8</f>
        <v>917721.9525292539</v>
      </c>
      <c r="F810" s="15">
        <f ca="1">_xlfn.NORM.INV(RAND(),AVERAGE(Assumptions!$D$7,Assumptions!$F$7),(Assumptions!$F$7-Assumptions!$D$7)/3.29)*RANDBETWEEN(1,3)</f>
        <v>5392792.4301894531</v>
      </c>
      <c r="G810" s="3">
        <f ca="1">_xlfn.NORM.INV(RAND(),AVERAGE(Assumptions!$D$8,Assumptions!$F$8),(Assumptions!$F$8-Assumptions!$D$8)/3.29)*44</f>
        <v>1243612.5358835955</v>
      </c>
      <c r="H810" s="6">
        <f ca="1">_xlfn.NORM.INV(RAND(),AVERAGE(Assumptions!$D$9,Assumptions!$F$9),(Assumptions!$F$9-Assumptions!$D$9)/3.29)*21</f>
        <v>5015541.8707114588</v>
      </c>
      <c r="I810" s="9">
        <f ca="1">_xlfn.NORM.INV(RAND(),AVERAGE(Assumptions!$D$10,Assumptions!$F$10),(Assumptions!$F$10-Assumptions!$D$10)/3.29)*21</f>
        <v>1036864.2300406244</v>
      </c>
      <c r="J810" s="12">
        <f ca="1">NORMINV(RAND(),AVERAGE(Assumptions!$D$11,Assumptions!$F$11),(Assumptions!$F$11-Assumptions!$D$11)/3.29)*44</f>
        <v>2949551.4804039369</v>
      </c>
      <c r="K810" s="15">
        <f ca="1">_xlfn.NORM.INV(RAND(),AVERAGE(Assumptions!$D$12,Assumptions!$F$12),(Assumptions!$F$12-Assumptions!$D$12)/3.29)*44</f>
        <v>8206360.4701660173</v>
      </c>
      <c r="L810" s="3">
        <f ca="1">_xlfn.NORM.INV(RAND(),AVERAGE(Assumptions!$D$13,Assumptions!$F$13),(Assumptions!$F$13-Assumptions!$D$13)/3.29)*44</f>
        <v>18644311.741266623</v>
      </c>
      <c r="M810" s="6">
        <f ca="1">_xlfn.NORM.INV(RAND(),AVERAGE(Assumptions!$D$14,Assumptions!$F$14),(Assumptions!$F$14-Assumptions!$D$14)/3.29)*44</f>
        <v>7012574.362006316</v>
      </c>
      <c r="N810" s="9">
        <f ca="1">_xlfn.NORM.INV(RAND(),AVERAGE(Assumptions!$D$16,Assumptions!$F$16),(Assumptions!$F$16-Assumptions!$D$16)/3.29)*44</f>
        <v>13600033.464128226</v>
      </c>
      <c r="O810" s="12">
        <f ca="1">_xlfn.NORM.INV(RAND(),AVERAGE(Assumptions!$D$15,Assumptions!$F$15),(Assumptions!$F$15-Assumptions!$D$15)/3.29)*44</f>
        <v>78522670.958678931</v>
      </c>
      <c r="P810" s="15">
        <f>Assumptions!$D$18</f>
        <v>14641750.345627395</v>
      </c>
      <c r="Q810" s="3">
        <f t="shared" ca="1" si="24"/>
        <v>7579442.0345025361</v>
      </c>
      <c r="R810" s="6">
        <f t="shared" ca="1" si="25"/>
        <v>22221192.380129933</v>
      </c>
    </row>
    <row r="811" spans="1:18">
      <c r="A811" s="20">
        <v>810</v>
      </c>
      <c r="B811" s="3">
        <f ca="1">_xlfn.NORM.INV(RAND(),AVERAGE(Assumptions!$D$4,Assumptions!$F$4),(Assumptions!$F$4-Assumptions!$D$4)/3.29)*44</f>
        <v>1255747.6280267122</v>
      </c>
      <c r="C811" s="6">
        <f ca="1">_xlfn.NORM.INV(RAND(),AVERAGE(Assumptions!$D$5,Assumptions!$F$5),(Assumptions!$F$5-Assumptions!$D$5)/3.29)*44</f>
        <v>2106590.9328618473</v>
      </c>
      <c r="D811" s="9">
        <f ca="1">_xlfn.NORM.INV(RAND(),AVERAGE(Assumptions!$D$6,Assumptions!$F$6),(Assumptions!$F$6-Assumptions!$D$6)/3.29)*RANDBETWEEN(2,5)</f>
        <v>8434421.7910167538</v>
      </c>
      <c r="E811" s="12">
        <f ca="1">_xlfn.NORM.INV(RAND(),AVERAGE(Assumptions!$D$17,Assumptions!$F$17),(Assumptions!$F$17-Assumptions!$D$17)/3.29)*8</f>
        <v>1007475.5309358164</v>
      </c>
      <c r="F811" s="15">
        <f ca="1">_xlfn.NORM.INV(RAND(),AVERAGE(Assumptions!$D$7,Assumptions!$F$7),(Assumptions!$F$7-Assumptions!$D$7)/3.29)*RANDBETWEEN(1,3)</f>
        <v>9081866.6996836811</v>
      </c>
      <c r="G811" s="3">
        <f ca="1">_xlfn.NORM.INV(RAND(),AVERAGE(Assumptions!$D$8,Assumptions!$F$8),(Assumptions!$F$8-Assumptions!$D$8)/3.29)*44</f>
        <v>1650439.6325838102</v>
      </c>
      <c r="H811" s="6">
        <f ca="1">_xlfn.NORM.INV(RAND(),AVERAGE(Assumptions!$D$9,Assumptions!$F$9),(Assumptions!$F$9-Assumptions!$D$9)/3.29)*21</f>
        <v>3029042.9849622087</v>
      </c>
      <c r="I811" s="9">
        <f ca="1">_xlfn.NORM.INV(RAND(),AVERAGE(Assumptions!$D$10,Assumptions!$F$10),(Assumptions!$F$10-Assumptions!$D$10)/3.29)*21</f>
        <v>643750.26082570851</v>
      </c>
      <c r="J811" s="12">
        <f ca="1">NORMINV(RAND(),AVERAGE(Assumptions!$D$11,Assumptions!$F$11),(Assumptions!$F$11-Assumptions!$D$11)/3.29)*44</f>
        <v>3604885.4511614423</v>
      </c>
      <c r="K811" s="15">
        <f ca="1">_xlfn.NORM.INV(RAND(),AVERAGE(Assumptions!$D$12,Assumptions!$F$12),(Assumptions!$F$12-Assumptions!$D$12)/3.29)*44</f>
        <v>8967585.5437175445</v>
      </c>
      <c r="L811" s="3">
        <f ca="1">_xlfn.NORM.INV(RAND(),AVERAGE(Assumptions!$D$13,Assumptions!$F$13),(Assumptions!$F$13-Assumptions!$D$13)/3.29)*44</f>
        <v>16338285.675092805</v>
      </c>
      <c r="M811" s="6">
        <f ca="1">_xlfn.NORM.INV(RAND(),AVERAGE(Assumptions!$D$14,Assumptions!$F$14),(Assumptions!$F$14-Assumptions!$D$14)/3.29)*44</f>
        <v>6441349.583659648</v>
      </c>
      <c r="N811" s="9">
        <f ca="1">_xlfn.NORM.INV(RAND(),AVERAGE(Assumptions!$D$16,Assumptions!$F$16),(Assumptions!$F$16-Assumptions!$D$16)/3.29)*44</f>
        <v>13198418.374082867</v>
      </c>
      <c r="O811" s="12">
        <f ca="1">_xlfn.NORM.INV(RAND(),AVERAGE(Assumptions!$D$15,Assumptions!$F$15),(Assumptions!$F$15-Assumptions!$D$15)/3.29)*44</f>
        <v>-9466515.0192398224</v>
      </c>
      <c r="P811" s="15">
        <f>Assumptions!$D$18</f>
        <v>14641750.345627395</v>
      </c>
      <c r="Q811" s="3">
        <f t="shared" ca="1" si="24"/>
        <v>-85226375.107850656</v>
      </c>
      <c r="R811" s="6">
        <f t="shared" ca="1" si="25"/>
        <v>-70584624.762223259</v>
      </c>
    </row>
    <row r="812" spans="1:18">
      <c r="A812" s="20">
        <v>811</v>
      </c>
      <c r="B812" s="3">
        <f ca="1">_xlfn.NORM.INV(RAND(),AVERAGE(Assumptions!$D$4,Assumptions!$F$4),(Assumptions!$F$4-Assumptions!$D$4)/3.29)*44</f>
        <v>1281862.7169945987</v>
      </c>
      <c r="C812" s="6">
        <f ca="1">_xlfn.NORM.INV(RAND(),AVERAGE(Assumptions!$D$5,Assumptions!$F$5),(Assumptions!$F$5-Assumptions!$D$5)/3.29)*44</f>
        <v>1984639.2934265155</v>
      </c>
      <c r="D812" s="9">
        <f ca="1">_xlfn.NORM.INV(RAND(),AVERAGE(Assumptions!$D$6,Assumptions!$F$6),(Assumptions!$F$6-Assumptions!$D$6)/3.29)*RANDBETWEEN(2,5)</f>
        <v>4874781.5692975391</v>
      </c>
      <c r="E812" s="12">
        <f ca="1">_xlfn.NORM.INV(RAND(),AVERAGE(Assumptions!$D$17,Assumptions!$F$17),(Assumptions!$F$17-Assumptions!$D$17)/3.29)*8</f>
        <v>942601.16313922731</v>
      </c>
      <c r="F812" s="15">
        <f ca="1">_xlfn.NORM.INV(RAND(),AVERAGE(Assumptions!$D$7,Assumptions!$F$7),(Assumptions!$F$7-Assumptions!$D$7)/3.29)*RANDBETWEEN(1,3)</f>
        <v>2641855.3209717665</v>
      </c>
      <c r="G812" s="3">
        <f ca="1">_xlfn.NORM.INV(RAND(),AVERAGE(Assumptions!$D$8,Assumptions!$F$8),(Assumptions!$F$8-Assumptions!$D$8)/3.29)*44</f>
        <v>1220780.7918313239</v>
      </c>
      <c r="H812" s="6">
        <f ca="1">_xlfn.NORM.INV(RAND(),AVERAGE(Assumptions!$D$9,Assumptions!$F$9),(Assumptions!$F$9-Assumptions!$D$9)/3.29)*21</f>
        <v>5025290.1029995019</v>
      </c>
      <c r="I812" s="9">
        <f ca="1">_xlfn.NORM.INV(RAND(),AVERAGE(Assumptions!$D$10,Assumptions!$F$10),(Assumptions!$F$10-Assumptions!$D$10)/3.29)*21</f>
        <v>734778.95451407018</v>
      </c>
      <c r="J812" s="12">
        <f ca="1">NORMINV(RAND(),AVERAGE(Assumptions!$D$11,Assumptions!$F$11),(Assumptions!$F$11-Assumptions!$D$11)/3.29)*44</f>
        <v>4346860.1862644339</v>
      </c>
      <c r="K812" s="15">
        <f ca="1">_xlfn.NORM.INV(RAND(),AVERAGE(Assumptions!$D$12,Assumptions!$F$12),(Assumptions!$F$12-Assumptions!$D$12)/3.29)*44</f>
        <v>8954683.6412874106</v>
      </c>
      <c r="L812" s="3">
        <f ca="1">_xlfn.NORM.INV(RAND(),AVERAGE(Assumptions!$D$13,Assumptions!$F$13),(Assumptions!$F$13-Assumptions!$D$13)/3.29)*44</f>
        <v>17173444.234094352</v>
      </c>
      <c r="M812" s="6">
        <f ca="1">_xlfn.NORM.INV(RAND(),AVERAGE(Assumptions!$D$14,Assumptions!$F$14),(Assumptions!$F$14-Assumptions!$D$14)/3.29)*44</f>
        <v>5640409.1637485446</v>
      </c>
      <c r="N812" s="9">
        <f ca="1">_xlfn.NORM.INV(RAND(),AVERAGE(Assumptions!$D$16,Assumptions!$F$16),(Assumptions!$F$16-Assumptions!$D$16)/3.29)*44</f>
        <v>9112747.746987937</v>
      </c>
      <c r="O812" s="12">
        <f ca="1">_xlfn.NORM.INV(RAND(),AVERAGE(Assumptions!$D$15,Assumptions!$F$15),(Assumptions!$F$15-Assumptions!$D$15)/3.29)*44</f>
        <v>100675242.34478815</v>
      </c>
      <c r="P812" s="15">
        <f>Assumptions!$D$18</f>
        <v>14641750.345627395</v>
      </c>
      <c r="Q812" s="3">
        <f t="shared" ca="1" si="24"/>
        <v>36740507.45923093</v>
      </c>
      <c r="R812" s="6">
        <f t="shared" ca="1" si="25"/>
        <v>51382257.804858327</v>
      </c>
    </row>
    <row r="813" spans="1:18">
      <c r="A813" s="20">
        <v>812</v>
      </c>
      <c r="B813" s="3">
        <f ca="1">_xlfn.NORM.INV(RAND(),AVERAGE(Assumptions!$D$4,Assumptions!$F$4),(Assumptions!$F$4-Assumptions!$D$4)/3.29)*44</f>
        <v>1205712.38073567</v>
      </c>
      <c r="C813" s="6">
        <f ca="1">_xlfn.NORM.INV(RAND(),AVERAGE(Assumptions!$D$5,Assumptions!$F$5),(Assumptions!$F$5-Assumptions!$D$5)/3.29)*44</f>
        <v>1829518.9470882099</v>
      </c>
      <c r="D813" s="9">
        <f ca="1">_xlfn.NORM.INV(RAND(),AVERAGE(Assumptions!$D$6,Assumptions!$F$6),(Assumptions!$F$6-Assumptions!$D$6)/3.29)*RANDBETWEEN(2,5)</f>
        <v>2286869.4768317295</v>
      </c>
      <c r="E813" s="12">
        <f ca="1">_xlfn.NORM.INV(RAND(),AVERAGE(Assumptions!$D$17,Assumptions!$F$17),(Assumptions!$F$17-Assumptions!$D$17)/3.29)*8</f>
        <v>861750.80871175393</v>
      </c>
      <c r="F813" s="15">
        <f ca="1">_xlfn.NORM.INV(RAND(),AVERAGE(Assumptions!$D$7,Assumptions!$F$7),(Assumptions!$F$7-Assumptions!$D$7)/3.29)*RANDBETWEEN(1,3)</f>
        <v>7633218.3698432865</v>
      </c>
      <c r="G813" s="3">
        <f ca="1">_xlfn.NORM.INV(RAND(),AVERAGE(Assumptions!$D$8,Assumptions!$F$8),(Assumptions!$F$8-Assumptions!$D$8)/3.29)*44</f>
        <v>1401825.7031195706</v>
      </c>
      <c r="H813" s="6">
        <f ca="1">_xlfn.NORM.INV(RAND(),AVERAGE(Assumptions!$D$9,Assumptions!$F$9),(Assumptions!$F$9-Assumptions!$D$9)/3.29)*21</f>
        <v>4979898.2764884196</v>
      </c>
      <c r="I813" s="9">
        <f ca="1">_xlfn.NORM.INV(RAND(),AVERAGE(Assumptions!$D$10,Assumptions!$F$10),(Assumptions!$F$10-Assumptions!$D$10)/3.29)*21</f>
        <v>721049.39416227129</v>
      </c>
      <c r="J813" s="12">
        <f ca="1">NORMINV(RAND(),AVERAGE(Assumptions!$D$11,Assumptions!$F$11),(Assumptions!$F$11-Assumptions!$D$11)/3.29)*44</f>
        <v>3608940.0778478314</v>
      </c>
      <c r="K813" s="15">
        <f ca="1">_xlfn.NORM.INV(RAND(),AVERAGE(Assumptions!$D$12,Assumptions!$F$12),(Assumptions!$F$12-Assumptions!$D$12)/3.29)*44</f>
        <v>7419807.0232780864</v>
      </c>
      <c r="L813" s="3">
        <f ca="1">_xlfn.NORM.INV(RAND(),AVERAGE(Assumptions!$D$13,Assumptions!$F$13),(Assumptions!$F$13-Assumptions!$D$13)/3.29)*44</f>
        <v>14058696.675949853</v>
      </c>
      <c r="M813" s="6">
        <f ca="1">_xlfn.NORM.INV(RAND(),AVERAGE(Assumptions!$D$14,Assumptions!$F$14),(Assumptions!$F$14-Assumptions!$D$14)/3.29)*44</f>
        <v>6541855.909059898</v>
      </c>
      <c r="N813" s="9">
        <f ca="1">_xlfn.NORM.INV(RAND(),AVERAGE(Assumptions!$D$16,Assumptions!$F$16),(Assumptions!$F$16-Assumptions!$D$16)/3.29)*44</f>
        <v>-635496.46999607771</v>
      </c>
      <c r="O813" s="12">
        <f ca="1">_xlfn.NORM.INV(RAND(),AVERAGE(Assumptions!$D$15,Assumptions!$F$15),(Assumptions!$F$15-Assumptions!$D$15)/3.29)*44</f>
        <v>133900294.75853391</v>
      </c>
      <c r="P813" s="15">
        <f>Assumptions!$D$18</f>
        <v>14641750.345627395</v>
      </c>
      <c r="Q813" s="3">
        <f t="shared" ca="1" si="24"/>
        <v>81986648.18541342</v>
      </c>
      <c r="R813" s="6">
        <f t="shared" ca="1" si="25"/>
        <v>96628398.531040817</v>
      </c>
    </row>
    <row r="814" spans="1:18">
      <c r="A814" s="20">
        <v>813</v>
      </c>
      <c r="B814" s="3">
        <f ca="1">_xlfn.NORM.INV(RAND(),AVERAGE(Assumptions!$D$4,Assumptions!$F$4),(Assumptions!$F$4-Assumptions!$D$4)/3.29)*44</f>
        <v>1167081.6746152281</v>
      </c>
      <c r="C814" s="6">
        <f ca="1">_xlfn.NORM.INV(RAND(),AVERAGE(Assumptions!$D$5,Assumptions!$F$5),(Assumptions!$F$5-Assumptions!$D$5)/3.29)*44</f>
        <v>1465384.113481669</v>
      </c>
      <c r="D814" s="9">
        <f ca="1">_xlfn.NORM.INV(RAND(),AVERAGE(Assumptions!$D$6,Assumptions!$F$6),(Assumptions!$F$6-Assumptions!$D$6)/3.29)*RANDBETWEEN(2,5)</f>
        <v>3754806.8434982719</v>
      </c>
      <c r="E814" s="12">
        <f ca="1">_xlfn.NORM.INV(RAND(),AVERAGE(Assumptions!$D$17,Assumptions!$F$17),(Assumptions!$F$17-Assumptions!$D$17)/3.29)*8</f>
        <v>862855.64012364193</v>
      </c>
      <c r="F814" s="15">
        <f ca="1">_xlfn.NORM.INV(RAND(),AVERAGE(Assumptions!$D$7,Assumptions!$F$7),(Assumptions!$F$7-Assumptions!$D$7)/3.29)*RANDBETWEEN(1,3)</f>
        <v>5336243.9162811264</v>
      </c>
      <c r="G814" s="3">
        <f ca="1">_xlfn.NORM.INV(RAND(),AVERAGE(Assumptions!$D$8,Assumptions!$F$8),(Assumptions!$F$8-Assumptions!$D$8)/3.29)*44</f>
        <v>1184426.4392733772</v>
      </c>
      <c r="H814" s="6">
        <f ca="1">_xlfn.NORM.INV(RAND(),AVERAGE(Assumptions!$D$9,Assumptions!$F$9),(Assumptions!$F$9-Assumptions!$D$9)/3.29)*21</f>
        <v>3894956.9706087913</v>
      </c>
      <c r="I814" s="9">
        <f ca="1">_xlfn.NORM.INV(RAND(),AVERAGE(Assumptions!$D$10,Assumptions!$F$10),(Assumptions!$F$10-Assumptions!$D$10)/3.29)*21</f>
        <v>655669.98354018375</v>
      </c>
      <c r="J814" s="12">
        <f ca="1">NORMINV(RAND(),AVERAGE(Assumptions!$D$11,Assumptions!$F$11),(Assumptions!$F$11-Assumptions!$D$11)/3.29)*44</f>
        <v>4656696.9447167562</v>
      </c>
      <c r="K814" s="15">
        <f ca="1">_xlfn.NORM.INV(RAND(),AVERAGE(Assumptions!$D$12,Assumptions!$F$12),(Assumptions!$F$12-Assumptions!$D$12)/3.29)*44</f>
        <v>8768160.6080681402</v>
      </c>
      <c r="L814" s="3">
        <f ca="1">_xlfn.NORM.INV(RAND(),AVERAGE(Assumptions!$D$13,Assumptions!$F$13),(Assumptions!$F$13-Assumptions!$D$13)/3.29)*44</f>
        <v>13909007.803303257</v>
      </c>
      <c r="M814" s="6">
        <f ca="1">_xlfn.NORM.INV(RAND(),AVERAGE(Assumptions!$D$14,Assumptions!$F$14),(Assumptions!$F$14-Assumptions!$D$14)/3.29)*44</f>
        <v>7288361.8354496127</v>
      </c>
      <c r="N814" s="9">
        <f ca="1">_xlfn.NORM.INV(RAND(),AVERAGE(Assumptions!$D$16,Assumptions!$F$16),(Assumptions!$F$16-Assumptions!$D$16)/3.29)*44</f>
        <v>13157316.487642322</v>
      </c>
      <c r="O814" s="12">
        <f ca="1">_xlfn.NORM.INV(RAND(),AVERAGE(Assumptions!$D$15,Assumptions!$F$15),(Assumptions!$F$15-Assumptions!$D$15)/3.29)*44</f>
        <v>50522920.432027929</v>
      </c>
      <c r="P814" s="15">
        <f>Assumptions!$D$18</f>
        <v>14641750.345627395</v>
      </c>
      <c r="Q814" s="3">
        <f t="shared" ca="1" si="24"/>
        <v>-15578048.828574449</v>
      </c>
      <c r="R814" s="6">
        <f t="shared" ca="1" si="25"/>
        <v>-936298.48294705339</v>
      </c>
    </row>
    <row r="815" spans="1:18">
      <c r="A815" s="20">
        <v>814</v>
      </c>
      <c r="B815" s="3">
        <f ca="1">_xlfn.NORM.INV(RAND(),AVERAGE(Assumptions!$D$4,Assumptions!$F$4),(Assumptions!$F$4-Assumptions!$D$4)/3.29)*44</f>
        <v>1201607.8579528981</v>
      </c>
      <c r="C815" s="6">
        <f ca="1">_xlfn.NORM.INV(RAND(),AVERAGE(Assumptions!$D$5,Assumptions!$F$5),(Assumptions!$F$5-Assumptions!$D$5)/3.29)*44</f>
        <v>1907067.0023548519</v>
      </c>
      <c r="D815" s="9">
        <f ca="1">_xlfn.NORM.INV(RAND(),AVERAGE(Assumptions!$D$6,Assumptions!$F$6),(Assumptions!$F$6-Assumptions!$D$6)/3.29)*RANDBETWEEN(2,5)</f>
        <v>4715777.3157354407</v>
      </c>
      <c r="E815" s="12">
        <f ca="1">_xlfn.NORM.INV(RAND(),AVERAGE(Assumptions!$D$17,Assumptions!$F$17),(Assumptions!$F$17-Assumptions!$D$17)/3.29)*8</f>
        <v>991052.41658942343</v>
      </c>
      <c r="F815" s="15">
        <f ca="1">_xlfn.NORM.INV(RAND(),AVERAGE(Assumptions!$D$7,Assumptions!$F$7),(Assumptions!$F$7-Assumptions!$D$7)/3.29)*RANDBETWEEN(1,3)</f>
        <v>4929286.9235207876</v>
      </c>
      <c r="G815" s="3">
        <f ca="1">_xlfn.NORM.INV(RAND(),AVERAGE(Assumptions!$D$8,Assumptions!$F$8),(Assumptions!$F$8-Assumptions!$D$8)/3.29)*44</f>
        <v>1526817.4506087918</v>
      </c>
      <c r="H815" s="6">
        <f ca="1">_xlfn.NORM.INV(RAND(),AVERAGE(Assumptions!$D$9,Assumptions!$F$9),(Assumptions!$F$9-Assumptions!$D$9)/3.29)*21</f>
        <v>4350434.7816135762</v>
      </c>
      <c r="I815" s="9">
        <f ca="1">_xlfn.NORM.INV(RAND(),AVERAGE(Assumptions!$D$10,Assumptions!$F$10),(Assumptions!$F$10-Assumptions!$D$10)/3.29)*21</f>
        <v>912710.66922244069</v>
      </c>
      <c r="J815" s="12">
        <f ca="1">NORMINV(RAND(),AVERAGE(Assumptions!$D$11,Assumptions!$F$11),(Assumptions!$F$11-Assumptions!$D$11)/3.29)*44</f>
        <v>3652025.5229481603</v>
      </c>
      <c r="K815" s="15">
        <f ca="1">_xlfn.NORM.INV(RAND(),AVERAGE(Assumptions!$D$12,Assumptions!$F$12),(Assumptions!$F$12-Assumptions!$D$12)/3.29)*44</f>
        <v>11060391.868665976</v>
      </c>
      <c r="L815" s="3">
        <f ca="1">_xlfn.NORM.INV(RAND(),AVERAGE(Assumptions!$D$13,Assumptions!$F$13),(Assumptions!$F$13-Assumptions!$D$13)/3.29)*44</f>
        <v>23175657.530463934</v>
      </c>
      <c r="M815" s="6">
        <f ca="1">_xlfn.NORM.INV(RAND(),AVERAGE(Assumptions!$D$14,Assumptions!$F$14),(Assumptions!$F$14-Assumptions!$D$14)/3.29)*44</f>
        <v>5294071.6480276687</v>
      </c>
      <c r="N815" s="9">
        <f ca="1">_xlfn.NORM.INV(RAND(),AVERAGE(Assumptions!$D$16,Assumptions!$F$16),(Assumptions!$F$16-Assumptions!$D$16)/3.29)*44</f>
        <v>16021058.610012256</v>
      </c>
      <c r="O815" s="12">
        <f ca="1">_xlfn.NORM.INV(RAND(),AVERAGE(Assumptions!$D$15,Assumptions!$F$15),(Assumptions!$F$15-Assumptions!$D$15)/3.29)*44</f>
        <v>116300189.03582127</v>
      </c>
      <c r="P815" s="15">
        <f>Assumptions!$D$18</f>
        <v>14641750.345627395</v>
      </c>
      <c r="Q815" s="3">
        <f t="shared" ca="1" si="24"/>
        <v>36562229.438105077</v>
      </c>
      <c r="R815" s="6">
        <f t="shared" ca="1" si="25"/>
        <v>51203979.783732474</v>
      </c>
    </row>
    <row r="816" spans="1:18">
      <c r="A816" s="20">
        <v>815</v>
      </c>
      <c r="B816" s="3">
        <f ca="1">_xlfn.NORM.INV(RAND(),AVERAGE(Assumptions!$D$4,Assumptions!$F$4),(Assumptions!$F$4-Assumptions!$D$4)/3.29)*44</f>
        <v>1361152.4259555978</v>
      </c>
      <c r="C816" s="6">
        <f ca="1">_xlfn.NORM.INV(RAND(),AVERAGE(Assumptions!$D$5,Assumptions!$F$5),(Assumptions!$F$5-Assumptions!$D$5)/3.29)*44</f>
        <v>2206056.6184669007</v>
      </c>
      <c r="D816" s="9">
        <f ca="1">_xlfn.NORM.INV(RAND(),AVERAGE(Assumptions!$D$6,Assumptions!$F$6),(Assumptions!$F$6-Assumptions!$D$6)/3.29)*RANDBETWEEN(2,5)</f>
        <v>1590485.6856736694</v>
      </c>
      <c r="E816" s="12">
        <f ca="1">_xlfn.NORM.INV(RAND(),AVERAGE(Assumptions!$D$17,Assumptions!$F$17),(Assumptions!$F$17-Assumptions!$D$17)/3.29)*8</f>
        <v>942464.05537267739</v>
      </c>
      <c r="F816" s="15">
        <f ca="1">_xlfn.NORM.INV(RAND(),AVERAGE(Assumptions!$D$7,Assumptions!$F$7),(Assumptions!$F$7-Assumptions!$D$7)/3.29)*RANDBETWEEN(1,3)</f>
        <v>10814412.802294917</v>
      </c>
      <c r="G816" s="3">
        <f ca="1">_xlfn.NORM.INV(RAND(),AVERAGE(Assumptions!$D$8,Assumptions!$F$8),(Assumptions!$F$8-Assumptions!$D$8)/3.29)*44</f>
        <v>1054663.2087131427</v>
      </c>
      <c r="H816" s="6">
        <f ca="1">_xlfn.NORM.INV(RAND(),AVERAGE(Assumptions!$D$9,Assumptions!$F$9),(Assumptions!$F$9-Assumptions!$D$9)/3.29)*21</f>
        <v>3100166.6386708161</v>
      </c>
      <c r="I816" s="9">
        <f ca="1">_xlfn.NORM.INV(RAND(),AVERAGE(Assumptions!$D$10,Assumptions!$F$10),(Assumptions!$F$10-Assumptions!$D$10)/3.29)*21</f>
        <v>489139.98208503367</v>
      </c>
      <c r="J816" s="12">
        <f ca="1">NORMINV(RAND(),AVERAGE(Assumptions!$D$11,Assumptions!$F$11),(Assumptions!$F$11-Assumptions!$D$11)/3.29)*44</f>
        <v>1419113.2966233985</v>
      </c>
      <c r="K816" s="15">
        <f ca="1">_xlfn.NORM.INV(RAND(),AVERAGE(Assumptions!$D$12,Assumptions!$F$12),(Assumptions!$F$12-Assumptions!$D$12)/3.29)*44</f>
        <v>8771399.1577128805</v>
      </c>
      <c r="L816" s="3">
        <f ca="1">_xlfn.NORM.INV(RAND(),AVERAGE(Assumptions!$D$13,Assumptions!$F$13),(Assumptions!$F$13-Assumptions!$D$13)/3.29)*44</f>
        <v>5887877.5224050321</v>
      </c>
      <c r="M816" s="6">
        <f ca="1">_xlfn.NORM.INV(RAND(),AVERAGE(Assumptions!$D$14,Assumptions!$F$14),(Assumptions!$F$14-Assumptions!$D$14)/3.29)*44</f>
        <v>4024936.9581798753</v>
      </c>
      <c r="N816" s="9">
        <f ca="1">_xlfn.NORM.INV(RAND(),AVERAGE(Assumptions!$D$16,Assumptions!$F$16),(Assumptions!$F$16-Assumptions!$D$16)/3.29)*44</f>
        <v>9655003.8748639226</v>
      </c>
      <c r="O816" s="12">
        <f ca="1">_xlfn.NORM.INV(RAND(),AVERAGE(Assumptions!$D$15,Assumptions!$F$15),(Assumptions!$F$15-Assumptions!$D$15)/3.29)*44</f>
        <v>69519986.441835403</v>
      </c>
      <c r="P816" s="15">
        <f>Assumptions!$D$18</f>
        <v>14641750.345627395</v>
      </c>
      <c r="Q816" s="3">
        <f t="shared" ca="1" si="24"/>
        <v>18203114.214817531</v>
      </c>
      <c r="R816" s="6">
        <f t="shared" ca="1" si="25"/>
        <v>32844864.560444929</v>
      </c>
    </row>
    <row r="817" spans="1:18">
      <c r="A817" s="20">
        <v>816</v>
      </c>
      <c r="B817" s="3">
        <f ca="1">_xlfn.NORM.INV(RAND(),AVERAGE(Assumptions!$D$4,Assumptions!$F$4),(Assumptions!$F$4-Assumptions!$D$4)/3.29)*44</f>
        <v>1181612.3087387928</v>
      </c>
      <c r="C817" s="6">
        <f ca="1">_xlfn.NORM.INV(RAND(),AVERAGE(Assumptions!$D$5,Assumptions!$F$5),(Assumptions!$F$5-Assumptions!$D$5)/3.29)*44</f>
        <v>1784793.6160706042</v>
      </c>
      <c r="D817" s="9">
        <f ca="1">_xlfn.NORM.INV(RAND(),AVERAGE(Assumptions!$D$6,Assumptions!$F$6),(Assumptions!$F$6-Assumptions!$D$6)/3.29)*RANDBETWEEN(2,5)</f>
        <v>6394927.62001481</v>
      </c>
      <c r="E817" s="12">
        <f ca="1">_xlfn.NORM.INV(RAND(),AVERAGE(Assumptions!$D$17,Assumptions!$F$17),(Assumptions!$F$17-Assumptions!$D$17)/3.29)*8</f>
        <v>1167047.5771306998</v>
      </c>
      <c r="F817" s="15">
        <f ca="1">_xlfn.NORM.INV(RAND(),AVERAGE(Assumptions!$D$7,Assumptions!$F$7),(Assumptions!$F$7-Assumptions!$D$7)/3.29)*RANDBETWEEN(1,3)</f>
        <v>9039230.9810587019</v>
      </c>
      <c r="G817" s="3">
        <f ca="1">_xlfn.NORM.INV(RAND(),AVERAGE(Assumptions!$D$8,Assumptions!$F$8),(Assumptions!$F$8-Assumptions!$D$8)/3.29)*44</f>
        <v>1263073.6649619422</v>
      </c>
      <c r="H817" s="6">
        <f ca="1">_xlfn.NORM.INV(RAND(),AVERAGE(Assumptions!$D$9,Assumptions!$F$9),(Assumptions!$F$9-Assumptions!$D$9)/3.29)*21</f>
        <v>4686166.4686213071</v>
      </c>
      <c r="I817" s="9">
        <f ca="1">_xlfn.NORM.INV(RAND(),AVERAGE(Assumptions!$D$10,Assumptions!$F$10),(Assumptions!$F$10-Assumptions!$D$10)/3.29)*21</f>
        <v>489309.32220325165</v>
      </c>
      <c r="J817" s="12">
        <f ca="1">NORMINV(RAND(),AVERAGE(Assumptions!$D$11,Assumptions!$F$11),(Assumptions!$F$11-Assumptions!$D$11)/3.29)*44</f>
        <v>3387123.1773988437</v>
      </c>
      <c r="K817" s="15">
        <f ca="1">_xlfn.NORM.INV(RAND(),AVERAGE(Assumptions!$D$12,Assumptions!$F$12),(Assumptions!$F$12-Assumptions!$D$12)/3.29)*44</f>
        <v>7848840.3781344267</v>
      </c>
      <c r="L817" s="3">
        <f ca="1">_xlfn.NORM.INV(RAND(),AVERAGE(Assumptions!$D$13,Assumptions!$F$13),(Assumptions!$F$13-Assumptions!$D$13)/3.29)*44</f>
        <v>22654228.933978189</v>
      </c>
      <c r="M817" s="6">
        <f ca="1">_xlfn.NORM.INV(RAND(),AVERAGE(Assumptions!$D$14,Assumptions!$F$14),(Assumptions!$F$14-Assumptions!$D$14)/3.29)*44</f>
        <v>5609359.9279050929</v>
      </c>
      <c r="N817" s="9">
        <f ca="1">_xlfn.NORM.INV(RAND(),AVERAGE(Assumptions!$D$16,Assumptions!$F$16),(Assumptions!$F$16-Assumptions!$D$16)/3.29)*44</f>
        <v>14194811.38322426</v>
      </c>
      <c r="O817" s="12">
        <f ca="1">_xlfn.NORM.INV(RAND(),AVERAGE(Assumptions!$D$15,Assumptions!$F$15),(Assumptions!$F$15-Assumptions!$D$15)/3.29)*44</f>
        <v>128506291.47066551</v>
      </c>
      <c r="P817" s="15">
        <f>Assumptions!$D$18</f>
        <v>14641750.345627395</v>
      </c>
      <c r="Q817" s="3">
        <f t="shared" ca="1" si="24"/>
        <v>48805766.111224592</v>
      </c>
      <c r="R817" s="6">
        <f t="shared" ca="1" si="25"/>
        <v>63447516.456851989</v>
      </c>
    </row>
    <row r="818" spans="1:18">
      <c r="A818" s="20">
        <v>817</v>
      </c>
      <c r="B818" s="3">
        <f ca="1">_xlfn.NORM.INV(RAND(),AVERAGE(Assumptions!$D$4,Assumptions!$F$4),(Assumptions!$F$4-Assumptions!$D$4)/3.29)*44</f>
        <v>1149326.7024372029</v>
      </c>
      <c r="C818" s="6">
        <f ca="1">_xlfn.NORM.INV(RAND(),AVERAGE(Assumptions!$D$5,Assumptions!$F$5),(Assumptions!$F$5-Assumptions!$D$5)/3.29)*44</f>
        <v>1832265.139864313</v>
      </c>
      <c r="D818" s="9">
        <f ca="1">_xlfn.NORM.INV(RAND(),AVERAGE(Assumptions!$D$6,Assumptions!$F$6),(Assumptions!$F$6-Assumptions!$D$6)/3.29)*RANDBETWEEN(2,5)</f>
        <v>6048297.9158185637</v>
      </c>
      <c r="E818" s="12">
        <f ca="1">_xlfn.NORM.INV(RAND(),AVERAGE(Assumptions!$D$17,Assumptions!$F$17),(Assumptions!$F$17-Assumptions!$D$17)/3.29)*8</f>
        <v>1077912.2112899453</v>
      </c>
      <c r="F818" s="15">
        <f ca="1">_xlfn.NORM.INV(RAND(),AVERAGE(Assumptions!$D$7,Assumptions!$F$7),(Assumptions!$F$7-Assumptions!$D$7)/3.29)*RANDBETWEEN(1,3)</f>
        <v>2686930.1534329108</v>
      </c>
      <c r="G818" s="3">
        <f ca="1">_xlfn.NORM.INV(RAND(),AVERAGE(Assumptions!$D$8,Assumptions!$F$8),(Assumptions!$F$8-Assumptions!$D$8)/3.29)*44</f>
        <v>947187.66864373966</v>
      </c>
      <c r="H818" s="6">
        <f ca="1">_xlfn.NORM.INV(RAND(),AVERAGE(Assumptions!$D$9,Assumptions!$F$9),(Assumptions!$F$9-Assumptions!$D$9)/3.29)*21</f>
        <v>3303852.1374102519</v>
      </c>
      <c r="I818" s="9">
        <f ca="1">_xlfn.NORM.INV(RAND(),AVERAGE(Assumptions!$D$10,Assumptions!$F$10),(Assumptions!$F$10-Assumptions!$D$10)/3.29)*21</f>
        <v>536468.15531796508</v>
      </c>
      <c r="J818" s="12">
        <f ca="1">NORMINV(RAND(),AVERAGE(Assumptions!$D$11,Assumptions!$F$11),(Assumptions!$F$11-Assumptions!$D$11)/3.29)*44</f>
        <v>2396336.2350527467</v>
      </c>
      <c r="K818" s="15">
        <f ca="1">_xlfn.NORM.INV(RAND(),AVERAGE(Assumptions!$D$12,Assumptions!$F$12),(Assumptions!$F$12-Assumptions!$D$12)/3.29)*44</f>
        <v>9142900.1963193398</v>
      </c>
      <c r="L818" s="3">
        <f ca="1">_xlfn.NORM.INV(RAND(),AVERAGE(Assumptions!$D$13,Assumptions!$F$13),(Assumptions!$F$13-Assumptions!$D$13)/3.29)*44</f>
        <v>12505605.004850514</v>
      </c>
      <c r="M818" s="6">
        <f ca="1">_xlfn.NORM.INV(RAND(),AVERAGE(Assumptions!$D$14,Assumptions!$F$14),(Assumptions!$F$14-Assumptions!$D$14)/3.29)*44</f>
        <v>5472778.1330298707</v>
      </c>
      <c r="N818" s="9">
        <f ca="1">_xlfn.NORM.INV(RAND(),AVERAGE(Assumptions!$D$16,Assumptions!$F$16),(Assumptions!$F$16-Assumptions!$D$16)/3.29)*44</f>
        <v>12059384.110997131</v>
      </c>
      <c r="O818" s="12">
        <f ca="1">_xlfn.NORM.INV(RAND(),AVERAGE(Assumptions!$D$15,Assumptions!$F$15),(Assumptions!$F$15-Assumptions!$D$15)/3.29)*44</f>
        <v>50223438.575532086</v>
      </c>
      <c r="P818" s="15">
        <f>Assumptions!$D$18</f>
        <v>14641750.345627395</v>
      </c>
      <c r="Q818" s="3">
        <f t="shared" ca="1" si="24"/>
        <v>-8935805.1889324039</v>
      </c>
      <c r="R818" s="6">
        <f t="shared" ca="1" si="25"/>
        <v>5705945.1566949915</v>
      </c>
    </row>
    <row r="819" spans="1:18">
      <c r="A819" s="20">
        <v>818</v>
      </c>
      <c r="B819" s="3">
        <f ca="1">_xlfn.NORM.INV(RAND(),AVERAGE(Assumptions!$D$4,Assumptions!$F$4),(Assumptions!$F$4-Assumptions!$D$4)/3.29)*44</f>
        <v>1206491.2759969032</v>
      </c>
      <c r="C819" s="6">
        <f ca="1">_xlfn.NORM.INV(RAND(),AVERAGE(Assumptions!$D$5,Assumptions!$F$5),(Assumptions!$F$5-Assumptions!$D$5)/3.29)*44</f>
        <v>1895551.2830845278</v>
      </c>
      <c r="D819" s="9">
        <f ca="1">_xlfn.NORM.INV(RAND(),AVERAGE(Assumptions!$D$6,Assumptions!$F$6),(Assumptions!$F$6-Assumptions!$D$6)/3.29)*RANDBETWEEN(2,5)</f>
        <v>11316572.78502401</v>
      </c>
      <c r="E819" s="12">
        <f ca="1">_xlfn.NORM.INV(RAND(),AVERAGE(Assumptions!$D$17,Assumptions!$F$17),(Assumptions!$F$17-Assumptions!$D$17)/3.29)*8</f>
        <v>1094301.1332058811</v>
      </c>
      <c r="F819" s="15">
        <f ca="1">_xlfn.NORM.INV(RAND(),AVERAGE(Assumptions!$D$7,Assumptions!$F$7),(Assumptions!$F$7-Assumptions!$D$7)/3.29)*RANDBETWEEN(1,3)</f>
        <v>4314851.3363200361</v>
      </c>
      <c r="G819" s="3">
        <f ca="1">_xlfn.NORM.INV(RAND(),AVERAGE(Assumptions!$D$8,Assumptions!$F$8),(Assumptions!$F$8-Assumptions!$D$8)/3.29)*44</f>
        <v>502389.17942669766</v>
      </c>
      <c r="H819" s="6">
        <f ca="1">_xlfn.NORM.INV(RAND(),AVERAGE(Assumptions!$D$9,Assumptions!$F$9),(Assumptions!$F$9-Assumptions!$D$9)/3.29)*21</f>
        <v>4132376.9130338742</v>
      </c>
      <c r="I819" s="9">
        <f ca="1">_xlfn.NORM.INV(RAND(),AVERAGE(Assumptions!$D$10,Assumptions!$F$10),(Assumptions!$F$10-Assumptions!$D$10)/3.29)*21</f>
        <v>670663.79301518551</v>
      </c>
      <c r="J819" s="12">
        <f ca="1">NORMINV(RAND(),AVERAGE(Assumptions!$D$11,Assumptions!$F$11),(Assumptions!$F$11-Assumptions!$D$11)/3.29)*44</f>
        <v>3757765.4621488848</v>
      </c>
      <c r="K819" s="15">
        <f ca="1">_xlfn.NORM.INV(RAND(),AVERAGE(Assumptions!$D$12,Assumptions!$F$12),(Assumptions!$F$12-Assumptions!$D$12)/3.29)*44</f>
        <v>10171545.724342506</v>
      </c>
      <c r="L819" s="3">
        <f ca="1">_xlfn.NORM.INV(RAND(),AVERAGE(Assumptions!$D$13,Assumptions!$F$13),(Assumptions!$F$13-Assumptions!$D$13)/3.29)*44</f>
        <v>15659913.459313266</v>
      </c>
      <c r="M819" s="6">
        <f ca="1">_xlfn.NORM.INV(RAND(),AVERAGE(Assumptions!$D$14,Assumptions!$F$14),(Assumptions!$F$14-Assumptions!$D$14)/3.29)*44</f>
        <v>7038731.6678126222</v>
      </c>
      <c r="N819" s="9">
        <f ca="1">_xlfn.NORM.INV(RAND(),AVERAGE(Assumptions!$D$16,Assumptions!$F$16),(Assumptions!$F$16-Assumptions!$D$16)/3.29)*44</f>
        <v>17598138.553786512</v>
      </c>
      <c r="O819" s="12">
        <f ca="1">_xlfn.NORM.INV(RAND(),AVERAGE(Assumptions!$D$15,Assumptions!$F$15),(Assumptions!$F$15-Assumptions!$D$15)/3.29)*44</f>
        <v>32837239.209268179</v>
      </c>
      <c r="P819" s="15">
        <f>Assumptions!$D$18</f>
        <v>14641750.345627395</v>
      </c>
      <c r="Q819" s="3">
        <f t="shared" ca="1" si="24"/>
        <v>-46522053.357242718</v>
      </c>
      <c r="R819" s="6">
        <f t="shared" ca="1" si="25"/>
        <v>-31880303.011615321</v>
      </c>
    </row>
    <row r="820" spans="1:18">
      <c r="A820" s="20">
        <v>819</v>
      </c>
      <c r="B820" s="3">
        <f ca="1">_xlfn.NORM.INV(RAND(),AVERAGE(Assumptions!$D$4,Assumptions!$F$4),(Assumptions!$F$4-Assumptions!$D$4)/3.29)*44</f>
        <v>1201231.1474528916</v>
      </c>
      <c r="C820" s="6">
        <f ca="1">_xlfn.NORM.INV(RAND(),AVERAGE(Assumptions!$D$5,Assumptions!$F$5),(Assumptions!$F$5-Assumptions!$D$5)/3.29)*44</f>
        <v>1827440.547695735</v>
      </c>
      <c r="D820" s="9">
        <f ca="1">_xlfn.NORM.INV(RAND(),AVERAGE(Assumptions!$D$6,Assumptions!$F$6),(Assumptions!$F$6-Assumptions!$D$6)/3.29)*RANDBETWEEN(2,5)</f>
        <v>3199199.5592277586</v>
      </c>
      <c r="E820" s="12">
        <f ca="1">_xlfn.NORM.INV(RAND(),AVERAGE(Assumptions!$D$17,Assumptions!$F$17),(Assumptions!$F$17-Assumptions!$D$17)/3.29)*8</f>
        <v>1076418.9274161696</v>
      </c>
      <c r="F820" s="15">
        <f ca="1">_xlfn.NORM.INV(RAND(),AVERAGE(Assumptions!$D$7,Assumptions!$F$7),(Assumptions!$F$7-Assumptions!$D$7)/3.29)*RANDBETWEEN(1,3)</f>
        <v>6071438.5044374317</v>
      </c>
      <c r="G820" s="3">
        <f ca="1">_xlfn.NORM.INV(RAND(),AVERAGE(Assumptions!$D$8,Assumptions!$F$8),(Assumptions!$F$8-Assumptions!$D$8)/3.29)*44</f>
        <v>1337136.9028566317</v>
      </c>
      <c r="H820" s="6">
        <f ca="1">_xlfn.NORM.INV(RAND(),AVERAGE(Assumptions!$D$9,Assumptions!$F$9),(Assumptions!$F$9-Assumptions!$D$9)/3.29)*21</f>
        <v>3168204.5489463718</v>
      </c>
      <c r="I820" s="9">
        <f ca="1">_xlfn.NORM.INV(RAND(),AVERAGE(Assumptions!$D$10,Assumptions!$F$10),(Assumptions!$F$10-Assumptions!$D$10)/3.29)*21</f>
        <v>917197.10721124941</v>
      </c>
      <c r="J820" s="12">
        <f ca="1">NORMINV(RAND(),AVERAGE(Assumptions!$D$11,Assumptions!$F$11),(Assumptions!$F$11-Assumptions!$D$11)/3.29)*44</f>
        <v>3554216.5871352577</v>
      </c>
      <c r="K820" s="15">
        <f ca="1">_xlfn.NORM.INV(RAND(),AVERAGE(Assumptions!$D$12,Assumptions!$F$12),(Assumptions!$F$12-Assumptions!$D$12)/3.29)*44</f>
        <v>10180659.046710232</v>
      </c>
      <c r="L820" s="3">
        <f ca="1">_xlfn.NORM.INV(RAND(),AVERAGE(Assumptions!$D$13,Assumptions!$F$13),(Assumptions!$F$13-Assumptions!$D$13)/3.29)*44</f>
        <v>16309983.811570933</v>
      </c>
      <c r="M820" s="6">
        <f ca="1">_xlfn.NORM.INV(RAND(),AVERAGE(Assumptions!$D$14,Assumptions!$F$14),(Assumptions!$F$14-Assumptions!$D$14)/3.29)*44</f>
        <v>5974395.5717334906</v>
      </c>
      <c r="N820" s="9">
        <f ca="1">_xlfn.NORM.INV(RAND(),AVERAGE(Assumptions!$D$16,Assumptions!$F$16),(Assumptions!$F$16-Assumptions!$D$16)/3.29)*44</f>
        <v>25946349.238690458</v>
      </c>
      <c r="O820" s="12">
        <f ca="1">_xlfn.NORM.INV(RAND(),AVERAGE(Assumptions!$D$15,Assumptions!$F$15),(Assumptions!$F$15-Assumptions!$D$15)/3.29)*44</f>
        <v>113712195.17731126</v>
      </c>
      <c r="P820" s="15">
        <f>Assumptions!$D$18</f>
        <v>14641750.345627395</v>
      </c>
      <c r="Q820" s="3">
        <f t="shared" ca="1" si="24"/>
        <v>32948323.676226631</v>
      </c>
      <c r="R820" s="6">
        <f t="shared" ca="1" si="25"/>
        <v>47590074.021854028</v>
      </c>
    </row>
    <row r="821" spans="1:18">
      <c r="A821" s="20">
        <v>820</v>
      </c>
      <c r="B821" s="3">
        <f ca="1">_xlfn.NORM.INV(RAND(),AVERAGE(Assumptions!$D$4,Assumptions!$F$4),(Assumptions!$F$4-Assumptions!$D$4)/3.29)*44</f>
        <v>1283694.7380063669</v>
      </c>
      <c r="C821" s="6">
        <f ca="1">_xlfn.NORM.INV(RAND(),AVERAGE(Assumptions!$D$5,Assumptions!$F$5),(Assumptions!$F$5-Assumptions!$D$5)/3.29)*44</f>
        <v>1910800.7196354072</v>
      </c>
      <c r="D821" s="9">
        <f ca="1">_xlfn.NORM.INV(RAND(),AVERAGE(Assumptions!$D$6,Assumptions!$F$6),(Assumptions!$F$6-Assumptions!$D$6)/3.29)*RANDBETWEEN(2,5)</f>
        <v>8022155.5821301183</v>
      </c>
      <c r="E821" s="12">
        <f ca="1">_xlfn.NORM.INV(RAND(),AVERAGE(Assumptions!$D$17,Assumptions!$F$17),(Assumptions!$F$17-Assumptions!$D$17)/3.29)*8</f>
        <v>922109.45857286535</v>
      </c>
      <c r="F821" s="15">
        <f ca="1">_xlfn.NORM.INV(RAND(),AVERAGE(Assumptions!$D$7,Assumptions!$F$7),(Assumptions!$F$7-Assumptions!$D$7)/3.29)*RANDBETWEEN(1,3)</f>
        <v>5366761.6337117478</v>
      </c>
      <c r="G821" s="3">
        <f ca="1">_xlfn.NORM.INV(RAND(),AVERAGE(Assumptions!$D$8,Assumptions!$F$8),(Assumptions!$F$8-Assumptions!$D$8)/3.29)*44</f>
        <v>890508.08889613987</v>
      </c>
      <c r="H821" s="6">
        <f ca="1">_xlfn.NORM.INV(RAND(),AVERAGE(Assumptions!$D$9,Assumptions!$F$9),(Assumptions!$F$9-Assumptions!$D$9)/3.29)*21</f>
        <v>3307229.8545244099</v>
      </c>
      <c r="I821" s="9">
        <f ca="1">_xlfn.NORM.INV(RAND(),AVERAGE(Assumptions!$D$10,Assumptions!$F$10),(Assumptions!$F$10-Assumptions!$D$10)/3.29)*21</f>
        <v>454104.95124079788</v>
      </c>
      <c r="J821" s="12">
        <f ca="1">NORMINV(RAND(),AVERAGE(Assumptions!$D$11,Assumptions!$F$11),(Assumptions!$F$11-Assumptions!$D$11)/3.29)*44</f>
        <v>1661459.9887609608</v>
      </c>
      <c r="K821" s="15">
        <f ca="1">_xlfn.NORM.INV(RAND(),AVERAGE(Assumptions!$D$12,Assumptions!$F$12),(Assumptions!$F$12-Assumptions!$D$12)/3.29)*44</f>
        <v>9353526.9472059999</v>
      </c>
      <c r="L821" s="3">
        <f ca="1">_xlfn.NORM.INV(RAND(),AVERAGE(Assumptions!$D$13,Assumptions!$F$13),(Assumptions!$F$13-Assumptions!$D$13)/3.29)*44</f>
        <v>11566188.707179803</v>
      </c>
      <c r="M821" s="6">
        <f ca="1">_xlfn.NORM.INV(RAND(),AVERAGE(Assumptions!$D$14,Assumptions!$F$14),(Assumptions!$F$14-Assumptions!$D$14)/3.29)*44</f>
        <v>6126873.6881010188</v>
      </c>
      <c r="N821" s="9">
        <f ca="1">_xlfn.NORM.INV(RAND(),AVERAGE(Assumptions!$D$16,Assumptions!$F$16),(Assumptions!$F$16-Assumptions!$D$16)/3.29)*44</f>
        <v>10324483.129165541</v>
      </c>
      <c r="O821" s="12">
        <f ca="1">_xlfn.NORM.INV(RAND(),AVERAGE(Assumptions!$D$15,Assumptions!$F$15),(Assumptions!$F$15-Assumptions!$D$15)/3.29)*44</f>
        <v>94475996.021166176</v>
      </c>
      <c r="P821" s="15">
        <f>Assumptions!$D$18</f>
        <v>14641750.345627395</v>
      </c>
      <c r="Q821" s="3">
        <f t="shared" ca="1" si="24"/>
        <v>33286098.534035012</v>
      </c>
      <c r="R821" s="6">
        <f t="shared" ca="1" si="25"/>
        <v>47927848.879662409</v>
      </c>
    </row>
    <row r="822" spans="1:18">
      <c r="A822" s="20">
        <v>821</v>
      </c>
      <c r="B822" s="3">
        <f ca="1">_xlfn.NORM.INV(RAND(),AVERAGE(Assumptions!$D$4,Assumptions!$F$4),(Assumptions!$F$4-Assumptions!$D$4)/3.29)*44</f>
        <v>1146986.7829059998</v>
      </c>
      <c r="C822" s="6">
        <f ca="1">_xlfn.NORM.INV(RAND(),AVERAGE(Assumptions!$D$5,Assumptions!$F$5),(Assumptions!$F$5-Assumptions!$D$5)/3.29)*44</f>
        <v>1883272.4696031658</v>
      </c>
      <c r="D822" s="9">
        <f ca="1">_xlfn.NORM.INV(RAND(),AVERAGE(Assumptions!$D$6,Assumptions!$F$6),(Assumptions!$F$6-Assumptions!$D$6)/3.29)*RANDBETWEEN(2,5)</f>
        <v>2765022.7454399467</v>
      </c>
      <c r="E822" s="12">
        <f ca="1">_xlfn.NORM.INV(RAND(),AVERAGE(Assumptions!$D$17,Assumptions!$F$17),(Assumptions!$F$17-Assumptions!$D$17)/3.29)*8</f>
        <v>1080766.3243037914</v>
      </c>
      <c r="F822" s="15">
        <f ca="1">_xlfn.NORM.INV(RAND(),AVERAGE(Assumptions!$D$7,Assumptions!$F$7),(Assumptions!$F$7-Assumptions!$D$7)/3.29)*RANDBETWEEN(1,3)</f>
        <v>5634430.4595371224</v>
      </c>
      <c r="G822" s="3">
        <f ca="1">_xlfn.NORM.INV(RAND(),AVERAGE(Assumptions!$D$8,Assumptions!$F$8),(Assumptions!$F$8-Assumptions!$D$8)/3.29)*44</f>
        <v>1055311.7498760212</v>
      </c>
      <c r="H822" s="6">
        <f ca="1">_xlfn.NORM.INV(RAND(),AVERAGE(Assumptions!$D$9,Assumptions!$F$9),(Assumptions!$F$9-Assumptions!$D$9)/3.29)*21</f>
        <v>3588938.1341891065</v>
      </c>
      <c r="I822" s="9">
        <f ca="1">_xlfn.NORM.INV(RAND(),AVERAGE(Assumptions!$D$10,Assumptions!$F$10),(Assumptions!$F$10-Assumptions!$D$10)/3.29)*21</f>
        <v>912521.97973081027</v>
      </c>
      <c r="J822" s="12">
        <f ca="1">NORMINV(RAND(),AVERAGE(Assumptions!$D$11,Assumptions!$F$11),(Assumptions!$F$11-Assumptions!$D$11)/3.29)*44</f>
        <v>1964182.7285383909</v>
      </c>
      <c r="K822" s="15">
        <f ca="1">_xlfn.NORM.INV(RAND(),AVERAGE(Assumptions!$D$12,Assumptions!$F$12),(Assumptions!$F$12-Assumptions!$D$12)/3.29)*44</f>
        <v>6791705.3475158159</v>
      </c>
      <c r="L822" s="3">
        <f ca="1">_xlfn.NORM.INV(RAND(),AVERAGE(Assumptions!$D$13,Assumptions!$F$13),(Assumptions!$F$13-Assumptions!$D$13)/3.29)*44</f>
        <v>8447038.5551938806</v>
      </c>
      <c r="M822" s="6">
        <f ca="1">_xlfn.NORM.INV(RAND(),AVERAGE(Assumptions!$D$14,Assumptions!$F$14),(Assumptions!$F$14-Assumptions!$D$14)/3.29)*44</f>
        <v>6629562.0318919467</v>
      </c>
      <c r="N822" s="9">
        <f ca="1">_xlfn.NORM.INV(RAND(),AVERAGE(Assumptions!$D$16,Assumptions!$F$16),(Assumptions!$F$16-Assumptions!$D$16)/3.29)*44</f>
        <v>8914670.4665399846</v>
      </c>
      <c r="O822" s="12">
        <f ca="1">_xlfn.NORM.INV(RAND(),AVERAGE(Assumptions!$D$15,Assumptions!$F$15),(Assumptions!$F$15-Assumptions!$D$15)/3.29)*44</f>
        <v>104816298.6404683</v>
      </c>
      <c r="P822" s="15">
        <f>Assumptions!$D$18</f>
        <v>14641750.345627395</v>
      </c>
      <c r="Q822" s="3">
        <f t="shared" ca="1" si="24"/>
        <v>54001888.865202315</v>
      </c>
      <c r="R822" s="6">
        <f t="shared" ca="1" si="25"/>
        <v>68643639.210829705</v>
      </c>
    </row>
    <row r="823" spans="1:18">
      <c r="A823" s="20">
        <v>822</v>
      </c>
      <c r="B823" s="3">
        <f ca="1">_xlfn.NORM.INV(RAND(),AVERAGE(Assumptions!$D$4,Assumptions!$F$4),(Assumptions!$F$4-Assumptions!$D$4)/3.29)*44</f>
        <v>1174490.7520767704</v>
      </c>
      <c r="C823" s="6">
        <f ca="1">_xlfn.NORM.INV(RAND(),AVERAGE(Assumptions!$D$5,Assumptions!$F$5),(Assumptions!$F$5-Assumptions!$D$5)/3.29)*44</f>
        <v>1736705.6924796416</v>
      </c>
      <c r="D823" s="9">
        <f ca="1">_xlfn.NORM.INV(RAND(),AVERAGE(Assumptions!$D$6,Assumptions!$F$6),(Assumptions!$F$6-Assumptions!$D$6)/3.29)*RANDBETWEEN(2,5)</f>
        <v>4226653.3584856931</v>
      </c>
      <c r="E823" s="12">
        <f ca="1">_xlfn.NORM.INV(RAND(),AVERAGE(Assumptions!$D$17,Assumptions!$F$17),(Assumptions!$F$17-Assumptions!$D$17)/3.29)*8</f>
        <v>1012682.3874160678</v>
      </c>
      <c r="F823" s="15">
        <f ca="1">_xlfn.NORM.INV(RAND(),AVERAGE(Assumptions!$D$7,Assumptions!$F$7),(Assumptions!$F$7-Assumptions!$D$7)/3.29)*RANDBETWEEN(1,3)</f>
        <v>5189090.2085771635</v>
      </c>
      <c r="G823" s="3">
        <f ca="1">_xlfn.NORM.INV(RAND(),AVERAGE(Assumptions!$D$8,Assumptions!$F$8),(Assumptions!$F$8-Assumptions!$D$8)/3.29)*44</f>
        <v>1406849.6033344071</v>
      </c>
      <c r="H823" s="6">
        <f ca="1">_xlfn.NORM.INV(RAND(),AVERAGE(Assumptions!$D$9,Assumptions!$F$9),(Assumptions!$F$9-Assumptions!$D$9)/3.29)*21</f>
        <v>5622185.1778244041</v>
      </c>
      <c r="I823" s="9">
        <f ca="1">_xlfn.NORM.INV(RAND(),AVERAGE(Assumptions!$D$10,Assumptions!$F$10),(Assumptions!$F$10-Assumptions!$D$10)/3.29)*21</f>
        <v>803399.0171048895</v>
      </c>
      <c r="J823" s="12">
        <f ca="1">NORMINV(RAND(),AVERAGE(Assumptions!$D$11,Assumptions!$F$11),(Assumptions!$F$11-Assumptions!$D$11)/3.29)*44</f>
        <v>3512914.9815073651</v>
      </c>
      <c r="K823" s="15">
        <f ca="1">_xlfn.NORM.INV(RAND(),AVERAGE(Assumptions!$D$12,Assumptions!$F$12),(Assumptions!$F$12-Assumptions!$D$12)/3.29)*44</f>
        <v>9449456.8884974215</v>
      </c>
      <c r="L823" s="3">
        <f ca="1">_xlfn.NORM.INV(RAND(),AVERAGE(Assumptions!$D$13,Assumptions!$F$13),(Assumptions!$F$13-Assumptions!$D$13)/3.29)*44</f>
        <v>17316095.533369653</v>
      </c>
      <c r="M823" s="6">
        <f ca="1">_xlfn.NORM.INV(RAND(),AVERAGE(Assumptions!$D$14,Assumptions!$F$14),(Assumptions!$F$14-Assumptions!$D$14)/3.29)*44</f>
        <v>5537092.7872918611</v>
      </c>
      <c r="N823" s="9">
        <f ca="1">_xlfn.NORM.INV(RAND(),AVERAGE(Assumptions!$D$16,Assumptions!$F$16),(Assumptions!$F$16-Assumptions!$D$16)/3.29)*44</f>
        <v>10055140.146540066</v>
      </c>
      <c r="O823" s="12">
        <f ca="1">_xlfn.NORM.INV(RAND(),AVERAGE(Assumptions!$D$15,Assumptions!$F$15),(Assumptions!$F$15-Assumptions!$D$15)/3.29)*44</f>
        <v>96240365.070395827</v>
      </c>
      <c r="P823" s="15">
        <f>Assumptions!$D$18</f>
        <v>14641750.345627395</v>
      </c>
      <c r="Q823" s="3">
        <f t="shared" ca="1" si="24"/>
        <v>29197608.535890423</v>
      </c>
      <c r="R823" s="6">
        <f t="shared" ca="1" si="25"/>
        <v>43839358.88151782</v>
      </c>
    </row>
    <row r="824" spans="1:18">
      <c r="A824" s="20">
        <v>823</v>
      </c>
      <c r="B824" s="3">
        <f ca="1">_xlfn.NORM.INV(RAND(),AVERAGE(Assumptions!$D$4,Assumptions!$F$4),(Assumptions!$F$4-Assumptions!$D$4)/3.29)*44</f>
        <v>1291107.3362419016</v>
      </c>
      <c r="C824" s="6">
        <f ca="1">_xlfn.NORM.INV(RAND(),AVERAGE(Assumptions!$D$5,Assumptions!$F$5),(Assumptions!$F$5-Assumptions!$D$5)/3.29)*44</f>
        <v>1735085.1498569872</v>
      </c>
      <c r="D824" s="9">
        <f ca="1">_xlfn.NORM.INV(RAND(),AVERAGE(Assumptions!$D$6,Assumptions!$F$6),(Assumptions!$F$6-Assumptions!$D$6)/3.29)*RANDBETWEEN(2,5)</f>
        <v>974146.55464952078</v>
      </c>
      <c r="E824" s="12">
        <f ca="1">_xlfn.NORM.INV(RAND(),AVERAGE(Assumptions!$D$17,Assumptions!$F$17),(Assumptions!$F$17-Assumptions!$D$17)/3.29)*8</f>
        <v>1008844.1585606684</v>
      </c>
      <c r="F824" s="15">
        <f ca="1">_xlfn.NORM.INV(RAND(),AVERAGE(Assumptions!$D$7,Assumptions!$F$7),(Assumptions!$F$7-Assumptions!$D$7)/3.29)*RANDBETWEEN(1,3)</f>
        <v>2715285.2937567276</v>
      </c>
      <c r="G824" s="3">
        <f ca="1">_xlfn.NORM.INV(RAND(),AVERAGE(Assumptions!$D$8,Assumptions!$F$8),(Assumptions!$F$8-Assumptions!$D$8)/3.29)*44</f>
        <v>949429.10631719162</v>
      </c>
      <c r="H824" s="6">
        <f ca="1">_xlfn.NORM.INV(RAND(),AVERAGE(Assumptions!$D$9,Assumptions!$F$9),(Assumptions!$F$9-Assumptions!$D$9)/3.29)*21</f>
        <v>4844823.7368439566</v>
      </c>
      <c r="I824" s="9">
        <f ca="1">_xlfn.NORM.INV(RAND(),AVERAGE(Assumptions!$D$10,Assumptions!$F$10),(Assumptions!$F$10-Assumptions!$D$10)/3.29)*21</f>
        <v>1555371.3459944425</v>
      </c>
      <c r="J824" s="12">
        <f ca="1">NORMINV(RAND(),AVERAGE(Assumptions!$D$11,Assumptions!$F$11),(Assumptions!$F$11-Assumptions!$D$11)/3.29)*44</f>
        <v>4695802.9677104848</v>
      </c>
      <c r="K824" s="15">
        <f ca="1">_xlfn.NORM.INV(RAND(),AVERAGE(Assumptions!$D$12,Assumptions!$F$12),(Assumptions!$F$12-Assumptions!$D$12)/3.29)*44</f>
        <v>7605446.2961979425</v>
      </c>
      <c r="L824" s="3">
        <f ca="1">_xlfn.NORM.INV(RAND(),AVERAGE(Assumptions!$D$13,Assumptions!$F$13),(Assumptions!$F$13-Assumptions!$D$13)/3.29)*44</f>
        <v>11353480.781670149</v>
      </c>
      <c r="M824" s="6">
        <f ca="1">_xlfn.NORM.INV(RAND(),AVERAGE(Assumptions!$D$14,Assumptions!$F$14),(Assumptions!$F$14-Assumptions!$D$14)/3.29)*44</f>
        <v>5407841.4129389524</v>
      </c>
      <c r="N824" s="9">
        <f ca="1">_xlfn.NORM.INV(RAND(),AVERAGE(Assumptions!$D$16,Assumptions!$F$16),(Assumptions!$F$16-Assumptions!$D$16)/3.29)*44</f>
        <v>7281169.6385673741</v>
      </c>
      <c r="O824" s="12">
        <f ca="1">_xlfn.NORM.INV(RAND(),AVERAGE(Assumptions!$D$15,Assumptions!$F$15),(Assumptions!$F$15-Assumptions!$D$15)/3.29)*44</f>
        <v>40890181.275917351</v>
      </c>
      <c r="P824" s="15">
        <f>Assumptions!$D$18</f>
        <v>14641750.345627395</v>
      </c>
      <c r="Q824" s="3">
        <f t="shared" ca="1" si="24"/>
        <v>-10527652.503388949</v>
      </c>
      <c r="R824" s="6">
        <f t="shared" ca="1" si="25"/>
        <v>4114097.8422384467</v>
      </c>
    </row>
    <row r="825" spans="1:18">
      <c r="A825" s="20">
        <v>824</v>
      </c>
      <c r="B825" s="3">
        <f ca="1">_xlfn.NORM.INV(RAND(),AVERAGE(Assumptions!$D$4,Assumptions!$F$4),(Assumptions!$F$4-Assumptions!$D$4)/3.29)*44</f>
        <v>1169566.1205366191</v>
      </c>
      <c r="C825" s="6">
        <f ca="1">_xlfn.NORM.INV(RAND(),AVERAGE(Assumptions!$D$5,Assumptions!$F$5),(Assumptions!$F$5-Assumptions!$D$5)/3.29)*44</f>
        <v>2047261.2329063304</v>
      </c>
      <c r="D825" s="9">
        <f ca="1">_xlfn.NORM.INV(RAND(),AVERAGE(Assumptions!$D$6,Assumptions!$F$6),(Assumptions!$F$6-Assumptions!$D$6)/3.29)*RANDBETWEEN(2,5)</f>
        <v>4807765.9614051189</v>
      </c>
      <c r="E825" s="12">
        <f ca="1">_xlfn.NORM.INV(RAND(),AVERAGE(Assumptions!$D$17,Assumptions!$F$17),(Assumptions!$F$17-Assumptions!$D$17)/3.29)*8</f>
        <v>988092.66483773338</v>
      </c>
      <c r="F825" s="15">
        <f ca="1">_xlfn.NORM.INV(RAND(),AVERAGE(Assumptions!$D$7,Assumptions!$F$7),(Assumptions!$F$7-Assumptions!$D$7)/3.29)*RANDBETWEEN(1,3)</f>
        <v>8023518.3680645376</v>
      </c>
      <c r="G825" s="3">
        <f ca="1">_xlfn.NORM.INV(RAND(),AVERAGE(Assumptions!$D$8,Assumptions!$F$8),(Assumptions!$F$8-Assumptions!$D$8)/3.29)*44</f>
        <v>1184830.4127607059</v>
      </c>
      <c r="H825" s="6">
        <f ca="1">_xlfn.NORM.INV(RAND(),AVERAGE(Assumptions!$D$9,Assumptions!$F$9),(Assumptions!$F$9-Assumptions!$D$9)/3.29)*21</f>
        <v>6423827.790434665</v>
      </c>
      <c r="I825" s="9">
        <f ca="1">_xlfn.NORM.INV(RAND(),AVERAGE(Assumptions!$D$10,Assumptions!$F$10),(Assumptions!$F$10-Assumptions!$D$10)/3.29)*21</f>
        <v>1091339.8638499619</v>
      </c>
      <c r="J825" s="12">
        <f ca="1">NORMINV(RAND(),AVERAGE(Assumptions!$D$11,Assumptions!$F$11),(Assumptions!$F$11-Assumptions!$D$11)/3.29)*44</f>
        <v>2945529.4310122142</v>
      </c>
      <c r="K825" s="15">
        <f ca="1">_xlfn.NORM.INV(RAND(),AVERAGE(Assumptions!$D$12,Assumptions!$F$12),(Assumptions!$F$12-Assumptions!$D$12)/3.29)*44</f>
        <v>7905088.1217023833</v>
      </c>
      <c r="L825" s="3">
        <f ca="1">_xlfn.NORM.INV(RAND(),AVERAGE(Assumptions!$D$13,Assumptions!$F$13),(Assumptions!$F$13-Assumptions!$D$13)/3.29)*44</f>
        <v>16587279.911097551</v>
      </c>
      <c r="M825" s="6">
        <f ca="1">_xlfn.NORM.INV(RAND(),AVERAGE(Assumptions!$D$14,Assumptions!$F$14),(Assumptions!$F$14-Assumptions!$D$14)/3.29)*44</f>
        <v>8314974.1463922188</v>
      </c>
      <c r="N825" s="9">
        <f ca="1">_xlfn.NORM.INV(RAND(),AVERAGE(Assumptions!$D$16,Assumptions!$F$16),(Assumptions!$F$16-Assumptions!$D$16)/3.29)*44</f>
        <v>8525091.05947919</v>
      </c>
      <c r="O825" s="12">
        <f ca="1">_xlfn.NORM.INV(RAND(),AVERAGE(Assumptions!$D$15,Assumptions!$F$15),(Assumptions!$F$15-Assumptions!$D$15)/3.29)*44</f>
        <v>164931026.43679914</v>
      </c>
      <c r="P825" s="15">
        <f>Assumptions!$D$18</f>
        <v>14641750.345627395</v>
      </c>
      <c r="Q825" s="3">
        <f t="shared" ca="1" si="24"/>
        <v>94916861.352319911</v>
      </c>
      <c r="R825" s="6">
        <f t="shared" ca="1" si="25"/>
        <v>109558611.69794731</v>
      </c>
    </row>
    <row r="826" spans="1:18">
      <c r="A826" s="20">
        <v>825</v>
      </c>
      <c r="B826" s="3">
        <f ca="1">_xlfn.NORM.INV(RAND(),AVERAGE(Assumptions!$D$4,Assumptions!$F$4),(Assumptions!$F$4-Assumptions!$D$4)/3.29)*44</f>
        <v>1310018.8806711342</v>
      </c>
      <c r="C826" s="6">
        <f ca="1">_xlfn.NORM.INV(RAND(),AVERAGE(Assumptions!$D$5,Assumptions!$F$5),(Assumptions!$F$5-Assumptions!$D$5)/3.29)*44</f>
        <v>2139753.0028015724</v>
      </c>
      <c r="D826" s="9">
        <f ca="1">_xlfn.NORM.INV(RAND(),AVERAGE(Assumptions!$D$6,Assumptions!$F$6),(Assumptions!$F$6-Assumptions!$D$6)/3.29)*RANDBETWEEN(2,5)</f>
        <v>2350307.6305473731</v>
      </c>
      <c r="E826" s="12">
        <f ca="1">_xlfn.NORM.INV(RAND(),AVERAGE(Assumptions!$D$17,Assumptions!$F$17),(Assumptions!$F$17-Assumptions!$D$17)/3.29)*8</f>
        <v>1085336.8806452774</v>
      </c>
      <c r="F826" s="15">
        <f ca="1">_xlfn.NORM.INV(RAND(),AVERAGE(Assumptions!$D$7,Assumptions!$F$7),(Assumptions!$F$7-Assumptions!$D$7)/3.29)*RANDBETWEEN(1,3)</f>
        <v>3193434.3393809437</v>
      </c>
      <c r="G826" s="3">
        <f ca="1">_xlfn.NORM.INV(RAND(),AVERAGE(Assumptions!$D$8,Assumptions!$F$8),(Assumptions!$F$8-Assumptions!$D$8)/3.29)*44</f>
        <v>785210.35279271321</v>
      </c>
      <c r="H826" s="6">
        <f ca="1">_xlfn.NORM.INV(RAND(),AVERAGE(Assumptions!$D$9,Assumptions!$F$9),(Assumptions!$F$9-Assumptions!$D$9)/3.29)*21</f>
        <v>4126289.1559736212</v>
      </c>
      <c r="I826" s="9">
        <f ca="1">_xlfn.NORM.INV(RAND(),AVERAGE(Assumptions!$D$10,Assumptions!$F$10),(Assumptions!$F$10-Assumptions!$D$10)/3.29)*21</f>
        <v>725253.42533701076</v>
      </c>
      <c r="J826" s="12">
        <f ca="1">NORMINV(RAND(),AVERAGE(Assumptions!$D$11,Assumptions!$F$11),(Assumptions!$F$11-Assumptions!$D$11)/3.29)*44</f>
        <v>1914966.1164231701</v>
      </c>
      <c r="K826" s="15">
        <f ca="1">_xlfn.NORM.INV(RAND(),AVERAGE(Assumptions!$D$12,Assumptions!$F$12),(Assumptions!$F$12-Assumptions!$D$12)/3.29)*44</f>
        <v>9153174.7551693544</v>
      </c>
      <c r="L826" s="3">
        <f ca="1">_xlfn.NORM.INV(RAND(),AVERAGE(Assumptions!$D$13,Assumptions!$F$13),(Assumptions!$F$13-Assumptions!$D$13)/3.29)*44</f>
        <v>16528006.402199661</v>
      </c>
      <c r="M826" s="6">
        <f ca="1">_xlfn.NORM.INV(RAND(),AVERAGE(Assumptions!$D$14,Assumptions!$F$14),(Assumptions!$F$14-Assumptions!$D$14)/3.29)*44</f>
        <v>7979385.0178414099</v>
      </c>
      <c r="N826" s="9">
        <f ca="1">_xlfn.NORM.INV(RAND(),AVERAGE(Assumptions!$D$16,Assumptions!$F$16),(Assumptions!$F$16-Assumptions!$D$16)/3.29)*44</f>
        <v>8865229.1087268367</v>
      </c>
      <c r="O826" s="12">
        <f ca="1">_xlfn.NORM.INV(RAND(),AVERAGE(Assumptions!$D$15,Assumptions!$F$15),(Assumptions!$F$15-Assumptions!$D$15)/3.29)*44</f>
        <v>36076336.523088276</v>
      </c>
      <c r="P826" s="15">
        <f>Assumptions!$D$18</f>
        <v>14641750.345627395</v>
      </c>
      <c r="Q826" s="3">
        <f t="shared" ca="1" si="24"/>
        <v>-24080028.545421802</v>
      </c>
      <c r="R826" s="6">
        <f t="shared" ca="1" si="25"/>
        <v>-9438278.1997944061</v>
      </c>
    </row>
    <row r="827" spans="1:18">
      <c r="A827" s="20">
        <v>826</v>
      </c>
      <c r="B827" s="3">
        <f ca="1">_xlfn.NORM.INV(RAND(),AVERAGE(Assumptions!$D$4,Assumptions!$F$4),(Assumptions!$F$4-Assumptions!$D$4)/3.29)*44</f>
        <v>1270949.6642393745</v>
      </c>
      <c r="C827" s="6">
        <f ca="1">_xlfn.NORM.INV(RAND(),AVERAGE(Assumptions!$D$5,Assumptions!$F$5),(Assumptions!$F$5-Assumptions!$D$5)/3.29)*44</f>
        <v>1773944.5094296134</v>
      </c>
      <c r="D827" s="9">
        <f ca="1">_xlfn.NORM.INV(RAND(),AVERAGE(Assumptions!$D$6,Assumptions!$F$6),(Assumptions!$F$6-Assumptions!$D$6)/3.29)*RANDBETWEEN(2,5)</f>
        <v>5156244.2707181871</v>
      </c>
      <c r="E827" s="12">
        <f ca="1">_xlfn.NORM.INV(RAND(),AVERAGE(Assumptions!$D$17,Assumptions!$F$17),(Assumptions!$F$17-Assumptions!$D$17)/3.29)*8</f>
        <v>1048803.1753206661</v>
      </c>
      <c r="F827" s="15">
        <f ca="1">_xlfn.NORM.INV(RAND(),AVERAGE(Assumptions!$D$7,Assumptions!$F$7),(Assumptions!$F$7-Assumptions!$D$7)/3.29)*RANDBETWEEN(1,3)</f>
        <v>7671330.0876436746</v>
      </c>
      <c r="G827" s="3">
        <f ca="1">_xlfn.NORM.INV(RAND(),AVERAGE(Assumptions!$D$8,Assumptions!$F$8),(Assumptions!$F$8-Assumptions!$D$8)/3.29)*44</f>
        <v>1246380.9296859542</v>
      </c>
      <c r="H827" s="6">
        <f ca="1">_xlfn.NORM.INV(RAND(),AVERAGE(Assumptions!$D$9,Assumptions!$F$9),(Assumptions!$F$9-Assumptions!$D$9)/3.29)*21</f>
        <v>5191302.0752188293</v>
      </c>
      <c r="I827" s="9">
        <f ca="1">_xlfn.NORM.INV(RAND(),AVERAGE(Assumptions!$D$10,Assumptions!$F$10),(Assumptions!$F$10-Assumptions!$D$10)/3.29)*21</f>
        <v>945903.23315074388</v>
      </c>
      <c r="J827" s="12">
        <f ca="1">NORMINV(RAND(),AVERAGE(Assumptions!$D$11,Assumptions!$F$11),(Assumptions!$F$11-Assumptions!$D$11)/3.29)*44</f>
        <v>6106889.2225659601</v>
      </c>
      <c r="K827" s="15">
        <f ca="1">_xlfn.NORM.INV(RAND(),AVERAGE(Assumptions!$D$12,Assumptions!$F$12),(Assumptions!$F$12-Assumptions!$D$12)/3.29)*44</f>
        <v>5541278.782913154</v>
      </c>
      <c r="L827" s="3">
        <f ca="1">_xlfn.NORM.INV(RAND(),AVERAGE(Assumptions!$D$13,Assumptions!$F$13),(Assumptions!$F$13-Assumptions!$D$13)/3.29)*44</f>
        <v>12579146.819066864</v>
      </c>
      <c r="M827" s="6">
        <f ca="1">_xlfn.NORM.INV(RAND(),AVERAGE(Assumptions!$D$14,Assumptions!$F$14),(Assumptions!$F$14-Assumptions!$D$14)/3.29)*44</f>
        <v>6109512.9349294715</v>
      </c>
      <c r="N827" s="9">
        <f ca="1">_xlfn.NORM.INV(RAND(),AVERAGE(Assumptions!$D$16,Assumptions!$F$16),(Assumptions!$F$16-Assumptions!$D$16)/3.29)*44</f>
        <v>13852942.395812722</v>
      </c>
      <c r="O827" s="12">
        <f ca="1">_xlfn.NORM.INV(RAND(),AVERAGE(Assumptions!$D$15,Assumptions!$F$15),(Assumptions!$F$15-Assumptions!$D$15)/3.29)*44</f>
        <v>125047602.99157344</v>
      </c>
      <c r="P827" s="15">
        <f>Assumptions!$D$18</f>
        <v>14641750.345627395</v>
      </c>
      <c r="Q827" s="3">
        <f t="shared" ca="1" si="24"/>
        <v>56552974.890878215</v>
      </c>
      <c r="R827" s="6">
        <f t="shared" ca="1" si="25"/>
        <v>71194725.236505613</v>
      </c>
    </row>
    <row r="828" spans="1:18">
      <c r="A828" s="20">
        <v>827</v>
      </c>
      <c r="B828" s="3">
        <f ca="1">_xlfn.NORM.INV(RAND(),AVERAGE(Assumptions!$D$4,Assumptions!$F$4),(Assumptions!$F$4-Assumptions!$D$4)/3.29)*44</f>
        <v>1150760.2272948092</v>
      </c>
      <c r="C828" s="6">
        <f ca="1">_xlfn.NORM.INV(RAND(),AVERAGE(Assumptions!$D$5,Assumptions!$F$5),(Assumptions!$F$5-Assumptions!$D$5)/3.29)*44</f>
        <v>2103630.3582201907</v>
      </c>
      <c r="D828" s="9">
        <f ca="1">_xlfn.NORM.INV(RAND(),AVERAGE(Assumptions!$D$6,Assumptions!$F$6),(Assumptions!$F$6-Assumptions!$D$6)/3.29)*RANDBETWEEN(2,5)</f>
        <v>2786765.2508307314</v>
      </c>
      <c r="E828" s="12">
        <f ca="1">_xlfn.NORM.INV(RAND(),AVERAGE(Assumptions!$D$17,Assumptions!$F$17),(Assumptions!$F$17-Assumptions!$D$17)/3.29)*8</f>
        <v>1060892.3251058306</v>
      </c>
      <c r="F828" s="15">
        <f ca="1">_xlfn.NORM.INV(RAND(),AVERAGE(Assumptions!$D$7,Assumptions!$F$7),(Assumptions!$F$7-Assumptions!$D$7)/3.29)*RANDBETWEEN(1,3)</f>
        <v>3087128.0754683972</v>
      </c>
      <c r="G828" s="3">
        <f ca="1">_xlfn.NORM.INV(RAND(),AVERAGE(Assumptions!$D$8,Assumptions!$F$8),(Assumptions!$F$8-Assumptions!$D$8)/3.29)*44</f>
        <v>1344856.0155689779</v>
      </c>
      <c r="H828" s="6">
        <f ca="1">_xlfn.NORM.INV(RAND(),AVERAGE(Assumptions!$D$9,Assumptions!$F$9),(Assumptions!$F$9-Assumptions!$D$9)/3.29)*21</f>
        <v>5054650.9257139806</v>
      </c>
      <c r="I828" s="9">
        <f ca="1">_xlfn.NORM.INV(RAND(),AVERAGE(Assumptions!$D$10,Assumptions!$F$10),(Assumptions!$F$10-Assumptions!$D$10)/3.29)*21</f>
        <v>408558.84072162991</v>
      </c>
      <c r="J828" s="12">
        <f ca="1">NORMINV(RAND(),AVERAGE(Assumptions!$D$11,Assumptions!$F$11),(Assumptions!$F$11-Assumptions!$D$11)/3.29)*44</f>
        <v>2602185.8453836935</v>
      </c>
      <c r="K828" s="15">
        <f ca="1">_xlfn.NORM.INV(RAND(),AVERAGE(Assumptions!$D$12,Assumptions!$F$12),(Assumptions!$F$12-Assumptions!$D$12)/3.29)*44</f>
        <v>8413488.649566669</v>
      </c>
      <c r="L828" s="3">
        <f ca="1">_xlfn.NORM.INV(RAND(),AVERAGE(Assumptions!$D$13,Assumptions!$F$13),(Assumptions!$F$13-Assumptions!$D$13)/3.29)*44</f>
        <v>16525302.473007806</v>
      </c>
      <c r="M828" s="6">
        <f ca="1">_xlfn.NORM.INV(RAND(),AVERAGE(Assumptions!$D$14,Assumptions!$F$14),(Assumptions!$F$14-Assumptions!$D$14)/3.29)*44</f>
        <v>5830491.3618627572</v>
      </c>
      <c r="N828" s="9">
        <f ca="1">_xlfn.NORM.INV(RAND(),AVERAGE(Assumptions!$D$16,Assumptions!$F$16),(Assumptions!$F$16-Assumptions!$D$16)/3.29)*44</f>
        <v>16794067.73249609</v>
      </c>
      <c r="O828" s="12">
        <f ca="1">_xlfn.NORM.INV(RAND(),AVERAGE(Assumptions!$D$15,Assumptions!$F$15),(Assumptions!$F$15-Assumptions!$D$15)/3.29)*44</f>
        <v>118116792.57255556</v>
      </c>
      <c r="P828" s="15">
        <f>Assumptions!$D$18</f>
        <v>14641750.345627395</v>
      </c>
      <c r="Q828" s="3">
        <f t="shared" ca="1" si="24"/>
        <v>50954014.491313994</v>
      </c>
      <c r="R828" s="6">
        <f t="shared" ca="1" si="25"/>
        <v>65595764.836941391</v>
      </c>
    </row>
    <row r="829" spans="1:18">
      <c r="A829" s="20">
        <v>828</v>
      </c>
      <c r="B829" s="3">
        <f ca="1">_xlfn.NORM.INV(RAND(),AVERAGE(Assumptions!$D$4,Assumptions!$F$4),(Assumptions!$F$4-Assumptions!$D$4)/3.29)*44</f>
        <v>1189877.0905031452</v>
      </c>
      <c r="C829" s="6">
        <f ca="1">_xlfn.NORM.INV(RAND(),AVERAGE(Assumptions!$D$5,Assumptions!$F$5),(Assumptions!$F$5-Assumptions!$D$5)/3.29)*44</f>
        <v>1960003.8282690297</v>
      </c>
      <c r="D829" s="9">
        <f ca="1">_xlfn.NORM.INV(RAND(),AVERAGE(Assumptions!$D$6,Assumptions!$F$6),(Assumptions!$F$6-Assumptions!$D$6)/3.29)*RANDBETWEEN(2,5)</f>
        <v>9217315.6807159036</v>
      </c>
      <c r="E829" s="12">
        <f ca="1">_xlfn.NORM.INV(RAND(),AVERAGE(Assumptions!$D$17,Assumptions!$F$17),(Assumptions!$F$17-Assumptions!$D$17)/3.29)*8</f>
        <v>992676.65756498941</v>
      </c>
      <c r="F829" s="15">
        <f ca="1">_xlfn.NORM.INV(RAND(),AVERAGE(Assumptions!$D$7,Assumptions!$F$7),(Assumptions!$F$7-Assumptions!$D$7)/3.29)*RANDBETWEEN(1,3)</f>
        <v>849558.87510864018</v>
      </c>
      <c r="G829" s="3">
        <f ca="1">_xlfn.NORM.INV(RAND(),AVERAGE(Assumptions!$D$8,Assumptions!$F$8),(Assumptions!$F$8-Assumptions!$D$8)/3.29)*44</f>
        <v>871710.90274899174</v>
      </c>
      <c r="H829" s="6">
        <f ca="1">_xlfn.NORM.INV(RAND(),AVERAGE(Assumptions!$D$9,Assumptions!$F$9),(Assumptions!$F$9-Assumptions!$D$9)/3.29)*21</f>
        <v>3878417.9291013968</v>
      </c>
      <c r="I829" s="9">
        <f ca="1">_xlfn.NORM.INV(RAND(),AVERAGE(Assumptions!$D$10,Assumptions!$F$10),(Assumptions!$F$10-Assumptions!$D$10)/3.29)*21</f>
        <v>773661.11636990309</v>
      </c>
      <c r="J829" s="12">
        <f ca="1">NORMINV(RAND(),AVERAGE(Assumptions!$D$11,Assumptions!$F$11),(Assumptions!$F$11-Assumptions!$D$11)/3.29)*44</f>
        <v>3109473.163730239</v>
      </c>
      <c r="K829" s="15">
        <f ca="1">_xlfn.NORM.INV(RAND(),AVERAGE(Assumptions!$D$12,Assumptions!$F$12),(Assumptions!$F$12-Assumptions!$D$12)/3.29)*44</f>
        <v>9923374.7949941568</v>
      </c>
      <c r="L829" s="3">
        <f ca="1">_xlfn.NORM.INV(RAND(),AVERAGE(Assumptions!$D$13,Assumptions!$F$13),(Assumptions!$F$13-Assumptions!$D$13)/3.29)*44</f>
        <v>5968365.9880308053</v>
      </c>
      <c r="M829" s="6">
        <f ca="1">_xlfn.NORM.INV(RAND(),AVERAGE(Assumptions!$D$14,Assumptions!$F$14),(Assumptions!$F$14-Assumptions!$D$14)/3.29)*44</f>
        <v>6925368.9547048397</v>
      </c>
      <c r="N829" s="9">
        <f ca="1">_xlfn.NORM.INV(RAND(),AVERAGE(Assumptions!$D$16,Assumptions!$F$16),(Assumptions!$F$16-Assumptions!$D$16)/3.29)*44</f>
        <v>8622983.7779548187</v>
      </c>
      <c r="O829" s="12">
        <f ca="1">_xlfn.NORM.INV(RAND(),AVERAGE(Assumptions!$D$15,Assumptions!$F$15),(Assumptions!$F$15-Assumptions!$D$15)/3.29)*44</f>
        <v>159012637.21183351</v>
      </c>
      <c r="P829" s="15">
        <f>Assumptions!$D$18</f>
        <v>14641750.345627395</v>
      </c>
      <c r="Q829" s="3">
        <f t="shared" ca="1" si="24"/>
        <v>104729848.45203665</v>
      </c>
      <c r="R829" s="6">
        <f t="shared" ca="1" si="25"/>
        <v>119371598.79766405</v>
      </c>
    </row>
    <row r="830" spans="1:18">
      <c r="A830" s="20">
        <v>829</v>
      </c>
      <c r="B830" s="3">
        <f ca="1">_xlfn.NORM.INV(RAND(),AVERAGE(Assumptions!$D$4,Assumptions!$F$4),(Assumptions!$F$4-Assumptions!$D$4)/3.29)*44</f>
        <v>1288744.1370588711</v>
      </c>
      <c r="C830" s="6">
        <f ca="1">_xlfn.NORM.INV(RAND(),AVERAGE(Assumptions!$D$5,Assumptions!$F$5),(Assumptions!$F$5-Assumptions!$D$5)/3.29)*44</f>
        <v>1964253.2670171433</v>
      </c>
      <c r="D830" s="9">
        <f ca="1">_xlfn.NORM.INV(RAND(),AVERAGE(Assumptions!$D$6,Assumptions!$F$6),(Assumptions!$F$6-Assumptions!$D$6)/3.29)*RANDBETWEEN(2,5)</f>
        <v>7917918.9743432449</v>
      </c>
      <c r="E830" s="12">
        <f ca="1">_xlfn.NORM.INV(RAND(),AVERAGE(Assumptions!$D$17,Assumptions!$F$17),(Assumptions!$F$17-Assumptions!$D$17)/3.29)*8</f>
        <v>1044772.392876365</v>
      </c>
      <c r="F830" s="15">
        <f ca="1">_xlfn.NORM.INV(RAND(),AVERAGE(Assumptions!$D$7,Assumptions!$F$7),(Assumptions!$F$7-Assumptions!$D$7)/3.29)*RANDBETWEEN(1,3)</f>
        <v>5742217.9792036787</v>
      </c>
      <c r="G830" s="3">
        <f ca="1">_xlfn.NORM.INV(RAND(),AVERAGE(Assumptions!$D$8,Assumptions!$F$8),(Assumptions!$F$8-Assumptions!$D$8)/3.29)*44</f>
        <v>1052321.543169592</v>
      </c>
      <c r="H830" s="6">
        <f ca="1">_xlfn.NORM.INV(RAND(),AVERAGE(Assumptions!$D$9,Assumptions!$F$9),(Assumptions!$F$9-Assumptions!$D$9)/3.29)*21</f>
        <v>3951992.9333947287</v>
      </c>
      <c r="I830" s="9">
        <f ca="1">_xlfn.NORM.INV(RAND(),AVERAGE(Assumptions!$D$10,Assumptions!$F$10),(Assumptions!$F$10-Assumptions!$D$10)/3.29)*21</f>
        <v>951796.06891438307</v>
      </c>
      <c r="J830" s="12">
        <f ca="1">NORMINV(RAND(),AVERAGE(Assumptions!$D$11,Assumptions!$F$11),(Assumptions!$F$11-Assumptions!$D$11)/3.29)*44</f>
        <v>1726104.3186514785</v>
      </c>
      <c r="K830" s="15">
        <f ca="1">_xlfn.NORM.INV(RAND(),AVERAGE(Assumptions!$D$12,Assumptions!$F$12),(Assumptions!$F$12-Assumptions!$D$12)/3.29)*44</f>
        <v>9984289.9394747801</v>
      </c>
      <c r="L830" s="3">
        <f ca="1">_xlfn.NORM.INV(RAND(),AVERAGE(Assumptions!$D$13,Assumptions!$F$13),(Assumptions!$F$13-Assumptions!$D$13)/3.29)*44</f>
        <v>18533468.418779783</v>
      </c>
      <c r="M830" s="6">
        <f ca="1">_xlfn.NORM.INV(RAND(),AVERAGE(Assumptions!$D$14,Assumptions!$F$14),(Assumptions!$F$14-Assumptions!$D$14)/3.29)*44</f>
        <v>8404070.5400712527</v>
      </c>
      <c r="N830" s="9">
        <f ca="1">_xlfn.NORM.INV(RAND(),AVERAGE(Assumptions!$D$16,Assumptions!$F$16),(Assumptions!$F$16-Assumptions!$D$16)/3.29)*44</f>
        <v>9392482.7070729043</v>
      </c>
      <c r="O830" s="12">
        <f ca="1">_xlfn.NORM.INV(RAND(),AVERAGE(Assumptions!$D$15,Assumptions!$F$15),(Assumptions!$F$15-Assumptions!$D$15)/3.29)*44</f>
        <v>159654504.25203106</v>
      </c>
      <c r="P830" s="15">
        <f>Assumptions!$D$18</f>
        <v>14641750.345627395</v>
      </c>
      <c r="Q830" s="3">
        <f t="shared" ca="1" si="24"/>
        <v>87700071.032002851</v>
      </c>
      <c r="R830" s="6">
        <f t="shared" ca="1" si="25"/>
        <v>102341821.37763025</v>
      </c>
    </row>
    <row r="831" spans="1:18">
      <c r="A831" s="20">
        <v>830</v>
      </c>
      <c r="B831" s="3">
        <f ca="1">_xlfn.NORM.INV(RAND(),AVERAGE(Assumptions!$D$4,Assumptions!$F$4),(Assumptions!$F$4-Assumptions!$D$4)/3.29)*44</f>
        <v>1316178.6836039054</v>
      </c>
      <c r="C831" s="6">
        <f ca="1">_xlfn.NORM.INV(RAND(),AVERAGE(Assumptions!$D$5,Assumptions!$F$5),(Assumptions!$F$5-Assumptions!$D$5)/3.29)*44</f>
        <v>1862782.7576697881</v>
      </c>
      <c r="D831" s="9">
        <f ca="1">_xlfn.NORM.INV(RAND(),AVERAGE(Assumptions!$D$6,Assumptions!$F$6),(Assumptions!$F$6-Assumptions!$D$6)/3.29)*RANDBETWEEN(2,5)</f>
        <v>2734530.3402199703</v>
      </c>
      <c r="E831" s="12">
        <f ca="1">_xlfn.NORM.INV(RAND(),AVERAGE(Assumptions!$D$17,Assumptions!$F$17),(Assumptions!$F$17-Assumptions!$D$17)/3.29)*8</f>
        <v>930621.38357658393</v>
      </c>
      <c r="F831" s="15">
        <f ca="1">_xlfn.NORM.INV(RAND(),AVERAGE(Assumptions!$D$7,Assumptions!$F$7),(Assumptions!$F$7-Assumptions!$D$7)/3.29)*RANDBETWEEN(1,3)</f>
        <v>8092320.8691965155</v>
      </c>
      <c r="G831" s="3">
        <f ca="1">_xlfn.NORM.INV(RAND(),AVERAGE(Assumptions!$D$8,Assumptions!$F$8),(Assumptions!$F$8-Assumptions!$D$8)/3.29)*44</f>
        <v>1333088.8041023768</v>
      </c>
      <c r="H831" s="6">
        <f ca="1">_xlfn.NORM.INV(RAND(),AVERAGE(Assumptions!$D$9,Assumptions!$F$9),(Assumptions!$F$9-Assumptions!$D$9)/3.29)*21</f>
        <v>372559.51144449261</v>
      </c>
      <c r="I831" s="9">
        <f ca="1">_xlfn.NORM.INV(RAND(),AVERAGE(Assumptions!$D$10,Assumptions!$F$10),(Assumptions!$F$10-Assumptions!$D$10)/3.29)*21</f>
        <v>844891.35302957159</v>
      </c>
      <c r="J831" s="12">
        <f ca="1">NORMINV(RAND(),AVERAGE(Assumptions!$D$11,Assumptions!$F$11),(Assumptions!$F$11-Assumptions!$D$11)/3.29)*44</f>
        <v>2613698.5523126172</v>
      </c>
      <c r="K831" s="15">
        <f ca="1">_xlfn.NORM.INV(RAND(),AVERAGE(Assumptions!$D$12,Assumptions!$F$12),(Assumptions!$F$12-Assumptions!$D$12)/3.29)*44</f>
        <v>7818190.4372964408</v>
      </c>
      <c r="L831" s="3">
        <f ca="1">_xlfn.NORM.INV(RAND(),AVERAGE(Assumptions!$D$13,Assumptions!$F$13),(Assumptions!$F$13-Assumptions!$D$13)/3.29)*44</f>
        <v>13730583.829783319</v>
      </c>
      <c r="M831" s="6">
        <f ca="1">_xlfn.NORM.INV(RAND(),AVERAGE(Assumptions!$D$14,Assumptions!$F$14),(Assumptions!$F$14-Assumptions!$D$14)/3.29)*44</f>
        <v>5509078.6046191277</v>
      </c>
      <c r="N831" s="9">
        <f ca="1">_xlfn.NORM.INV(RAND(),AVERAGE(Assumptions!$D$16,Assumptions!$F$16),(Assumptions!$F$16-Assumptions!$D$16)/3.29)*44</f>
        <v>4877461.7021831675</v>
      </c>
      <c r="O831" s="12">
        <f ca="1">_xlfn.NORM.INV(RAND(),AVERAGE(Assumptions!$D$15,Assumptions!$F$15),(Assumptions!$F$15-Assumptions!$D$15)/3.29)*44</f>
        <v>101230217.36876997</v>
      </c>
      <c r="P831" s="15">
        <f>Assumptions!$D$18</f>
        <v>14641750.345627395</v>
      </c>
      <c r="Q831" s="3">
        <f t="shared" ca="1" si="24"/>
        <v>49194230.539732091</v>
      </c>
      <c r="R831" s="6">
        <f t="shared" ca="1" si="25"/>
        <v>63835980.885359488</v>
      </c>
    </row>
    <row r="832" spans="1:18">
      <c r="A832" s="20">
        <v>831</v>
      </c>
      <c r="B832" s="3">
        <f ca="1">_xlfn.NORM.INV(RAND(),AVERAGE(Assumptions!$D$4,Assumptions!$F$4),(Assumptions!$F$4-Assumptions!$D$4)/3.29)*44</f>
        <v>1250904.7909343224</v>
      </c>
      <c r="C832" s="6">
        <f ca="1">_xlfn.NORM.INV(RAND(),AVERAGE(Assumptions!$D$5,Assumptions!$F$5),(Assumptions!$F$5-Assumptions!$D$5)/3.29)*44</f>
        <v>1937205.0707960112</v>
      </c>
      <c r="D832" s="9">
        <f ca="1">_xlfn.NORM.INV(RAND(),AVERAGE(Assumptions!$D$6,Assumptions!$F$6),(Assumptions!$F$6-Assumptions!$D$6)/3.29)*RANDBETWEEN(2,5)</f>
        <v>4946656.9704237692</v>
      </c>
      <c r="E832" s="12">
        <f ca="1">_xlfn.NORM.INV(RAND(),AVERAGE(Assumptions!$D$17,Assumptions!$F$17),(Assumptions!$F$17-Assumptions!$D$17)/3.29)*8</f>
        <v>1110298.1621331882</v>
      </c>
      <c r="F832" s="15">
        <f ca="1">_xlfn.NORM.INV(RAND(),AVERAGE(Assumptions!$D$7,Assumptions!$F$7),(Assumptions!$F$7-Assumptions!$D$7)/3.29)*RANDBETWEEN(1,3)</f>
        <v>4205670.1167596197</v>
      </c>
      <c r="G832" s="3">
        <f ca="1">_xlfn.NORM.INV(RAND(),AVERAGE(Assumptions!$D$8,Assumptions!$F$8),(Assumptions!$F$8-Assumptions!$D$8)/3.29)*44</f>
        <v>1024719.9947915066</v>
      </c>
      <c r="H832" s="6">
        <f ca="1">_xlfn.NORM.INV(RAND(),AVERAGE(Assumptions!$D$9,Assumptions!$F$9),(Assumptions!$F$9-Assumptions!$D$9)/3.29)*21</f>
        <v>3703442.9538783752</v>
      </c>
      <c r="I832" s="9">
        <f ca="1">_xlfn.NORM.INV(RAND(),AVERAGE(Assumptions!$D$10,Assumptions!$F$10),(Assumptions!$F$10-Assumptions!$D$10)/3.29)*21</f>
        <v>997962.89855815587</v>
      </c>
      <c r="J832" s="12">
        <f ca="1">NORMINV(RAND(),AVERAGE(Assumptions!$D$11,Assumptions!$F$11),(Assumptions!$F$11-Assumptions!$D$11)/3.29)*44</f>
        <v>4435273.3611836191</v>
      </c>
      <c r="K832" s="15">
        <f ca="1">_xlfn.NORM.INV(RAND(),AVERAGE(Assumptions!$D$12,Assumptions!$F$12),(Assumptions!$F$12-Assumptions!$D$12)/3.29)*44</f>
        <v>10630438.964762554</v>
      </c>
      <c r="L832" s="3">
        <f ca="1">_xlfn.NORM.INV(RAND(),AVERAGE(Assumptions!$D$13,Assumptions!$F$13),(Assumptions!$F$13-Assumptions!$D$13)/3.29)*44</f>
        <v>7814611.2774171103</v>
      </c>
      <c r="M832" s="6">
        <f ca="1">_xlfn.NORM.INV(RAND(),AVERAGE(Assumptions!$D$14,Assumptions!$F$14),(Assumptions!$F$14-Assumptions!$D$14)/3.29)*44</f>
        <v>6928002.9881649427</v>
      </c>
      <c r="N832" s="9">
        <f ca="1">_xlfn.NORM.INV(RAND(),AVERAGE(Assumptions!$D$16,Assumptions!$F$16),(Assumptions!$F$16-Assumptions!$D$16)/3.29)*44</f>
        <v>5467914.9486687267</v>
      </c>
      <c r="O832" s="12">
        <f ca="1">_xlfn.NORM.INV(RAND(),AVERAGE(Assumptions!$D$15,Assumptions!$F$15),(Assumptions!$F$15-Assumptions!$D$15)/3.29)*44</f>
        <v>77312772.105658293</v>
      </c>
      <c r="P832" s="15">
        <f>Assumptions!$D$18</f>
        <v>14641750.345627395</v>
      </c>
      <c r="Q832" s="3">
        <f t="shared" ca="1" si="24"/>
        <v>22859669.607186399</v>
      </c>
      <c r="R832" s="6">
        <f t="shared" ca="1" si="25"/>
        <v>37501419.952813797</v>
      </c>
    </row>
    <row r="833" spans="1:18">
      <c r="A833" s="20">
        <v>832</v>
      </c>
      <c r="B833" s="3">
        <f ca="1">_xlfn.NORM.INV(RAND(),AVERAGE(Assumptions!$D$4,Assumptions!$F$4),(Assumptions!$F$4-Assumptions!$D$4)/3.29)*44</f>
        <v>1300760.2601054155</v>
      </c>
      <c r="C833" s="6">
        <f ca="1">_xlfn.NORM.INV(RAND(),AVERAGE(Assumptions!$D$5,Assumptions!$F$5),(Assumptions!$F$5-Assumptions!$D$5)/3.29)*44</f>
        <v>1820104.2999037991</v>
      </c>
      <c r="D833" s="9">
        <f ca="1">_xlfn.NORM.INV(RAND(),AVERAGE(Assumptions!$D$6,Assumptions!$F$6),(Assumptions!$F$6-Assumptions!$D$6)/3.29)*RANDBETWEEN(2,5)</f>
        <v>6428566.702333983</v>
      </c>
      <c r="E833" s="12">
        <f ca="1">_xlfn.NORM.INV(RAND(),AVERAGE(Assumptions!$D$17,Assumptions!$F$17),(Assumptions!$F$17-Assumptions!$D$17)/3.29)*8</f>
        <v>980232.7308447432</v>
      </c>
      <c r="F833" s="15">
        <f ca="1">_xlfn.NORM.INV(RAND(),AVERAGE(Assumptions!$D$7,Assumptions!$F$7),(Assumptions!$F$7-Assumptions!$D$7)/3.29)*RANDBETWEEN(1,3)</f>
        <v>6431788.2478561057</v>
      </c>
      <c r="G833" s="3">
        <f ca="1">_xlfn.NORM.INV(RAND(),AVERAGE(Assumptions!$D$8,Assumptions!$F$8),(Assumptions!$F$8-Assumptions!$D$8)/3.29)*44</f>
        <v>1037560.7579181361</v>
      </c>
      <c r="H833" s="6">
        <f ca="1">_xlfn.NORM.INV(RAND(),AVERAGE(Assumptions!$D$9,Assumptions!$F$9),(Assumptions!$F$9-Assumptions!$D$9)/3.29)*21</f>
        <v>1743291.2847813368</v>
      </c>
      <c r="I833" s="9">
        <f ca="1">_xlfn.NORM.INV(RAND(),AVERAGE(Assumptions!$D$10,Assumptions!$F$10),(Assumptions!$F$10-Assumptions!$D$10)/3.29)*21</f>
        <v>982432.05385253963</v>
      </c>
      <c r="J833" s="12">
        <f ca="1">NORMINV(RAND(),AVERAGE(Assumptions!$D$11,Assumptions!$F$11),(Assumptions!$F$11-Assumptions!$D$11)/3.29)*44</f>
        <v>5915646.1677419525</v>
      </c>
      <c r="K833" s="15">
        <f ca="1">_xlfn.NORM.INV(RAND(),AVERAGE(Assumptions!$D$12,Assumptions!$F$12),(Assumptions!$F$12-Assumptions!$D$12)/3.29)*44</f>
        <v>8664153.9115454163</v>
      </c>
      <c r="L833" s="3">
        <f ca="1">_xlfn.NORM.INV(RAND(),AVERAGE(Assumptions!$D$13,Assumptions!$F$13),(Assumptions!$F$13-Assumptions!$D$13)/3.29)*44</f>
        <v>19377859.241990004</v>
      </c>
      <c r="M833" s="6">
        <f ca="1">_xlfn.NORM.INV(RAND(),AVERAGE(Assumptions!$D$14,Assumptions!$F$14),(Assumptions!$F$14-Assumptions!$D$14)/3.29)*44</f>
        <v>5259562.2637448339</v>
      </c>
      <c r="N833" s="9">
        <f ca="1">_xlfn.NORM.INV(RAND(),AVERAGE(Assumptions!$D$16,Assumptions!$F$16),(Assumptions!$F$16-Assumptions!$D$16)/3.29)*44</f>
        <v>9606198.0942043085</v>
      </c>
      <c r="O833" s="12">
        <f ca="1">_xlfn.NORM.INV(RAND(),AVERAGE(Assumptions!$D$15,Assumptions!$F$15),(Assumptions!$F$15-Assumptions!$D$15)/3.29)*44</f>
        <v>159153334.91947198</v>
      </c>
      <c r="P833" s="15">
        <f>Assumptions!$D$18</f>
        <v>14641750.345627395</v>
      </c>
      <c r="Q833" s="3">
        <f t="shared" ca="1" si="24"/>
        <v>89605178.902649418</v>
      </c>
      <c r="R833" s="6">
        <f t="shared" ca="1" si="25"/>
        <v>104246929.24827681</v>
      </c>
    </row>
    <row r="834" spans="1:18">
      <c r="A834" s="20">
        <v>833</v>
      </c>
      <c r="B834" s="3">
        <f ca="1">_xlfn.NORM.INV(RAND(),AVERAGE(Assumptions!$D$4,Assumptions!$F$4),(Assumptions!$F$4-Assumptions!$D$4)/3.29)*44</f>
        <v>1203286.6162857169</v>
      </c>
      <c r="C834" s="6">
        <f ca="1">_xlfn.NORM.INV(RAND(),AVERAGE(Assumptions!$D$5,Assumptions!$F$5),(Assumptions!$F$5-Assumptions!$D$5)/3.29)*44</f>
        <v>1917084.8714284196</v>
      </c>
      <c r="D834" s="9">
        <f ca="1">_xlfn.NORM.INV(RAND(),AVERAGE(Assumptions!$D$6,Assumptions!$F$6),(Assumptions!$F$6-Assumptions!$D$6)/3.29)*RANDBETWEEN(2,5)</f>
        <v>9994171.6434355751</v>
      </c>
      <c r="E834" s="12">
        <f ca="1">_xlfn.NORM.INV(RAND(),AVERAGE(Assumptions!$D$17,Assumptions!$F$17),(Assumptions!$F$17-Assumptions!$D$17)/3.29)*8</f>
        <v>991919.67911836877</v>
      </c>
      <c r="F834" s="15">
        <f ca="1">_xlfn.NORM.INV(RAND(),AVERAGE(Assumptions!$D$7,Assumptions!$F$7),(Assumptions!$F$7-Assumptions!$D$7)/3.29)*RANDBETWEEN(1,3)</f>
        <v>3422612.9633634812</v>
      </c>
      <c r="G834" s="3">
        <f ca="1">_xlfn.NORM.INV(RAND(),AVERAGE(Assumptions!$D$8,Assumptions!$F$8),(Assumptions!$F$8-Assumptions!$D$8)/3.29)*44</f>
        <v>1094893.239774992</v>
      </c>
      <c r="H834" s="6">
        <f ca="1">_xlfn.NORM.INV(RAND(),AVERAGE(Assumptions!$D$9,Assumptions!$F$9),(Assumptions!$F$9-Assumptions!$D$9)/3.29)*21</f>
        <v>5190511.1857277481</v>
      </c>
      <c r="I834" s="9">
        <f ca="1">_xlfn.NORM.INV(RAND(),AVERAGE(Assumptions!$D$10,Assumptions!$F$10),(Assumptions!$F$10-Assumptions!$D$10)/3.29)*21</f>
        <v>649903.31987675803</v>
      </c>
      <c r="J834" s="12">
        <f ca="1">NORMINV(RAND(),AVERAGE(Assumptions!$D$11,Assumptions!$F$11),(Assumptions!$F$11-Assumptions!$D$11)/3.29)*44</f>
        <v>6089590.29137896</v>
      </c>
      <c r="K834" s="15">
        <f ca="1">_xlfn.NORM.INV(RAND(),AVERAGE(Assumptions!$D$12,Assumptions!$F$12),(Assumptions!$F$12-Assumptions!$D$12)/3.29)*44</f>
        <v>9348349.7029706649</v>
      </c>
      <c r="L834" s="3">
        <f ca="1">_xlfn.NORM.INV(RAND(),AVERAGE(Assumptions!$D$13,Assumptions!$F$13),(Assumptions!$F$13-Assumptions!$D$13)/3.29)*44</f>
        <v>23452710.999596983</v>
      </c>
      <c r="M834" s="6">
        <f ca="1">_xlfn.NORM.INV(RAND(),AVERAGE(Assumptions!$D$14,Assumptions!$F$14),(Assumptions!$F$14-Assumptions!$D$14)/3.29)*44</f>
        <v>6774306.5554655697</v>
      </c>
      <c r="N834" s="9">
        <f ca="1">_xlfn.NORM.INV(RAND(),AVERAGE(Assumptions!$D$16,Assumptions!$F$16),(Assumptions!$F$16-Assumptions!$D$16)/3.29)*44</f>
        <v>9029705.9362529609</v>
      </c>
      <c r="O834" s="12">
        <f ca="1">_xlfn.NORM.INV(RAND(),AVERAGE(Assumptions!$D$15,Assumptions!$F$15),(Assumptions!$F$15-Assumptions!$D$15)/3.29)*44</f>
        <v>81733939.856005877</v>
      </c>
      <c r="P834" s="15">
        <f>Assumptions!$D$18</f>
        <v>14641750.345627395</v>
      </c>
      <c r="Q834" s="3">
        <f t="shared" ca="1" si="24"/>
        <v>2574892.8513296843</v>
      </c>
      <c r="R834" s="6">
        <f t="shared" ca="1" si="25"/>
        <v>17216643.196957082</v>
      </c>
    </row>
    <row r="835" spans="1:18">
      <c r="A835" s="20">
        <v>834</v>
      </c>
      <c r="B835" s="3">
        <f ca="1">_xlfn.NORM.INV(RAND(),AVERAGE(Assumptions!$D$4,Assumptions!$F$4),(Assumptions!$F$4-Assumptions!$D$4)/3.29)*44</f>
        <v>1135933.7623903202</v>
      </c>
      <c r="C835" s="6">
        <f ca="1">_xlfn.NORM.INV(RAND(),AVERAGE(Assumptions!$D$5,Assumptions!$F$5),(Assumptions!$F$5-Assumptions!$D$5)/3.29)*44</f>
        <v>1772174.663659292</v>
      </c>
      <c r="D835" s="9">
        <f ca="1">_xlfn.NORM.INV(RAND(),AVERAGE(Assumptions!$D$6,Assumptions!$F$6),(Assumptions!$F$6-Assumptions!$D$6)/3.29)*RANDBETWEEN(2,5)</f>
        <v>5693561.3460315075</v>
      </c>
      <c r="E835" s="12">
        <f ca="1">_xlfn.NORM.INV(RAND(),AVERAGE(Assumptions!$D$17,Assumptions!$F$17),(Assumptions!$F$17-Assumptions!$D$17)/3.29)*8</f>
        <v>941527.54797298706</v>
      </c>
      <c r="F835" s="15">
        <f ca="1">_xlfn.NORM.INV(RAND(),AVERAGE(Assumptions!$D$7,Assumptions!$F$7),(Assumptions!$F$7-Assumptions!$D$7)/3.29)*RANDBETWEEN(1,3)</f>
        <v>1612802.4566833968</v>
      </c>
      <c r="G835" s="3">
        <f ca="1">_xlfn.NORM.INV(RAND(),AVERAGE(Assumptions!$D$8,Assumptions!$F$8),(Assumptions!$F$8-Assumptions!$D$8)/3.29)*44</f>
        <v>1528893.9049445621</v>
      </c>
      <c r="H835" s="6">
        <f ca="1">_xlfn.NORM.INV(RAND(),AVERAGE(Assumptions!$D$9,Assumptions!$F$9),(Assumptions!$F$9-Assumptions!$D$9)/3.29)*21</f>
        <v>1008533.5098164771</v>
      </c>
      <c r="I835" s="9">
        <f ca="1">_xlfn.NORM.INV(RAND(),AVERAGE(Assumptions!$D$10,Assumptions!$F$10),(Assumptions!$F$10-Assumptions!$D$10)/3.29)*21</f>
        <v>1168868.2387393212</v>
      </c>
      <c r="J835" s="12">
        <f ca="1">NORMINV(RAND(),AVERAGE(Assumptions!$D$11,Assumptions!$F$11),(Assumptions!$F$11-Assumptions!$D$11)/3.29)*44</f>
        <v>3869622.3789365473</v>
      </c>
      <c r="K835" s="15">
        <f ca="1">_xlfn.NORM.INV(RAND(),AVERAGE(Assumptions!$D$12,Assumptions!$F$12),(Assumptions!$F$12-Assumptions!$D$12)/3.29)*44</f>
        <v>8710722.2230391502</v>
      </c>
      <c r="L835" s="3">
        <f ca="1">_xlfn.NORM.INV(RAND(),AVERAGE(Assumptions!$D$13,Assumptions!$F$13),(Assumptions!$F$13-Assumptions!$D$13)/3.29)*44</f>
        <v>14040914.44406868</v>
      </c>
      <c r="M835" s="6">
        <f ca="1">_xlfn.NORM.INV(RAND(),AVERAGE(Assumptions!$D$14,Assumptions!$F$14),(Assumptions!$F$14-Assumptions!$D$14)/3.29)*44</f>
        <v>7722607.4150318578</v>
      </c>
      <c r="N835" s="9">
        <f ca="1">_xlfn.NORM.INV(RAND(),AVERAGE(Assumptions!$D$16,Assumptions!$F$16),(Assumptions!$F$16-Assumptions!$D$16)/3.29)*44</f>
        <v>6089298.118866615</v>
      </c>
      <c r="O835" s="12">
        <f ca="1">_xlfn.NORM.INV(RAND(),AVERAGE(Assumptions!$D$15,Assumptions!$F$15),(Assumptions!$F$15-Assumptions!$D$15)/3.29)*44</f>
        <v>64300733.679727174</v>
      </c>
      <c r="P835" s="15">
        <f>Assumptions!$D$18</f>
        <v>14641750.345627395</v>
      </c>
      <c r="Q835" s="3">
        <f t="shared" ref="Q835:Q898" ca="1" si="26">O835-(B835+C835+D835+F835+G835+H835+I835+J835+K835+L835+M835+N835+E835)</f>
        <v>9005273.6695464626</v>
      </c>
      <c r="R835" s="6">
        <f t="shared" ref="R835:R898" ca="1" si="27">Q835+P835</f>
        <v>23647024.01517386</v>
      </c>
    </row>
    <row r="836" spans="1:18">
      <c r="A836" s="20">
        <v>835</v>
      </c>
      <c r="B836" s="3">
        <f ca="1">_xlfn.NORM.INV(RAND(),AVERAGE(Assumptions!$D$4,Assumptions!$F$4),(Assumptions!$F$4-Assumptions!$D$4)/3.29)*44</f>
        <v>1175358.6834699607</v>
      </c>
      <c r="C836" s="6">
        <f ca="1">_xlfn.NORM.INV(RAND(),AVERAGE(Assumptions!$D$5,Assumptions!$F$5),(Assumptions!$F$5-Assumptions!$D$5)/3.29)*44</f>
        <v>1835312.204303046</v>
      </c>
      <c r="D836" s="9">
        <f ca="1">_xlfn.NORM.INV(RAND(),AVERAGE(Assumptions!$D$6,Assumptions!$F$6),(Assumptions!$F$6-Assumptions!$D$6)/3.29)*RANDBETWEEN(2,5)</f>
        <v>7236274.9917299114</v>
      </c>
      <c r="E836" s="12">
        <f ca="1">_xlfn.NORM.INV(RAND(),AVERAGE(Assumptions!$D$17,Assumptions!$F$17),(Assumptions!$F$17-Assumptions!$D$17)/3.29)*8</f>
        <v>933367.45711332641</v>
      </c>
      <c r="F836" s="15">
        <f ca="1">_xlfn.NORM.INV(RAND(),AVERAGE(Assumptions!$D$7,Assumptions!$F$7),(Assumptions!$F$7-Assumptions!$D$7)/3.29)*RANDBETWEEN(1,3)</f>
        <v>2693646.6802681861</v>
      </c>
      <c r="G836" s="3">
        <f ca="1">_xlfn.NORM.INV(RAND(),AVERAGE(Assumptions!$D$8,Assumptions!$F$8),(Assumptions!$F$8-Assumptions!$D$8)/3.29)*44</f>
        <v>1248789.5370934857</v>
      </c>
      <c r="H836" s="6">
        <f ca="1">_xlfn.NORM.INV(RAND(),AVERAGE(Assumptions!$D$9,Assumptions!$F$9),(Assumptions!$F$9-Assumptions!$D$9)/3.29)*21</f>
        <v>2511738.4263892332</v>
      </c>
      <c r="I836" s="9">
        <f ca="1">_xlfn.NORM.INV(RAND(),AVERAGE(Assumptions!$D$10,Assumptions!$F$10),(Assumptions!$F$10-Assumptions!$D$10)/3.29)*21</f>
        <v>1203863.2921964368</v>
      </c>
      <c r="J836" s="12">
        <f ca="1">NORMINV(RAND(),AVERAGE(Assumptions!$D$11,Assumptions!$F$11),(Assumptions!$F$11-Assumptions!$D$11)/3.29)*44</f>
        <v>3526546.0533235138</v>
      </c>
      <c r="K836" s="15">
        <f ca="1">_xlfn.NORM.INV(RAND(),AVERAGE(Assumptions!$D$12,Assumptions!$F$12),(Assumptions!$F$12-Assumptions!$D$12)/3.29)*44</f>
        <v>11189792.097992998</v>
      </c>
      <c r="L836" s="3">
        <f ca="1">_xlfn.NORM.INV(RAND(),AVERAGE(Assumptions!$D$13,Assumptions!$F$13),(Assumptions!$F$13-Assumptions!$D$13)/3.29)*44</f>
        <v>10977633.581866052</v>
      </c>
      <c r="M836" s="6">
        <f ca="1">_xlfn.NORM.INV(RAND(),AVERAGE(Assumptions!$D$14,Assumptions!$F$14),(Assumptions!$F$14-Assumptions!$D$14)/3.29)*44</f>
        <v>5221079.7474097619</v>
      </c>
      <c r="N836" s="9">
        <f ca="1">_xlfn.NORM.INV(RAND(),AVERAGE(Assumptions!$D$16,Assumptions!$F$16),(Assumptions!$F$16-Assumptions!$D$16)/3.29)*44</f>
        <v>9415360.7014952265</v>
      </c>
      <c r="O836" s="12">
        <f ca="1">_xlfn.NORM.INV(RAND(),AVERAGE(Assumptions!$D$15,Assumptions!$F$15),(Assumptions!$F$15-Assumptions!$D$15)/3.29)*44</f>
        <v>96564773.500251353</v>
      </c>
      <c r="P836" s="15">
        <f>Assumptions!$D$18</f>
        <v>14641750.345627395</v>
      </c>
      <c r="Q836" s="3">
        <f t="shared" ca="1" si="26"/>
        <v>37396010.045600206</v>
      </c>
      <c r="R836" s="6">
        <f t="shared" ca="1" si="27"/>
        <v>52037760.391227603</v>
      </c>
    </row>
    <row r="837" spans="1:18">
      <c r="A837" s="20">
        <v>836</v>
      </c>
      <c r="B837" s="3">
        <f ca="1">_xlfn.NORM.INV(RAND(),AVERAGE(Assumptions!$D$4,Assumptions!$F$4),(Assumptions!$F$4-Assumptions!$D$4)/3.29)*44</f>
        <v>1219542.5831701383</v>
      </c>
      <c r="C837" s="6">
        <f ca="1">_xlfn.NORM.INV(RAND(),AVERAGE(Assumptions!$D$5,Assumptions!$F$5),(Assumptions!$F$5-Assumptions!$D$5)/3.29)*44</f>
        <v>1828793.0768639713</v>
      </c>
      <c r="D837" s="9">
        <f ca="1">_xlfn.NORM.INV(RAND(),AVERAGE(Assumptions!$D$6,Assumptions!$F$6),(Assumptions!$F$6-Assumptions!$D$6)/3.29)*RANDBETWEEN(2,5)</f>
        <v>6428502.5661455756</v>
      </c>
      <c r="E837" s="12">
        <f ca="1">_xlfn.NORM.INV(RAND(),AVERAGE(Assumptions!$D$17,Assumptions!$F$17),(Assumptions!$F$17-Assumptions!$D$17)/3.29)*8</f>
        <v>914197.02030280395</v>
      </c>
      <c r="F837" s="15">
        <f ca="1">_xlfn.NORM.INV(RAND(),AVERAGE(Assumptions!$D$7,Assumptions!$F$7),(Assumptions!$F$7-Assumptions!$D$7)/3.29)*RANDBETWEEN(1,3)</f>
        <v>2522212.8007122651</v>
      </c>
      <c r="G837" s="3">
        <f ca="1">_xlfn.NORM.INV(RAND(),AVERAGE(Assumptions!$D$8,Assumptions!$F$8),(Assumptions!$F$8-Assumptions!$D$8)/3.29)*44</f>
        <v>883486.14946666162</v>
      </c>
      <c r="H837" s="6">
        <f ca="1">_xlfn.NORM.INV(RAND(),AVERAGE(Assumptions!$D$9,Assumptions!$F$9),(Assumptions!$F$9-Assumptions!$D$9)/3.29)*21</f>
        <v>5358873.3036495959</v>
      </c>
      <c r="I837" s="9">
        <f ca="1">_xlfn.NORM.INV(RAND(),AVERAGE(Assumptions!$D$10,Assumptions!$F$10),(Assumptions!$F$10-Assumptions!$D$10)/3.29)*21</f>
        <v>867074.94164551026</v>
      </c>
      <c r="J837" s="12">
        <f ca="1">NORMINV(RAND(),AVERAGE(Assumptions!$D$11,Assumptions!$F$11),(Assumptions!$F$11-Assumptions!$D$11)/3.29)*44</f>
        <v>3355597.9688419783</v>
      </c>
      <c r="K837" s="15">
        <f ca="1">_xlfn.NORM.INV(RAND(),AVERAGE(Assumptions!$D$12,Assumptions!$F$12),(Assumptions!$F$12-Assumptions!$D$12)/3.29)*44</f>
        <v>8785706.4611497335</v>
      </c>
      <c r="L837" s="3">
        <f ca="1">_xlfn.NORM.INV(RAND(),AVERAGE(Assumptions!$D$13,Assumptions!$F$13),(Assumptions!$F$13-Assumptions!$D$13)/3.29)*44</f>
        <v>16668057.160406915</v>
      </c>
      <c r="M837" s="6">
        <f ca="1">_xlfn.NORM.INV(RAND(),AVERAGE(Assumptions!$D$14,Assumptions!$F$14),(Assumptions!$F$14-Assumptions!$D$14)/3.29)*44</f>
        <v>7359794.1466800859</v>
      </c>
      <c r="N837" s="9">
        <f ca="1">_xlfn.NORM.INV(RAND(),AVERAGE(Assumptions!$D$16,Assumptions!$F$16),(Assumptions!$F$16-Assumptions!$D$16)/3.29)*44</f>
        <v>15692458.860214245</v>
      </c>
      <c r="O837" s="12">
        <f ca="1">_xlfn.NORM.INV(RAND(),AVERAGE(Assumptions!$D$15,Assumptions!$F$15),(Assumptions!$F$15-Assumptions!$D$15)/3.29)*44</f>
        <v>256427793.82039943</v>
      </c>
      <c r="P837" s="15">
        <f>Assumptions!$D$18</f>
        <v>14641750.345627395</v>
      </c>
      <c r="Q837" s="3">
        <f t="shared" ca="1" si="26"/>
        <v>184543496.78114995</v>
      </c>
      <c r="R837" s="6">
        <f t="shared" ca="1" si="27"/>
        <v>199185247.12677735</v>
      </c>
    </row>
    <row r="838" spans="1:18">
      <c r="A838" s="20">
        <v>837</v>
      </c>
      <c r="B838" s="3">
        <f ca="1">_xlfn.NORM.INV(RAND(),AVERAGE(Assumptions!$D$4,Assumptions!$F$4),(Assumptions!$F$4-Assumptions!$D$4)/3.29)*44</f>
        <v>1202278.3605555261</v>
      </c>
      <c r="C838" s="6">
        <f ca="1">_xlfn.NORM.INV(RAND(),AVERAGE(Assumptions!$D$5,Assumptions!$F$5),(Assumptions!$F$5-Assumptions!$D$5)/3.29)*44</f>
        <v>1852101.6574268956</v>
      </c>
      <c r="D838" s="9">
        <f ca="1">_xlfn.NORM.INV(RAND(),AVERAGE(Assumptions!$D$6,Assumptions!$F$6),(Assumptions!$F$6-Assumptions!$D$6)/3.29)*RANDBETWEEN(2,5)</f>
        <v>5071978.3742781505</v>
      </c>
      <c r="E838" s="12">
        <f ca="1">_xlfn.NORM.INV(RAND(),AVERAGE(Assumptions!$D$17,Assumptions!$F$17),(Assumptions!$F$17-Assumptions!$D$17)/3.29)*8</f>
        <v>882751.04502328113</v>
      </c>
      <c r="F838" s="15">
        <f ca="1">_xlfn.NORM.INV(RAND(),AVERAGE(Assumptions!$D$7,Assumptions!$F$7),(Assumptions!$F$7-Assumptions!$D$7)/3.29)*RANDBETWEEN(1,3)</f>
        <v>9182633.5243578814</v>
      </c>
      <c r="G838" s="3">
        <f ca="1">_xlfn.NORM.INV(RAND(),AVERAGE(Assumptions!$D$8,Assumptions!$F$8),(Assumptions!$F$8-Assumptions!$D$8)/3.29)*44</f>
        <v>1285988.1730596616</v>
      </c>
      <c r="H838" s="6">
        <f ca="1">_xlfn.NORM.INV(RAND(),AVERAGE(Assumptions!$D$9,Assumptions!$F$9),(Assumptions!$F$9-Assumptions!$D$9)/3.29)*21</f>
        <v>6656850.0541665992</v>
      </c>
      <c r="I838" s="9">
        <f ca="1">_xlfn.NORM.INV(RAND(),AVERAGE(Assumptions!$D$10,Assumptions!$F$10),(Assumptions!$F$10-Assumptions!$D$10)/3.29)*21</f>
        <v>685752.31762844627</v>
      </c>
      <c r="J838" s="12">
        <f ca="1">NORMINV(RAND(),AVERAGE(Assumptions!$D$11,Assumptions!$F$11),(Assumptions!$F$11-Assumptions!$D$11)/3.29)*44</f>
        <v>4148401.743753118</v>
      </c>
      <c r="K838" s="15">
        <f ca="1">_xlfn.NORM.INV(RAND(),AVERAGE(Assumptions!$D$12,Assumptions!$F$12),(Assumptions!$F$12-Assumptions!$D$12)/3.29)*44</f>
        <v>10376789.363525704</v>
      </c>
      <c r="L838" s="3">
        <f ca="1">_xlfn.NORM.INV(RAND(),AVERAGE(Assumptions!$D$13,Assumptions!$F$13),(Assumptions!$F$13-Assumptions!$D$13)/3.29)*44</f>
        <v>11493255.834432889</v>
      </c>
      <c r="M838" s="6">
        <f ca="1">_xlfn.NORM.INV(RAND(),AVERAGE(Assumptions!$D$14,Assumptions!$F$14),(Assumptions!$F$14-Assumptions!$D$14)/3.29)*44</f>
        <v>6988906.0552361002</v>
      </c>
      <c r="N838" s="9">
        <f ca="1">_xlfn.NORM.INV(RAND(),AVERAGE(Assumptions!$D$16,Assumptions!$F$16),(Assumptions!$F$16-Assumptions!$D$16)/3.29)*44</f>
        <v>17782934.721604388</v>
      </c>
      <c r="O838" s="12">
        <f ca="1">_xlfn.NORM.INV(RAND(),AVERAGE(Assumptions!$D$15,Assumptions!$F$15),(Assumptions!$F$15-Assumptions!$D$15)/3.29)*44</f>
        <v>135411590.82624072</v>
      </c>
      <c r="P838" s="15">
        <f>Assumptions!$D$18</f>
        <v>14641750.345627395</v>
      </c>
      <c r="Q838" s="3">
        <f t="shared" ca="1" si="26"/>
        <v>57800969.601192087</v>
      </c>
      <c r="R838" s="6">
        <f t="shared" ca="1" si="27"/>
        <v>72442719.946819484</v>
      </c>
    </row>
    <row r="839" spans="1:18">
      <c r="A839" s="20">
        <v>838</v>
      </c>
      <c r="B839" s="3">
        <f ca="1">_xlfn.NORM.INV(RAND(),AVERAGE(Assumptions!$D$4,Assumptions!$F$4),(Assumptions!$F$4-Assumptions!$D$4)/3.29)*44</f>
        <v>1152909.6652682342</v>
      </c>
      <c r="C839" s="6">
        <f ca="1">_xlfn.NORM.INV(RAND(),AVERAGE(Assumptions!$D$5,Assumptions!$F$5),(Assumptions!$F$5-Assumptions!$D$5)/3.29)*44</f>
        <v>1646208.5480436408</v>
      </c>
      <c r="D839" s="9">
        <f ca="1">_xlfn.NORM.INV(RAND(),AVERAGE(Assumptions!$D$6,Assumptions!$F$6),(Assumptions!$F$6-Assumptions!$D$6)/3.29)*RANDBETWEEN(2,5)</f>
        <v>6133522.6765226154</v>
      </c>
      <c r="E839" s="12">
        <f ca="1">_xlfn.NORM.INV(RAND(),AVERAGE(Assumptions!$D$17,Assumptions!$F$17),(Assumptions!$F$17-Assumptions!$D$17)/3.29)*8</f>
        <v>1003380.562273302</v>
      </c>
      <c r="F839" s="15">
        <f ca="1">_xlfn.NORM.INV(RAND(),AVERAGE(Assumptions!$D$7,Assumptions!$F$7),(Assumptions!$F$7-Assumptions!$D$7)/3.29)*RANDBETWEEN(1,3)</f>
        <v>4787169.7780271266</v>
      </c>
      <c r="G839" s="3">
        <f ca="1">_xlfn.NORM.INV(RAND(),AVERAGE(Assumptions!$D$8,Assumptions!$F$8),(Assumptions!$F$8-Assumptions!$D$8)/3.29)*44</f>
        <v>833508.97815192048</v>
      </c>
      <c r="H839" s="6">
        <f ca="1">_xlfn.NORM.INV(RAND(),AVERAGE(Assumptions!$D$9,Assumptions!$F$9),(Assumptions!$F$9-Assumptions!$D$9)/3.29)*21</f>
        <v>2404342.7902611969</v>
      </c>
      <c r="I839" s="9">
        <f ca="1">_xlfn.NORM.INV(RAND(),AVERAGE(Assumptions!$D$10,Assumptions!$F$10),(Assumptions!$F$10-Assumptions!$D$10)/3.29)*21</f>
        <v>558594.65259680641</v>
      </c>
      <c r="J839" s="12">
        <f ca="1">NORMINV(RAND(),AVERAGE(Assumptions!$D$11,Assumptions!$F$11),(Assumptions!$F$11-Assumptions!$D$11)/3.29)*44</f>
        <v>2905734.6824653223</v>
      </c>
      <c r="K839" s="15">
        <f ca="1">_xlfn.NORM.INV(RAND(),AVERAGE(Assumptions!$D$12,Assumptions!$F$12),(Assumptions!$F$12-Assumptions!$D$12)/3.29)*44</f>
        <v>8078570.2172597777</v>
      </c>
      <c r="L839" s="3">
        <f ca="1">_xlfn.NORM.INV(RAND(),AVERAGE(Assumptions!$D$13,Assumptions!$F$13),(Assumptions!$F$13-Assumptions!$D$13)/3.29)*44</f>
        <v>9433109.7973250486</v>
      </c>
      <c r="M839" s="6">
        <f ca="1">_xlfn.NORM.INV(RAND(),AVERAGE(Assumptions!$D$14,Assumptions!$F$14),(Assumptions!$F$14-Assumptions!$D$14)/3.29)*44</f>
        <v>7500906.763336922</v>
      </c>
      <c r="N839" s="9">
        <f ca="1">_xlfn.NORM.INV(RAND(),AVERAGE(Assumptions!$D$16,Assumptions!$F$16),(Assumptions!$F$16-Assumptions!$D$16)/3.29)*44</f>
        <v>4826143.1277870331</v>
      </c>
      <c r="O839" s="12">
        <f ca="1">_xlfn.NORM.INV(RAND(),AVERAGE(Assumptions!$D$15,Assumptions!$F$15),(Assumptions!$F$15-Assumptions!$D$15)/3.29)*44</f>
        <v>131612486.10901667</v>
      </c>
      <c r="P839" s="15">
        <f>Assumptions!$D$18</f>
        <v>14641750.345627395</v>
      </c>
      <c r="Q839" s="3">
        <f t="shared" ca="1" si="26"/>
        <v>80348383.86969772</v>
      </c>
      <c r="R839" s="6">
        <f t="shared" ca="1" si="27"/>
        <v>94990134.215325117</v>
      </c>
    </row>
    <row r="840" spans="1:18">
      <c r="A840" s="20">
        <v>839</v>
      </c>
      <c r="B840" s="3">
        <f ca="1">_xlfn.NORM.INV(RAND(),AVERAGE(Assumptions!$D$4,Assumptions!$F$4),(Assumptions!$F$4-Assumptions!$D$4)/3.29)*44</f>
        <v>1149283.4336589349</v>
      </c>
      <c r="C840" s="6">
        <f ca="1">_xlfn.NORM.INV(RAND(),AVERAGE(Assumptions!$D$5,Assumptions!$F$5),(Assumptions!$F$5-Assumptions!$D$5)/3.29)*44</f>
        <v>1692025.4493261082</v>
      </c>
      <c r="D840" s="9">
        <f ca="1">_xlfn.NORM.INV(RAND(),AVERAGE(Assumptions!$D$6,Assumptions!$F$6),(Assumptions!$F$6-Assumptions!$D$6)/3.29)*RANDBETWEEN(2,5)</f>
        <v>3987597.9362500953</v>
      </c>
      <c r="E840" s="12">
        <f ca="1">_xlfn.NORM.INV(RAND(),AVERAGE(Assumptions!$D$17,Assumptions!$F$17),(Assumptions!$F$17-Assumptions!$D$17)/3.29)*8</f>
        <v>958550.89581216581</v>
      </c>
      <c r="F840" s="15">
        <f ca="1">_xlfn.NORM.INV(RAND(),AVERAGE(Assumptions!$D$7,Assumptions!$F$7),(Assumptions!$F$7-Assumptions!$D$7)/3.29)*RANDBETWEEN(1,3)</f>
        <v>2733270.812120961</v>
      </c>
      <c r="G840" s="3">
        <f ca="1">_xlfn.NORM.INV(RAND(),AVERAGE(Assumptions!$D$8,Assumptions!$F$8),(Assumptions!$F$8-Assumptions!$D$8)/3.29)*44</f>
        <v>1007041.3255918076</v>
      </c>
      <c r="H840" s="6">
        <f ca="1">_xlfn.NORM.INV(RAND(),AVERAGE(Assumptions!$D$9,Assumptions!$F$9),(Assumptions!$F$9-Assumptions!$D$9)/3.29)*21</f>
        <v>5675181.9519728282</v>
      </c>
      <c r="I840" s="9">
        <f ca="1">_xlfn.NORM.INV(RAND(),AVERAGE(Assumptions!$D$10,Assumptions!$F$10),(Assumptions!$F$10-Assumptions!$D$10)/3.29)*21</f>
        <v>396788.71486465726</v>
      </c>
      <c r="J840" s="12">
        <f ca="1">NORMINV(RAND(),AVERAGE(Assumptions!$D$11,Assumptions!$F$11),(Assumptions!$F$11-Assumptions!$D$11)/3.29)*44</f>
        <v>3515235.6422727751</v>
      </c>
      <c r="K840" s="15">
        <f ca="1">_xlfn.NORM.INV(RAND(),AVERAGE(Assumptions!$D$12,Assumptions!$F$12),(Assumptions!$F$12-Assumptions!$D$12)/3.29)*44</f>
        <v>6888959.026687894</v>
      </c>
      <c r="L840" s="3">
        <f ca="1">_xlfn.NORM.INV(RAND(),AVERAGE(Assumptions!$D$13,Assumptions!$F$13),(Assumptions!$F$13-Assumptions!$D$13)/3.29)*44</f>
        <v>13975691.765927607</v>
      </c>
      <c r="M840" s="6">
        <f ca="1">_xlfn.NORM.INV(RAND(),AVERAGE(Assumptions!$D$14,Assumptions!$F$14),(Assumptions!$F$14-Assumptions!$D$14)/3.29)*44</f>
        <v>5908258.0396826873</v>
      </c>
      <c r="N840" s="9">
        <f ca="1">_xlfn.NORM.INV(RAND(),AVERAGE(Assumptions!$D$16,Assumptions!$F$16),(Assumptions!$F$16-Assumptions!$D$16)/3.29)*44</f>
        <v>8936351.8850017283</v>
      </c>
      <c r="O840" s="12">
        <f ca="1">_xlfn.NORM.INV(RAND(),AVERAGE(Assumptions!$D$15,Assumptions!$F$15),(Assumptions!$F$15-Assumptions!$D$15)/3.29)*44</f>
        <v>39039050.474500604</v>
      </c>
      <c r="P840" s="15">
        <f>Assumptions!$D$18</f>
        <v>14641750.345627395</v>
      </c>
      <c r="Q840" s="3">
        <f t="shared" ca="1" si="26"/>
        <v>-17785186.404669642</v>
      </c>
      <c r="R840" s="6">
        <f t="shared" ca="1" si="27"/>
        <v>-3143436.059042247</v>
      </c>
    </row>
    <row r="841" spans="1:18">
      <c r="A841" s="20">
        <v>840</v>
      </c>
      <c r="B841" s="3">
        <f ca="1">_xlfn.NORM.INV(RAND(),AVERAGE(Assumptions!$D$4,Assumptions!$F$4),(Assumptions!$F$4-Assumptions!$D$4)/3.29)*44</f>
        <v>1190815.6471144671</v>
      </c>
      <c r="C841" s="6">
        <f ca="1">_xlfn.NORM.INV(RAND(),AVERAGE(Assumptions!$D$5,Assumptions!$F$5),(Assumptions!$F$5-Assumptions!$D$5)/3.29)*44</f>
        <v>2280670.1325209253</v>
      </c>
      <c r="D841" s="9">
        <f ca="1">_xlfn.NORM.INV(RAND(),AVERAGE(Assumptions!$D$6,Assumptions!$F$6),(Assumptions!$F$6-Assumptions!$D$6)/3.29)*RANDBETWEEN(2,5)</f>
        <v>3649356.0145832021</v>
      </c>
      <c r="E841" s="12">
        <f ca="1">_xlfn.NORM.INV(RAND(),AVERAGE(Assumptions!$D$17,Assumptions!$F$17),(Assumptions!$F$17-Assumptions!$D$17)/3.29)*8</f>
        <v>1110507.6710474552</v>
      </c>
      <c r="F841" s="15">
        <f ca="1">_xlfn.NORM.INV(RAND(),AVERAGE(Assumptions!$D$7,Assumptions!$F$7),(Assumptions!$F$7-Assumptions!$D$7)/3.29)*RANDBETWEEN(1,3)</f>
        <v>2846394.2451348193</v>
      </c>
      <c r="G841" s="3">
        <f ca="1">_xlfn.NORM.INV(RAND(),AVERAGE(Assumptions!$D$8,Assumptions!$F$8),(Assumptions!$F$8-Assumptions!$D$8)/3.29)*44</f>
        <v>1304176.0659137918</v>
      </c>
      <c r="H841" s="6">
        <f ca="1">_xlfn.NORM.INV(RAND(),AVERAGE(Assumptions!$D$9,Assumptions!$F$9),(Assumptions!$F$9-Assumptions!$D$9)/3.29)*21</f>
        <v>4488867.6481684912</v>
      </c>
      <c r="I841" s="9">
        <f ca="1">_xlfn.NORM.INV(RAND(),AVERAGE(Assumptions!$D$10,Assumptions!$F$10),(Assumptions!$F$10-Assumptions!$D$10)/3.29)*21</f>
        <v>821746.50461794378</v>
      </c>
      <c r="J841" s="12">
        <f ca="1">NORMINV(RAND(),AVERAGE(Assumptions!$D$11,Assumptions!$F$11),(Assumptions!$F$11-Assumptions!$D$11)/3.29)*44</f>
        <v>4668036.9720173981</v>
      </c>
      <c r="K841" s="15">
        <f ca="1">_xlfn.NORM.INV(RAND(),AVERAGE(Assumptions!$D$12,Assumptions!$F$12),(Assumptions!$F$12-Assumptions!$D$12)/3.29)*44</f>
        <v>9910141.5648614466</v>
      </c>
      <c r="L841" s="3">
        <f ca="1">_xlfn.NORM.INV(RAND(),AVERAGE(Assumptions!$D$13,Assumptions!$F$13),(Assumptions!$F$13-Assumptions!$D$13)/3.29)*44</f>
        <v>17271008.707181402</v>
      </c>
      <c r="M841" s="6">
        <f ca="1">_xlfn.NORM.INV(RAND(),AVERAGE(Assumptions!$D$14,Assumptions!$F$14),(Assumptions!$F$14-Assumptions!$D$14)/3.29)*44</f>
        <v>6055522.8981214836</v>
      </c>
      <c r="N841" s="9">
        <f ca="1">_xlfn.NORM.INV(RAND(),AVERAGE(Assumptions!$D$16,Assumptions!$F$16),(Assumptions!$F$16-Assumptions!$D$16)/3.29)*44</f>
        <v>10121672.008290974</v>
      </c>
      <c r="O841" s="12">
        <f ca="1">_xlfn.NORM.INV(RAND(),AVERAGE(Assumptions!$D$15,Assumptions!$F$15),(Assumptions!$F$15-Assumptions!$D$15)/3.29)*44</f>
        <v>76463078.268136725</v>
      </c>
      <c r="P841" s="15">
        <f>Assumptions!$D$18</f>
        <v>14641750.345627395</v>
      </c>
      <c r="Q841" s="3">
        <f t="shared" ca="1" si="26"/>
        <v>10744162.188562922</v>
      </c>
      <c r="R841" s="6">
        <f t="shared" ca="1" si="27"/>
        <v>25385912.534190319</v>
      </c>
    </row>
    <row r="842" spans="1:18">
      <c r="A842" s="20">
        <v>841</v>
      </c>
      <c r="B842" s="3">
        <f ca="1">_xlfn.NORM.INV(RAND(),AVERAGE(Assumptions!$D$4,Assumptions!$F$4),(Assumptions!$F$4-Assumptions!$D$4)/3.29)*44</f>
        <v>1170686.5196365232</v>
      </c>
      <c r="C842" s="6">
        <f ca="1">_xlfn.NORM.INV(RAND(),AVERAGE(Assumptions!$D$5,Assumptions!$F$5),(Assumptions!$F$5-Assumptions!$D$5)/3.29)*44</f>
        <v>1686899.752163725</v>
      </c>
      <c r="D842" s="9">
        <f ca="1">_xlfn.NORM.INV(RAND(),AVERAGE(Assumptions!$D$6,Assumptions!$F$6),(Assumptions!$F$6-Assumptions!$D$6)/3.29)*RANDBETWEEN(2,5)</f>
        <v>5584496.5673944876</v>
      </c>
      <c r="E842" s="12">
        <f ca="1">_xlfn.NORM.INV(RAND(),AVERAGE(Assumptions!$D$17,Assumptions!$F$17),(Assumptions!$F$17-Assumptions!$D$17)/3.29)*8</f>
        <v>1110651.206929425</v>
      </c>
      <c r="F842" s="15">
        <f ca="1">_xlfn.NORM.INV(RAND(),AVERAGE(Assumptions!$D$7,Assumptions!$F$7),(Assumptions!$F$7-Assumptions!$D$7)/3.29)*RANDBETWEEN(1,3)</f>
        <v>8075832.2457959298</v>
      </c>
      <c r="G842" s="3">
        <f ca="1">_xlfn.NORM.INV(RAND(),AVERAGE(Assumptions!$D$8,Assumptions!$F$8),(Assumptions!$F$8-Assumptions!$D$8)/3.29)*44</f>
        <v>1072442.1434849659</v>
      </c>
      <c r="H842" s="6">
        <f ca="1">_xlfn.NORM.INV(RAND(),AVERAGE(Assumptions!$D$9,Assumptions!$F$9),(Assumptions!$F$9-Assumptions!$D$9)/3.29)*21</f>
        <v>4623190.5093616797</v>
      </c>
      <c r="I842" s="9">
        <f ca="1">_xlfn.NORM.INV(RAND(),AVERAGE(Assumptions!$D$10,Assumptions!$F$10),(Assumptions!$F$10-Assumptions!$D$10)/3.29)*21</f>
        <v>504003.02294664463</v>
      </c>
      <c r="J842" s="12">
        <f ca="1">NORMINV(RAND(),AVERAGE(Assumptions!$D$11,Assumptions!$F$11),(Assumptions!$F$11-Assumptions!$D$11)/3.29)*44</f>
        <v>3278743.6386394538</v>
      </c>
      <c r="K842" s="15">
        <f ca="1">_xlfn.NORM.INV(RAND(),AVERAGE(Assumptions!$D$12,Assumptions!$F$12),(Assumptions!$F$12-Assumptions!$D$12)/3.29)*44</f>
        <v>9519054.8937366381</v>
      </c>
      <c r="L842" s="3">
        <f ca="1">_xlfn.NORM.INV(RAND(),AVERAGE(Assumptions!$D$13,Assumptions!$F$13),(Assumptions!$F$13-Assumptions!$D$13)/3.29)*44</f>
        <v>7239249.3294143816</v>
      </c>
      <c r="M842" s="6">
        <f ca="1">_xlfn.NORM.INV(RAND(),AVERAGE(Assumptions!$D$14,Assumptions!$F$14),(Assumptions!$F$14-Assumptions!$D$14)/3.29)*44</f>
        <v>6289235.1349692745</v>
      </c>
      <c r="N842" s="9">
        <f ca="1">_xlfn.NORM.INV(RAND(),AVERAGE(Assumptions!$D$16,Assumptions!$F$16),(Assumptions!$F$16-Assumptions!$D$16)/3.29)*44</f>
        <v>1579368.8178064527</v>
      </c>
      <c r="O842" s="12">
        <f ca="1">_xlfn.NORM.INV(RAND(),AVERAGE(Assumptions!$D$15,Assumptions!$F$15),(Assumptions!$F$15-Assumptions!$D$15)/3.29)*44</f>
        <v>95881958.134842515</v>
      </c>
      <c r="P842" s="15">
        <f>Assumptions!$D$18</f>
        <v>14641750.345627395</v>
      </c>
      <c r="Q842" s="3">
        <f t="shared" ca="1" si="26"/>
        <v>44148104.352562934</v>
      </c>
      <c r="R842" s="6">
        <f t="shared" ca="1" si="27"/>
        <v>58789854.698190331</v>
      </c>
    </row>
    <row r="843" spans="1:18">
      <c r="A843" s="20">
        <v>842</v>
      </c>
      <c r="B843" s="3">
        <f ca="1">_xlfn.NORM.INV(RAND(),AVERAGE(Assumptions!$D$4,Assumptions!$F$4),(Assumptions!$F$4-Assumptions!$D$4)/3.29)*44</f>
        <v>1334579.3340185736</v>
      </c>
      <c r="C843" s="6">
        <f ca="1">_xlfn.NORM.INV(RAND(),AVERAGE(Assumptions!$D$5,Assumptions!$F$5),(Assumptions!$F$5-Assumptions!$D$5)/3.29)*44</f>
        <v>1919289.3666569816</v>
      </c>
      <c r="D843" s="9">
        <f ca="1">_xlfn.NORM.INV(RAND(),AVERAGE(Assumptions!$D$6,Assumptions!$F$6),(Assumptions!$F$6-Assumptions!$D$6)/3.29)*RANDBETWEEN(2,5)</f>
        <v>2710251.998612674</v>
      </c>
      <c r="E843" s="12">
        <f ca="1">_xlfn.NORM.INV(RAND(),AVERAGE(Assumptions!$D$17,Assumptions!$F$17),(Assumptions!$F$17-Assumptions!$D$17)/3.29)*8</f>
        <v>909979.76635948999</v>
      </c>
      <c r="F843" s="15">
        <f ca="1">_xlfn.NORM.INV(RAND(),AVERAGE(Assumptions!$D$7,Assumptions!$F$7),(Assumptions!$F$7-Assumptions!$D$7)/3.29)*RANDBETWEEN(1,3)</f>
        <v>6484915.8282736326</v>
      </c>
      <c r="G843" s="3">
        <f ca="1">_xlfn.NORM.INV(RAND(),AVERAGE(Assumptions!$D$8,Assumptions!$F$8),(Assumptions!$F$8-Assumptions!$D$8)/3.29)*44</f>
        <v>975112.9208592067</v>
      </c>
      <c r="H843" s="6">
        <f ca="1">_xlfn.NORM.INV(RAND(),AVERAGE(Assumptions!$D$9,Assumptions!$F$9),(Assumptions!$F$9-Assumptions!$D$9)/3.29)*21</f>
        <v>3018756.0825006021</v>
      </c>
      <c r="I843" s="9">
        <f ca="1">_xlfn.NORM.INV(RAND(),AVERAGE(Assumptions!$D$10,Assumptions!$F$10),(Assumptions!$F$10-Assumptions!$D$10)/3.29)*21</f>
        <v>654807.48858604138</v>
      </c>
      <c r="J843" s="12">
        <f ca="1">NORMINV(RAND(),AVERAGE(Assumptions!$D$11,Assumptions!$F$11),(Assumptions!$F$11-Assumptions!$D$11)/3.29)*44</f>
        <v>3890274.6842988255</v>
      </c>
      <c r="K843" s="15">
        <f ca="1">_xlfn.NORM.INV(RAND(),AVERAGE(Assumptions!$D$12,Assumptions!$F$12),(Assumptions!$F$12-Assumptions!$D$12)/3.29)*44</f>
        <v>7315851.7832790595</v>
      </c>
      <c r="L843" s="3">
        <f ca="1">_xlfn.NORM.INV(RAND(),AVERAGE(Assumptions!$D$13,Assumptions!$F$13),(Assumptions!$F$13-Assumptions!$D$13)/3.29)*44</f>
        <v>19070686.198265195</v>
      </c>
      <c r="M843" s="6">
        <f ca="1">_xlfn.NORM.INV(RAND(),AVERAGE(Assumptions!$D$14,Assumptions!$F$14),(Assumptions!$F$14-Assumptions!$D$14)/3.29)*44</f>
        <v>7212836.9960434791</v>
      </c>
      <c r="N843" s="9">
        <f ca="1">_xlfn.NORM.INV(RAND(),AVERAGE(Assumptions!$D$16,Assumptions!$F$16),(Assumptions!$F$16-Assumptions!$D$16)/3.29)*44</f>
        <v>7443343.3115137517</v>
      </c>
      <c r="O843" s="12">
        <f ca="1">_xlfn.NORM.INV(RAND(),AVERAGE(Assumptions!$D$15,Assumptions!$F$15),(Assumptions!$F$15-Assumptions!$D$15)/3.29)*44</f>
        <v>103948563.56660771</v>
      </c>
      <c r="P843" s="15">
        <f>Assumptions!$D$18</f>
        <v>14641750.345627395</v>
      </c>
      <c r="Q843" s="3">
        <f t="shared" ca="1" si="26"/>
        <v>41007877.807340197</v>
      </c>
      <c r="R843" s="6">
        <f t="shared" ca="1" si="27"/>
        <v>55649628.152967595</v>
      </c>
    </row>
    <row r="844" spans="1:18">
      <c r="A844" s="20">
        <v>843</v>
      </c>
      <c r="B844" s="3">
        <f ca="1">_xlfn.NORM.INV(RAND(),AVERAGE(Assumptions!$D$4,Assumptions!$F$4),(Assumptions!$F$4-Assumptions!$D$4)/3.29)*44</f>
        <v>1195058.3691031593</v>
      </c>
      <c r="C844" s="6">
        <f ca="1">_xlfn.NORM.INV(RAND(),AVERAGE(Assumptions!$D$5,Assumptions!$F$5),(Assumptions!$F$5-Assumptions!$D$5)/3.29)*44</f>
        <v>1884026.5957138862</v>
      </c>
      <c r="D844" s="9">
        <f ca="1">_xlfn.NORM.INV(RAND(),AVERAGE(Assumptions!$D$6,Assumptions!$F$6),(Assumptions!$F$6-Assumptions!$D$6)/3.29)*RANDBETWEEN(2,5)</f>
        <v>2457502.7962148869</v>
      </c>
      <c r="E844" s="12">
        <f ca="1">_xlfn.NORM.INV(RAND(),AVERAGE(Assumptions!$D$17,Assumptions!$F$17),(Assumptions!$F$17-Assumptions!$D$17)/3.29)*8</f>
        <v>983821.76716513594</v>
      </c>
      <c r="F844" s="15">
        <f ca="1">_xlfn.NORM.INV(RAND(),AVERAGE(Assumptions!$D$7,Assumptions!$F$7),(Assumptions!$F$7-Assumptions!$D$7)/3.29)*RANDBETWEEN(1,3)</f>
        <v>6261093.5733553488</v>
      </c>
      <c r="G844" s="3">
        <f ca="1">_xlfn.NORM.INV(RAND(),AVERAGE(Assumptions!$D$8,Assumptions!$F$8),(Assumptions!$F$8-Assumptions!$D$8)/3.29)*44</f>
        <v>900391.1799656183</v>
      </c>
      <c r="H844" s="6">
        <f ca="1">_xlfn.NORM.INV(RAND(),AVERAGE(Assumptions!$D$9,Assumptions!$F$9),(Assumptions!$F$9-Assumptions!$D$9)/3.29)*21</f>
        <v>3076182.8322615502</v>
      </c>
      <c r="I844" s="9">
        <f ca="1">_xlfn.NORM.INV(RAND(),AVERAGE(Assumptions!$D$10,Assumptions!$F$10),(Assumptions!$F$10-Assumptions!$D$10)/3.29)*21</f>
        <v>835964.64506571833</v>
      </c>
      <c r="J844" s="12">
        <f ca="1">NORMINV(RAND(),AVERAGE(Assumptions!$D$11,Assumptions!$F$11),(Assumptions!$F$11-Assumptions!$D$11)/3.29)*44</f>
        <v>3683239.2855279772</v>
      </c>
      <c r="K844" s="15">
        <f ca="1">_xlfn.NORM.INV(RAND(),AVERAGE(Assumptions!$D$12,Assumptions!$F$12),(Assumptions!$F$12-Assumptions!$D$12)/3.29)*44</f>
        <v>9377582.8178557418</v>
      </c>
      <c r="L844" s="3">
        <f ca="1">_xlfn.NORM.INV(RAND(),AVERAGE(Assumptions!$D$13,Assumptions!$F$13),(Assumptions!$F$13-Assumptions!$D$13)/3.29)*44</f>
        <v>18183517.09013341</v>
      </c>
      <c r="M844" s="6">
        <f ca="1">_xlfn.NORM.INV(RAND(),AVERAGE(Assumptions!$D$14,Assumptions!$F$14),(Assumptions!$F$14-Assumptions!$D$14)/3.29)*44</f>
        <v>4252285.6071698051</v>
      </c>
      <c r="N844" s="9">
        <f ca="1">_xlfn.NORM.INV(RAND(),AVERAGE(Assumptions!$D$16,Assumptions!$F$16),(Assumptions!$F$16-Assumptions!$D$16)/3.29)*44</f>
        <v>13408372.738289308</v>
      </c>
      <c r="O844" s="12">
        <f ca="1">_xlfn.NORM.INV(RAND(),AVERAGE(Assumptions!$D$15,Assumptions!$F$15),(Assumptions!$F$15-Assumptions!$D$15)/3.29)*44</f>
        <v>133468125.78073968</v>
      </c>
      <c r="P844" s="15">
        <f>Assumptions!$D$18</f>
        <v>14641750.345627395</v>
      </c>
      <c r="Q844" s="3">
        <f t="shared" ca="1" si="26"/>
        <v>66969086.482918128</v>
      </c>
      <c r="R844" s="6">
        <f t="shared" ca="1" si="27"/>
        <v>81610836.828545526</v>
      </c>
    </row>
    <row r="845" spans="1:18">
      <c r="A845" s="20">
        <v>844</v>
      </c>
      <c r="B845" s="3">
        <f ca="1">_xlfn.NORM.INV(RAND(),AVERAGE(Assumptions!$D$4,Assumptions!$F$4),(Assumptions!$F$4-Assumptions!$D$4)/3.29)*44</f>
        <v>1216112.6276917481</v>
      </c>
      <c r="C845" s="6">
        <f ca="1">_xlfn.NORM.INV(RAND(),AVERAGE(Assumptions!$D$5,Assumptions!$F$5),(Assumptions!$F$5-Assumptions!$D$5)/3.29)*44</f>
        <v>1781483.633444574</v>
      </c>
      <c r="D845" s="9">
        <f ca="1">_xlfn.NORM.INV(RAND(),AVERAGE(Assumptions!$D$6,Assumptions!$F$6),(Assumptions!$F$6-Assumptions!$D$6)/3.29)*RANDBETWEEN(2,5)</f>
        <v>4024691.5460315812</v>
      </c>
      <c r="E845" s="12">
        <f ca="1">_xlfn.NORM.INV(RAND(),AVERAGE(Assumptions!$D$17,Assumptions!$F$17),(Assumptions!$F$17-Assumptions!$D$17)/3.29)*8</f>
        <v>708016.38225180411</v>
      </c>
      <c r="F845" s="15">
        <f ca="1">_xlfn.NORM.INV(RAND(),AVERAGE(Assumptions!$D$7,Assumptions!$F$7),(Assumptions!$F$7-Assumptions!$D$7)/3.29)*RANDBETWEEN(1,3)</f>
        <v>6569661.2286282154</v>
      </c>
      <c r="G845" s="3">
        <f ca="1">_xlfn.NORM.INV(RAND(),AVERAGE(Assumptions!$D$8,Assumptions!$F$8),(Assumptions!$F$8-Assumptions!$D$8)/3.29)*44</f>
        <v>1383383.9780351766</v>
      </c>
      <c r="H845" s="6">
        <f ca="1">_xlfn.NORM.INV(RAND(),AVERAGE(Assumptions!$D$9,Assumptions!$F$9),(Assumptions!$F$9-Assumptions!$D$9)/3.29)*21</f>
        <v>2155475.4100687131</v>
      </c>
      <c r="I845" s="9">
        <f ca="1">_xlfn.NORM.INV(RAND(),AVERAGE(Assumptions!$D$10,Assumptions!$F$10),(Assumptions!$F$10-Assumptions!$D$10)/3.29)*21</f>
        <v>702518.4272748509</v>
      </c>
      <c r="J845" s="12">
        <f ca="1">NORMINV(RAND(),AVERAGE(Assumptions!$D$11,Assumptions!$F$11),(Assumptions!$F$11-Assumptions!$D$11)/3.29)*44</f>
        <v>3775429.5821438036</v>
      </c>
      <c r="K845" s="15">
        <f ca="1">_xlfn.NORM.INV(RAND(),AVERAGE(Assumptions!$D$12,Assumptions!$F$12),(Assumptions!$F$12-Assumptions!$D$12)/3.29)*44</f>
        <v>8258457.9898128174</v>
      </c>
      <c r="L845" s="3">
        <f ca="1">_xlfn.NORM.INV(RAND(),AVERAGE(Assumptions!$D$13,Assumptions!$F$13),(Assumptions!$F$13-Assumptions!$D$13)/3.29)*44</f>
        <v>23190666.434118532</v>
      </c>
      <c r="M845" s="6">
        <f ca="1">_xlfn.NORM.INV(RAND(),AVERAGE(Assumptions!$D$14,Assumptions!$F$14),(Assumptions!$F$14-Assumptions!$D$14)/3.29)*44</f>
        <v>5571366.1892358074</v>
      </c>
      <c r="N845" s="9">
        <f ca="1">_xlfn.NORM.INV(RAND(),AVERAGE(Assumptions!$D$16,Assumptions!$F$16),(Assumptions!$F$16-Assumptions!$D$16)/3.29)*44</f>
        <v>10131743.612385908</v>
      </c>
      <c r="O845" s="12">
        <f ca="1">_xlfn.NORM.INV(RAND(),AVERAGE(Assumptions!$D$15,Assumptions!$F$15),(Assumptions!$F$15-Assumptions!$D$15)/3.29)*44</f>
        <v>101445327.12537692</v>
      </c>
      <c r="P845" s="15">
        <f>Assumptions!$D$18</f>
        <v>14641750.345627395</v>
      </c>
      <c r="Q845" s="3">
        <f t="shared" ca="1" si="26"/>
        <v>31976320.084253401</v>
      </c>
      <c r="R845" s="6">
        <f t="shared" ca="1" si="27"/>
        <v>46618070.429880798</v>
      </c>
    </row>
    <row r="846" spans="1:18">
      <c r="A846" s="20">
        <v>845</v>
      </c>
      <c r="B846" s="3">
        <f ca="1">_xlfn.NORM.INV(RAND(),AVERAGE(Assumptions!$D$4,Assumptions!$F$4),(Assumptions!$F$4-Assumptions!$D$4)/3.29)*44</f>
        <v>1263131.9702643375</v>
      </c>
      <c r="C846" s="6">
        <f ca="1">_xlfn.NORM.INV(RAND(),AVERAGE(Assumptions!$D$5,Assumptions!$F$5),(Assumptions!$F$5-Assumptions!$D$5)/3.29)*44</f>
        <v>2143419.6096823369</v>
      </c>
      <c r="D846" s="9">
        <f ca="1">_xlfn.NORM.INV(RAND(),AVERAGE(Assumptions!$D$6,Assumptions!$F$6),(Assumptions!$F$6-Assumptions!$D$6)/3.29)*RANDBETWEEN(2,5)</f>
        <v>7912880.4970559087</v>
      </c>
      <c r="E846" s="12">
        <f ca="1">_xlfn.NORM.INV(RAND(),AVERAGE(Assumptions!$D$17,Assumptions!$F$17),(Assumptions!$F$17-Assumptions!$D$17)/3.29)*8</f>
        <v>988474.54191808787</v>
      </c>
      <c r="F846" s="15">
        <f ca="1">_xlfn.NORM.INV(RAND(),AVERAGE(Assumptions!$D$7,Assumptions!$F$7),(Assumptions!$F$7-Assumptions!$D$7)/3.29)*RANDBETWEEN(1,3)</f>
        <v>3223792.8859252273</v>
      </c>
      <c r="G846" s="3">
        <f ca="1">_xlfn.NORM.INV(RAND(),AVERAGE(Assumptions!$D$8,Assumptions!$F$8),(Assumptions!$F$8-Assumptions!$D$8)/3.29)*44</f>
        <v>1225505.6933290171</v>
      </c>
      <c r="H846" s="6">
        <f ca="1">_xlfn.NORM.INV(RAND(),AVERAGE(Assumptions!$D$9,Assumptions!$F$9),(Assumptions!$F$9-Assumptions!$D$9)/3.29)*21</f>
        <v>5304140.1298697479</v>
      </c>
      <c r="I846" s="9">
        <f ca="1">_xlfn.NORM.INV(RAND(),AVERAGE(Assumptions!$D$10,Assumptions!$F$10),(Assumptions!$F$10-Assumptions!$D$10)/3.29)*21</f>
        <v>719417.9012104494</v>
      </c>
      <c r="J846" s="12">
        <f ca="1">NORMINV(RAND(),AVERAGE(Assumptions!$D$11,Assumptions!$F$11),(Assumptions!$F$11-Assumptions!$D$11)/3.29)*44</f>
        <v>2737347.5267951018</v>
      </c>
      <c r="K846" s="15">
        <f ca="1">_xlfn.NORM.INV(RAND(),AVERAGE(Assumptions!$D$12,Assumptions!$F$12),(Assumptions!$F$12-Assumptions!$D$12)/3.29)*44</f>
        <v>8546945.2356490307</v>
      </c>
      <c r="L846" s="3">
        <f ca="1">_xlfn.NORM.INV(RAND(),AVERAGE(Assumptions!$D$13,Assumptions!$F$13),(Assumptions!$F$13-Assumptions!$D$13)/3.29)*44</f>
        <v>9483625.0793011077</v>
      </c>
      <c r="M846" s="6">
        <f ca="1">_xlfn.NORM.INV(RAND(),AVERAGE(Assumptions!$D$14,Assumptions!$F$14),(Assumptions!$F$14-Assumptions!$D$14)/3.29)*44</f>
        <v>5489396.4490242088</v>
      </c>
      <c r="N846" s="9">
        <f ca="1">_xlfn.NORM.INV(RAND(),AVERAGE(Assumptions!$D$16,Assumptions!$F$16),(Assumptions!$F$16-Assumptions!$D$16)/3.29)*44</f>
        <v>3899674.7762018819</v>
      </c>
      <c r="O846" s="12">
        <f ca="1">_xlfn.NORM.INV(RAND(),AVERAGE(Assumptions!$D$15,Assumptions!$F$15),(Assumptions!$F$15-Assumptions!$D$15)/3.29)*44</f>
        <v>10007032.027900115</v>
      </c>
      <c r="P846" s="15">
        <f>Assumptions!$D$18</f>
        <v>14641750.345627395</v>
      </c>
      <c r="Q846" s="3">
        <f t="shared" ca="1" si="26"/>
        <v>-42930720.268326335</v>
      </c>
      <c r="R846" s="6">
        <f t="shared" ca="1" si="27"/>
        <v>-28288969.922698937</v>
      </c>
    </row>
    <row r="847" spans="1:18">
      <c r="A847" s="20">
        <v>846</v>
      </c>
      <c r="B847" s="3">
        <f ca="1">_xlfn.NORM.INV(RAND(),AVERAGE(Assumptions!$D$4,Assumptions!$F$4),(Assumptions!$F$4-Assumptions!$D$4)/3.29)*44</f>
        <v>1134094.0205144726</v>
      </c>
      <c r="C847" s="6">
        <f ca="1">_xlfn.NORM.INV(RAND(),AVERAGE(Assumptions!$D$5,Assumptions!$F$5),(Assumptions!$F$5-Assumptions!$D$5)/3.29)*44</f>
        <v>1794942.2283476025</v>
      </c>
      <c r="D847" s="9">
        <f ca="1">_xlfn.NORM.INV(RAND(),AVERAGE(Assumptions!$D$6,Assumptions!$F$6),(Assumptions!$F$6-Assumptions!$D$6)/3.29)*RANDBETWEEN(2,5)</f>
        <v>3295807.1077144919</v>
      </c>
      <c r="E847" s="12">
        <f ca="1">_xlfn.NORM.INV(RAND(),AVERAGE(Assumptions!$D$17,Assumptions!$F$17),(Assumptions!$F$17-Assumptions!$D$17)/3.29)*8</f>
        <v>1108484.859427355</v>
      </c>
      <c r="F847" s="15">
        <f ca="1">_xlfn.NORM.INV(RAND(),AVERAGE(Assumptions!$D$7,Assumptions!$F$7),(Assumptions!$F$7-Assumptions!$D$7)/3.29)*RANDBETWEEN(1,3)</f>
        <v>8543162.40931857</v>
      </c>
      <c r="G847" s="3">
        <f ca="1">_xlfn.NORM.INV(RAND(),AVERAGE(Assumptions!$D$8,Assumptions!$F$8),(Assumptions!$F$8-Assumptions!$D$8)/3.29)*44</f>
        <v>1368096.3925726654</v>
      </c>
      <c r="H847" s="6">
        <f ca="1">_xlfn.NORM.INV(RAND(),AVERAGE(Assumptions!$D$9,Assumptions!$F$9),(Assumptions!$F$9-Assumptions!$D$9)/3.29)*21</f>
        <v>3482853.1098063397</v>
      </c>
      <c r="I847" s="9">
        <f ca="1">_xlfn.NORM.INV(RAND(),AVERAGE(Assumptions!$D$10,Assumptions!$F$10),(Assumptions!$F$10-Assumptions!$D$10)/3.29)*21</f>
        <v>877288.14934428548</v>
      </c>
      <c r="J847" s="12">
        <f ca="1">NORMINV(RAND(),AVERAGE(Assumptions!$D$11,Assumptions!$F$11),(Assumptions!$F$11-Assumptions!$D$11)/3.29)*44</f>
        <v>3682684.1821678085</v>
      </c>
      <c r="K847" s="15">
        <f ca="1">_xlfn.NORM.INV(RAND(),AVERAGE(Assumptions!$D$12,Assumptions!$F$12),(Assumptions!$F$12-Assumptions!$D$12)/3.29)*44</f>
        <v>7592814.5147529757</v>
      </c>
      <c r="L847" s="3">
        <f ca="1">_xlfn.NORM.INV(RAND(),AVERAGE(Assumptions!$D$13,Assumptions!$F$13),(Assumptions!$F$13-Assumptions!$D$13)/3.29)*44</f>
        <v>20248020.400376119</v>
      </c>
      <c r="M847" s="6">
        <f ca="1">_xlfn.NORM.INV(RAND(),AVERAGE(Assumptions!$D$14,Assumptions!$F$14),(Assumptions!$F$14-Assumptions!$D$14)/3.29)*44</f>
        <v>8500208.0524152946</v>
      </c>
      <c r="N847" s="9">
        <f ca="1">_xlfn.NORM.INV(RAND(),AVERAGE(Assumptions!$D$16,Assumptions!$F$16),(Assumptions!$F$16-Assumptions!$D$16)/3.29)*44</f>
        <v>10755993.415104497</v>
      </c>
      <c r="O847" s="12">
        <f ca="1">_xlfn.NORM.INV(RAND(),AVERAGE(Assumptions!$D$15,Assumptions!$F$15),(Assumptions!$F$15-Assumptions!$D$15)/3.29)*44</f>
        <v>93399638.747645408</v>
      </c>
      <c r="P847" s="15">
        <f>Assumptions!$D$18</f>
        <v>14641750.345627395</v>
      </c>
      <c r="Q847" s="3">
        <f t="shared" ca="1" si="26"/>
        <v>21015189.905782938</v>
      </c>
      <c r="R847" s="6">
        <f t="shared" ca="1" si="27"/>
        <v>35656940.251410335</v>
      </c>
    </row>
    <row r="848" spans="1:18">
      <c r="A848" s="20">
        <v>847</v>
      </c>
      <c r="B848" s="3">
        <f ca="1">_xlfn.NORM.INV(RAND(),AVERAGE(Assumptions!$D$4,Assumptions!$F$4),(Assumptions!$F$4-Assumptions!$D$4)/3.29)*44</f>
        <v>1239492.6948924074</v>
      </c>
      <c r="C848" s="6">
        <f ca="1">_xlfn.NORM.INV(RAND(),AVERAGE(Assumptions!$D$5,Assumptions!$F$5),(Assumptions!$F$5-Assumptions!$D$5)/3.29)*44</f>
        <v>1842852.71723948</v>
      </c>
      <c r="D848" s="9">
        <f ca="1">_xlfn.NORM.INV(RAND(),AVERAGE(Assumptions!$D$6,Assumptions!$F$6),(Assumptions!$F$6-Assumptions!$D$6)/3.29)*RANDBETWEEN(2,5)</f>
        <v>3847806.7157500619</v>
      </c>
      <c r="E848" s="12">
        <f ca="1">_xlfn.NORM.INV(RAND(),AVERAGE(Assumptions!$D$17,Assumptions!$F$17),(Assumptions!$F$17-Assumptions!$D$17)/3.29)*8</f>
        <v>882949.27550015657</v>
      </c>
      <c r="F848" s="15">
        <f ca="1">_xlfn.NORM.INV(RAND(),AVERAGE(Assumptions!$D$7,Assumptions!$F$7),(Assumptions!$F$7-Assumptions!$D$7)/3.29)*RANDBETWEEN(1,3)</f>
        <v>7230797.5019821171</v>
      </c>
      <c r="G848" s="3">
        <f ca="1">_xlfn.NORM.INV(RAND(),AVERAGE(Assumptions!$D$8,Assumptions!$F$8),(Assumptions!$F$8-Assumptions!$D$8)/3.29)*44</f>
        <v>868397.67714927497</v>
      </c>
      <c r="H848" s="6">
        <f ca="1">_xlfn.NORM.INV(RAND(),AVERAGE(Assumptions!$D$9,Assumptions!$F$9),(Assumptions!$F$9-Assumptions!$D$9)/3.29)*21</f>
        <v>4518330.8927956587</v>
      </c>
      <c r="I848" s="9">
        <f ca="1">_xlfn.NORM.INV(RAND(),AVERAGE(Assumptions!$D$10,Assumptions!$F$10),(Assumptions!$F$10-Assumptions!$D$10)/3.29)*21</f>
        <v>1024491.6672221086</v>
      </c>
      <c r="J848" s="12">
        <f ca="1">NORMINV(RAND(),AVERAGE(Assumptions!$D$11,Assumptions!$F$11),(Assumptions!$F$11-Assumptions!$D$11)/3.29)*44</f>
        <v>4165493.4948135819</v>
      </c>
      <c r="K848" s="15">
        <f ca="1">_xlfn.NORM.INV(RAND(),AVERAGE(Assumptions!$D$12,Assumptions!$F$12),(Assumptions!$F$12-Assumptions!$D$12)/3.29)*44</f>
        <v>7481030.9495352255</v>
      </c>
      <c r="L848" s="3">
        <f ca="1">_xlfn.NORM.INV(RAND(),AVERAGE(Assumptions!$D$13,Assumptions!$F$13),(Assumptions!$F$13-Assumptions!$D$13)/3.29)*44</f>
        <v>9575124.1256612707</v>
      </c>
      <c r="M848" s="6">
        <f ca="1">_xlfn.NORM.INV(RAND(),AVERAGE(Assumptions!$D$14,Assumptions!$F$14),(Assumptions!$F$14-Assumptions!$D$14)/3.29)*44</f>
        <v>5975800.1986827906</v>
      </c>
      <c r="N848" s="9">
        <f ca="1">_xlfn.NORM.INV(RAND(),AVERAGE(Assumptions!$D$16,Assumptions!$F$16),(Assumptions!$F$16-Assumptions!$D$16)/3.29)*44</f>
        <v>9528900.8794216998</v>
      </c>
      <c r="O848" s="12">
        <f ca="1">_xlfn.NORM.INV(RAND(),AVERAGE(Assumptions!$D$15,Assumptions!$F$15),(Assumptions!$F$15-Assumptions!$D$15)/3.29)*44</f>
        <v>147555337.56970298</v>
      </c>
      <c r="P848" s="15">
        <f>Assumptions!$D$18</f>
        <v>14641750.345627395</v>
      </c>
      <c r="Q848" s="3">
        <f t="shared" ca="1" si="26"/>
        <v>89373868.779057145</v>
      </c>
      <c r="R848" s="6">
        <f t="shared" ca="1" si="27"/>
        <v>104015619.12468454</v>
      </c>
    </row>
    <row r="849" spans="1:18">
      <c r="A849" s="20">
        <v>848</v>
      </c>
      <c r="B849" s="3">
        <f ca="1">_xlfn.NORM.INV(RAND(),AVERAGE(Assumptions!$D$4,Assumptions!$F$4),(Assumptions!$F$4-Assumptions!$D$4)/3.29)*44</f>
        <v>1209181.9446242184</v>
      </c>
      <c r="C849" s="6">
        <f ca="1">_xlfn.NORM.INV(RAND(),AVERAGE(Assumptions!$D$5,Assumptions!$F$5),(Assumptions!$F$5-Assumptions!$D$5)/3.29)*44</f>
        <v>1914153.0248461361</v>
      </c>
      <c r="D849" s="9">
        <f ca="1">_xlfn.NORM.INV(RAND(),AVERAGE(Assumptions!$D$6,Assumptions!$F$6),(Assumptions!$F$6-Assumptions!$D$6)/3.29)*RANDBETWEEN(2,5)</f>
        <v>4043850.5910222833</v>
      </c>
      <c r="E849" s="12">
        <f ca="1">_xlfn.NORM.INV(RAND(),AVERAGE(Assumptions!$D$17,Assumptions!$F$17),(Assumptions!$F$17-Assumptions!$D$17)/3.29)*8</f>
        <v>947048.33917856053</v>
      </c>
      <c r="F849" s="15">
        <f ca="1">_xlfn.NORM.INV(RAND(),AVERAGE(Assumptions!$D$7,Assumptions!$F$7),(Assumptions!$F$7-Assumptions!$D$7)/3.29)*RANDBETWEEN(1,3)</f>
        <v>2555461.7808716074</v>
      </c>
      <c r="G849" s="3">
        <f ca="1">_xlfn.NORM.INV(RAND(),AVERAGE(Assumptions!$D$8,Assumptions!$F$8),(Assumptions!$F$8-Assumptions!$D$8)/3.29)*44</f>
        <v>1593164.9097815608</v>
      </c>
      <c r="H849" s="6">
        <f ca="1">_xlfn.NORM.INV(RAND(),AVERAGE(Assumptions!$D$9,Assumptions!$F$9),(Assumptions!$F$9-Assumptions!$D$9)/3.29)*21</f>
        <v>3309856.3827915168</v>
      </c>
      <c r="I849" s="9">
        <f ca="1">_xlfn.NORM.INV(RAND(),AVERAGE(Assumptions!$D$10,Assumptions!$F$10),(Assumptions!$F$10-Assumptions!$D$10)/3.29)*21</f>
        <v>870313.8252287067</v>
      </c>
      <c r="J849" s="12">
        <f ca="1">NORMINV(RAND(),AVERAGE(Assumptions!$D$11,Assumptions!$F$11),(Assumptions!$F$11-Assumptions!$D$11)/3.29)*44</f>
        <v>2421518.0126353246</v>
      </c>
      <c r="K849" s="15">
        <f ca="1">_xlfn.NORM.INV(RAND(),AVERAGE(Assumptions!$D$12,Assumptions!$F$12),(Assumptions!$F$12-Assumptions!$D$12)/3.29)*44</f>
        <v>7866986.5593804093</v>
      </c>
      <c r="L849" s="3">
        <f ca="1">_xlfn.NORM.INV(RAND(),AVERAGE(Assumptions!$D$13,Assumptions!$F$13),(Assumptions!$F$13-Assumptions!$D$13)/3.29)*44</f>
        <v>9726852.8352585472</v>
      </c>
      <c r="M849" s="6">
        <f ca="1">_xlfn.NORM.INV(RAND(),AVERAGE(Assumptions!$D$14,Assumptions!$F$14),(Assumptions!$F$14-Assumptions!$D$14)/3.29)*44</f>
        <v>8351611.4502561903</v>
      </c>
      <c r="N849" s="9">
        <f ca="1">_xlfn.NORM.INV(RAND(),AVERAGE(Assumptions!$D$16,Assumptions!$F$16),(Assumptions!$F$16-Assumptions!$D$16)/3.29)*44</f>
        <v>11840924.79093552</v>
      </c>
      <c r="O849" s="12">
        <f ca="1">_xlfn.NORM.INV(RAND(),AVERAGE(Assumptions!$D$15,Assumptions!$F$15),(Assumptions!$F$15-Assumptions!$D$15)/3.29)*44</f>
        <v>86624130.314417794</v>
      </c>
      <c r="P849" s="15">
        <f>Assumptions!$D$18</f>
        <v>14641750.345627395</v>
      </c>
      <c r="Q849" s="3">
        <f t="shared" ca="1" si="26"/>
        <v>29973205.867607206</v>
      </c>
      <c r="R849" s="6">
        <f t="shared" ca="1" si="27"/>
        <v>44614956.213234603</v>
      </c>
    </row>
    <row r="850" spans="1:18">
      <c r="A850" s="20">
        <v>849</v>
      </c>
      <c r="B850" s="3">
        <f ca="1">_xlfn.NORM.INV(RAND(),AVERAGE(Assumptions!$D$4,Assumptions!$F$4),(Assumptions!$F$4-Assumptions!$D$4)/3.29)*44</f>
        <v>1246753.3285120002</v>
      </c>
      <c r="C850" s="6">
        <f ca="1">_xlfn.NORM.INV(RAND(),AVERAGE(Assumptions!$D$5,Assumptions!$F$5),(Assumptions!$F$5-Assumptions!$D$5)/3.29)*44</f>
        <v>2045374.8565587187</v>
      </c>
      <c r="D850" s="9">
        <f ca="1">_xlfn.NORM.INV(RAND(),AVERAGE(Assumptions!$D$6,Assumptions!$F$6),(Assumptions!$F$6-Assumptions!$D$6)/3.29)*RANDBETWEEN(2,5)</f>
        <v>3194280.2227541613</v>
      </c>
      <c r="E850" s="12">
        <f ca="1">_xlfn.NORM.INV(RAND(),AVERAGE(Assumptions!$D$17,Assumptions!$F$17),(Assumptions!$F$17-Assumptions!$D$17)/3.29)*8</f>
        <v>861084.32283216028</v>
      </c>
      <c r="F850" s="15">
        <f ca="1">_xlfn.NORM.INV(RAND(),AVERAGE(Assumptions!$D$7,Assumptions!$F$7),(Assumptions!$F$7-Assumptions!$D$7)/3.29)*RANDBETWEEN(1,3)</f>
        <v>4153209.9004317219</v>
      </c>
      <c r="G850" s="3">
        <f ca="1">_xlfn.NORM.INV(RAND(),AVERAGE(Assumptions!$D$8,Assumptions!$F$8),(Assumptions!$F$8-Assumptions!$D$8)/3.29)*44</f>
        <v>1310203.1572857641</v>
      </c>
      <c r="H850" s="6">
        <f ca="1">_xlfn.NORM.INV(RAND(),AVERAGE(Assumptions!$D$9,Assumptions!$F$9),(Assumptions!$F$9-Assumptions!$D$9)/3.29)*21</f>
        <v>5654503.0464029852</v>
      </c>
      <c r="I850" s="9">
        <f ca="1">_xlfn.NORM.INV(RAND(),AVERAGE(Assumptions!$D$10,Assumptions!$F$10),(Assumptions!$F$10-Assumptions!$D$10)/3.29)*21</f>
        <v>1116808.556521158</v>
      </c>
      <c r="J850" s="12">
        <f ca="1">NORMINV(RAND(),AVERAGE(Assumptions!$D$11,Assumptions!$F$11),(Assumptions!$F$11-Assumptions!$D$11)/3.29)*44</f>
        <v>2732918.8209924246</v>
      </c>
      <c r="K850" s="15">
        <f ca="1">_xlfn.NORM.INV(RAND(),AVERAGE(Assumptions!$D$12,Assumptions!$F$12),(Assumptions!$F$12-Assumptions!$D$12)/3.29)*44</f>
        <v>8462573.7500139102</v>
      </c>
      <c r="L850" s="3">
        <f ca="1">_xlfn.NORM.INV(RAND(),AVERAGE(Assumptions!$D$13,Assumptions!$F$13),(Assumptions!$F$13-Assumptions!$D$13)/3.29)*44</f>
        <v>14569115.760716263</v>
      </c>
      <c r="M850" s="6">
        <f ca="1">_xlfn.NORM.INV(RAND(),AVERAGE(Assumptions!$D$14,Assumptions!$F$14),(Assumptions!$F$14-Assumptions!$D$14)/3.29)*44</f>
        <v>5536586.2446169863</v>
      </c>
      <c r="N850" s="9">
        <f ca="1">_xlfn.NORM.INV(RAND(),AVERAGE(Assumptions!$D$16,Assumptions!$F$16),(Assumptions!$F$16-Assumptions!$D$16)/3.29)*44</f>
        <v>5351221.1770769041</v>
      </c>
      <c r="O850" s="12">
        <f ca="1">_xlfn.NORM.INV(RAND(),AVERAGE(Assumptions!$D$15,Assumptions!$F$15),(Assumptions!$F$15-Assumptions!$D$15)/3.29)*44</f>
        <v>49654161.981219813</v>
      </c>
      <c r="P850" s="15">
        <f>Assumptions!$D$18</f>
        <v>14641750.345627395</v>
      </c>
      <c r="Q850" s="3">
        <f t="shared" ca="1" si="26"/>
        <v>-6580471.1634953469</v>
      </c>
      <c r="R850" s="6">
        <f t="shared" ca="1" si="27"/>
        <v>8061279.1821320485</v>
      </c>
    </row>
    <row r="851" spans="1:18">
      <c r="A851" s="20">
        <v>850</v>
      </c>
      <c r="B851" s="3">
        <f ca="1">_xlfn.NORM.INV(RAND(),AVERAGE(Assumptions!$D$4,Assumptions!$F$4),(Assumptions!$F$4-Assumptions!$D$4)/3.29)*44</f>
        <v>1132360.6132030981</v>
      </c>
      <c r="C851" s="6">
        <f ca="1">_xlfn.NORM.INV(RAND(),AVERAGE(Assumptions!$D$5,Assumptions!$F$5),(Assumptions!$F$5-Assumptions!$D$5)/3.29)*44</f>
        <v>1541268.6378869517</v>
      </c>
      <c r="D851" s="9">
        <f ca="1">_xlfn.NORM.INV(RAND(),AVERAGE(Assumptions!$D$6,Assumptions!$F$6),(Assumptions!$F$6-Assumptions!$D$6)/3.29)*RANDBETWEEN(2,5)</f>
        <v>5562081.1928736782</v>
      </c>
      <c r="E851" s="12">
        <f ca="1">_xlfn.NORM.INV(RAND(),AVERAGE(Assumptions!$D$17,Assumptions!$F$17),(Assumptions!$F$17-Assumptions!$D$17)/3.29)*8</f>
        <v>962555.56359630672</v>
      </c>
      <c r="F851" s="15">
        <f ca="1">_xlfn.NORM.INV(RAND(),AVERAGE(Assumptions!$D$7,Assumptions!$F$7),(Assumptions!$F$7-Assumptions!$D$7)/3.29)*RANDBETWEEN(1,3)</f>
        <v>3248268.609581626</v>
      </c>
      <c r="G851" s="3">
        <f ca="1">_xlfn.NORM.INV(RAND(),AVERAGE(Assumptions!$D$8,Assumptions!$F$8),(Assumptions!$F$8-Assumptions!$D$8)/3.29)*44</f>
        <v>1562223.3867243219</v>
      </c>
      <c r="H851" s="6">
        <f ca="1">_xlfn.NORM.INV(RAND(),AVERAGE(Assumptions!$D$9,Assumptions!$F$9),(Assumptions!$F$9-Assumptions!$D$9)/3.29)*21</f>
        <v>3799646.1753635011</v>
      </c>
      <c r="I851" s="9">
        <f ca="1">_xlfn.NORM.INV(RAND(),AVERAGE(Assumptions!$D$10,Assumptions!$F$10),(Assumptions!$F$10-Assumptions!$D$10)/3.29)*21</f>
        <v>1069628.4470951045</v>
      </c>
      <c r="J851" s="12">
        <f ca="1">NORMINV(RAND(),AVERAGE(Assumptions!$D$11,Assumptions!$F$11),(Assumptions!$F$11-Assumptions!$D$11)/3.29)*44</f>
        <v>5943319.0817126101</v>
      </c>
      <c r="K851" s="15">
        <f ca="1">_xlfn.NORM.INV(RAND(),AVERAGE(Assumptions!$D$12,Assumptions!$F$12),(Assumptions!$F$12-Assumptions!$D$12)/3.29)*44</f>
        <v>6433858.5751972869</v>
      </c>
      <c r="L851" s="3">
        <f ca="1">_xlfn.NORM.INV(RAND(),AVERAGE(Assumptions!$D$13,Assumptions!$F$13),(Assumptions!$F$13-Assumptions!$D$13)/3.29)*44</f>
        <v>7568488.9541084478</v>
      </c>
      <c r="M851" s="6">
        <f ca="1">_xlfn.NORM.INV(RAND(),AVERAGE(Assumptions!$D$14,Assumptions!$F$14),(Assumptions!$F$14-Assumptions!$D$14)/3.29)*44</f>
        <v>5817011.7276495313</v>
      </c>
      <c r="N851" s="9">
        <f ca="1">_xlfn.NORM.INV(RAND(),AVERAGE(Assumptions!$D$16,Assumptions!$F$16),(Assumptions!$F$16-Assumptions!$D$16)/3.29)*44</f>
        <v>13682212.24685172</v>
      </c>
      <c r="O851" s="12">
        <f ca="1">_xlfn.NORM.INV(RAND(),AVERAGE(Assumptions!$D$15,Assumptions!$F$15),(Assumptions!$F$15-Assumptions!$D$15)/3.29)*44</f>
        <v>97531650.837260693</v>
      </c>
      <c r="P851" s="15">
        <f>Assumptions!$D$18</f>
        <v>14641750.345627395</v>
      </c>
      <c r="Q851" s="3">
        <f t="shared" ca="1" si="26"/>
        <v>39208727.62541651</v>
      </c>
      <c r="R851" s="6">
        <f t="shared" ca="1" si="27"/>
        <v>53850477.971043907</v>
      </c>
    </row>
    <row r="852" spans="1:18">
      <c r="A852" s="20">
        <v>851</v>
      </c>
      <c r="B852" s="3">
        <f ca="1">_xlfn.NORM.INV(RAND(),AVERAGE(Assumptions!$D$4,Assumptions!$F$4),(Assumptions!$F$4-Assumptions!$D$4)/3.29)*44</f>
        <v>1246125.4121797332</v>
      </c>
      <c r="C852" s="6">
        <f ca="1">_xlfn.NORM.INV(RAND(),AVERAGE(Assumptions!$D$5,Assumptions!$F$5),(Assumptions!$F$5-Assumptions!$D$5)/3.29)*44</f>
        <v>1803205.8309726859</v>
      </c>
      <c r="D852" s="9">
        <f ca="1">_xlfn.NORM.INV(RAND(),AVERAGE(Assumptions!$D$6,Assumptions!$F$6),(Assumptions!$F$6-Assumptions!$D$6)/3.29)*RANDBETWEEN(2,5)</f>
        <v>2898959.1549426429</v>
      </c>
      <c r="E852" s="12">
        <f ca="1">_xlfn.NORM.INV(RAND(),AVERAGE(Assumptions!$D$17,Assumptions!$F$17),(Assumptions!$F$17-Assumptions!$D$17)/3.29)*8</f>
        <v>829636.46214995545</v>
      </c>
      <c r="F852" s="15">
        <f ca="1">_xlfn.NORM.INV(RAND(),AVERAGE(Assumptions!$D$7,Assumptions!$F$7),(Assumptions!$F$7-Assumptions!$D$7)/3.29)*RANDBETWEEN(1,3)</f>
        <v>4561475.8044419065</v>
      </c>
      <c r="G852" s="3">
        <f ca="1">_xlfn.NORM.INV(RAND(),AVERAGE(Assumptions!$D$8,Assumptions!$F$8),(Assumptions!$F$8-Assumptions!$D$8)/3.29)*44</f>
        <v>653028.99643209751</v>
      </c>
      <c r="H852" s="6">
        <f ca="1">_xlfn.NORM.INV(RAND(),AVERAGE(Assumptions!$D$9,Assumptions!$F$9),(Assumptions!$F$9-Assumptions!$D$9)/3.29)*21</f>
        <v>2839885.9147326075</v>
      </c>
      <c r="I852" s="9">
        <f ca="1">_xlfn.NORM.INV(RAND(),AVERAGE(Assumptions!$D$10,Assumptions!$F$10),(Assumptions!$F$10-Assumptions!$D$10)/3.29)*21</f>
        <v>618786.68519807537</v>
      </c>
      <c r="J852" s="12">
        <f ca="1">NORMINV(RAND(),AVERAGE(Assumptions!$D$11,Assumptions!$F$11),(Assumptions!$F$11-Assumptions!$D$11)/3.29)*44</f>
        <v>2734475.5175039112</v>
      </c>
      <c r="K852" s="15">
        <f ca="1">_xlfn.NORM.INV(RAND(),AVERAGE(Assumptions!$D$12,Assumptions!$F$12),(Assumptions!$F$12-Assumptions!$D$12)/3.29)*44</f>
        <v>6391243.5960174417</v>
      </c>
      <c r="L852" s="3">
        <f ca="1">_xlfn.NORM.INV(RAND(),AVERAGE(Assumptions!$D$13,Assumptions!$F$13),(Assumptions!$F$13-Assumptions!$D$13)/3.29)*44</f>
        <v>23624674.508423567</v>
      </c>
      <c r="M852" s="6">
        <f ca="1">_xlfn.NORM.INV(RAND(),AVERAGE(Assumptions!$D$14,Assumptions!$F$14),(Assumptions!$F$14-Assumptions!$D$14)/3.29)*44</f>
        <v>7983003.1178055964</v>
      </c>
      <c r="N852" s="9">
        <f ca="1">_xlfn.NORM.INV(RAND(),AVERAGE(Assumptions!$D$16,Assumptions!$F$16),(Assumptions!$F$16-Assumptions!$D$16)/3.29)*44</f>
        <v>6642342.1930730361</v>
      </c>
      <c r="O852" s="12">
        <f ca="1">_xlfn.NORM.INV(RAND(),AVERAGE(Assumptions!$D$15,Assumptions!$F$15),(Assumptions!$F$15-Assumptions!$D$15)/3.29)*44</f>
        <v>131778806.13422972</v>
      </c>
      <c r="P852" s="15">
        <f>Assumptions!$D$18</f>
        <v>14641750.345627395</v>
      </c>
      <c r="Q852" s="3">
        <f t="shared" ca="1" si="26"/>
        <v>68951962.940356463</v>
      </c>
      <c r="R852" s="6">
        <f t="shared" ca="1" si="27"/>
        <v>83593713.28598386</v>
      </c>
    </row>
    <row r="853" spans="1:18">
      <c r="A853" s="20">
        <v>852</v>
      </c>
      <c r="B853" s="3">
        <f ca="1">_xlfn.NORM.INV(RAND(),AVERAGE(Assumptions!$D$4,Assumptions!$F$4),(Assumptions!$F$4-Assumptions!$D$4)/3.29)*44</f>
        <v>1220887.2224384551</v>
      </c>
      <c r="C853" s="6">
        <f ca="1">_xlfn.NORM.INV(RAND(),AVERAGE(Assumptions!$D$5,Assumptions!$F$5),(Assumptions!$F$5-Assumptions!$D$5)/3.29)*44</f>
        <v>1524159.257983983</v>
      </c>
      <c r="D853" s="9">
        <f ca="1">_xlfn.NORM.INV(RAND(),AVERAGE(Assumptions!$D$6,Assumptions!$F$6),(Assumptions!$F$6-Assumptions!$D$6)/3.29)*RANDBETWEEN(2,5)</f>
        <v>3945277.7766172537</v>
      </c>
      <c r="E853" s="12">
        <f ca="1">_xlfn.NORM.INV(RAND(),AVERAGE(Assumptions!$D$17,Assumptions!$F$17),(Assumptions!$F$17-Assumptions!$D$17)/3.29)*8</f>
        <v>940844.54219424259</v>
      </c>
      <c r="F853" s="15">
        <f ca="1">_xlfn.NORM.INV(RAND(),AVERAGE(Assumptions!$D$7,Assumptions!$F$7),(Assumptions!$F$7-Assumptions!$D$7)/3.29)*RANDBETWEEN(1,3)</f>
        <v>9076487.8177594505</v>
      </c>
      <c r="G853" s="3">
        <f ca="1">_xlfn.NORM.INV(RAND(),AVERAGE(Assumptions!$D$8,Assumptions!$F$8),(Assumptions!$F$8-Assumptions!$D$8)/3.29)*44</f>
        <v>1487153.8705960596</v>
      </c>
      <c r="H853" s="6">
        <f ca="1">_xlfn.NORM.INV(RAND(),AVERAGE(Assumptions!$D$9,Assumptions!$F$9),(Assumptions!$F$9-Assumptions!$D$9)/3.29)*21</f>
        <v>3777697.6474274988</v>
      </c>
      <c r="I853" s="9">
        <f ca="1">_xlfn.NORM.INV(RAND(),AVERAGE(Assumptions!$D$10,Assumptions!$F$10),(Assumptions!$F$10-Assumptions!$D$10)/3.29)*21</f>
        <v>1007818.4440392682</v>
      </c>
      <c r="J853" s="12">
        <f ca="1">NORMINV(RAND(),AVERAGE(Assumptions!$D$11,Assumptions!$F$11),(Assumptions!$F$11-Assumptions!$D$11)/3.29)*44</f>
        <v>6229371.5001774346</v>
      </c>
      <c r="K853" s="15">
        <f ca="1">_xlfn.NORM.INV(RAND(),AVERAGE(Assumptions!$D$12,Assumptions!$F$12),(Assumptions!$F$12-Assumptions!$D$12)/3.29)*44</f>
        <v>8361386.1013329867</v>
      </c>
      <c r="L853" s="3">
        <f ca="1">_xlfn.NORM.INV(RAND(),AVERAGE(Assumptions!$D$13,Assumptions!$F$13),(Assumptions!$F$13-Assumptions!$D$13)/3.29)*44</f>
        <v>2096517.2078304812</v>
      </c>
      <c r="M853" s="6">
        <f ca="1">_xlfn.NORM.INV(RAND(),AVERAGE(Assumptions!$D$14,Assumptions!$F$14),(Assumptions!$F$14-Assumptions!$D$14)/3.29)*44</f>
        <v>5087544.3908329913</v>
      </c>
      <c r="N853" s="9">
        <f ca="1">_xlfn.NORM.INV(RAND(),AVERAGE(Assumptions!$D$16,Assumptions!$F$16),(Assumptions!$F$16-Assumptions!$D$16)/3.29)*44</f>
        <v>13746286.628892113</v>
      </c>
      <c r="O853" s="12">
        <f ca="1">_xlfn.NORM.INV(RAND(),AVERAGE(Assumptions!$D$15,Assumptions!$F$15),(Assumptions!$F$15-Assumptions!$D$15)/3.29)*44</f>
        <v>114270241.74043384</v>
      </c>
      <c r="P853" s="15">
        <f>Assumptions!$D$18</f>
        <v>14641750.345627395</v>
      </c>
      <c r="Q853" s="3">
        <f t="shared" ca="1" si="26"/>
        <v>55768809.332311623</v>
      </c>
      <c r="R853" s="6">
        <f t="shared" ca="1" si="27"/>
        <v>70410559.677939013</v>
      </c>
    </row>
    <row r="854" spans="1:18">
      <c r="A854" s="20">
        <v>853</v>
      </c>
      <c r="B854" s="3">
        <f ca="1">_xlfn.NORM.INV(RAND(),AVERAGE(Assumptions!$D$4,Assumptions!$F$4),(Assumptions!$F$4-Assumptions!$D$4)/3.29)*44</f>
        <v>1208494.905063804</v>
      </c>
      <c r="C854" s="6">
        <f ca="1">_xlfn.NORM.INV(RAND(),AVERAGE(Assumptions!$D$5,Assumptions!$F$5),(Assumptions!$F$5-Assumptions!$D$5)/3.29)*44</f>
        <v>1786987.663078978</v>
      </c>
      <c r="D854" s="9">
        <f ca="1">_xlfn.NORM.INV(RAND(),AVERAGE(Assumptions!$D$6,Assumptions!$F$6),(Assumptions!$F$6-Assumptions!$D$6)/3.29)*RANDBETWEEN(2,5)</f>
        <v>3061688.1587698646</v>
      </c>
      <c r="E854" s="12">
        <f ca="1">_xlfn.NORM.INV(RAND(),AVERAGE(Assumptions!$D$17,Assumptions!$F$17),(Assumptions!$F$17-Assumptions!$D$17)/3.29)*8</f>
        <v>979346.84420736565</v>
      </c>
      <c r="F854" s="15">
        <f ca="1">_xlfn.NORM.INV(RAND(),AVERAGE(Assumptions!$D$7,Assumptions!$F$7),(Assumptions!$F$7-Assumptions!$D$7)/3.29)*RANDBETWEEN(1,3)</f>
        <v>8079596.1006570887</v>
      </c>
      <c r="G854" s="3">
        <f ca="1">_xlfn.NORM.INV(RAND(),AVERAGE(Assumptions!$D$8,Assumptions!$F$8),(Assumptions!$F$8-Assumptions!$D$8)/3.29)*44</f>
        <v>1165233.4593516435</v>
      </c>
      <c r="H854" s="6">
        <f ca="1">_xlfn.NORM.INV(RAND(),AVERAGE(Assumptions!$D$9,Assumptions!$F$9),(Assumptions!$F$9-Assumptions!$D$9)/3.29)*21</f>
        <v>3886136.0706321723</v>
      </c>
      <c r="I854" s="9">
        <f ca="1">_xlfn.NORM.INV(RAND(),AVERAGE(Assumptions!$D$10,Assumptions!$F$10),(Assumptions!$F$10-Assumptions!$D$10)/3.29)*21</f>
        <v>194448.83421984545</v>
      </c>
      <c r="J854" s="12">
        <f ca="1">NORMINV(RAND(),AVERAGE(Assumptions!$D$11,Assumptions!$F$11),(Assumptions!$F$11-Assumptions!$D$11)/3.29)*44</f>
        <v>5335596.6157851033</v>
      </c>
      <c r="K854" s="15">
        <f ca="1">_xlfn.NORM.INV(RAND(),AVERAGE(Assumptions!$D$12,Assumptions!$F$12),(Assumptions!$F$12-Assumptions!$D$12)/3.29)*44</f>
        <v>7133251.2891871734</v>
      </c>
      <c r="L854" s="3">
        <f ca="1">_xlfn.NORM.INV(RAND(),AVERAGE(Assumptions!$D$13,Assumptions!$F$13),(Assumptions!$F$13-Assumptions!$D$13)/3.29)*44</f>
        <v>18135136.634499453</v>
      </c>
      <c r="M854" s="6">
        <f ca="1">_xlfn.NORM.INV(RAND(),AVERAGE(Assumptions!$D$14,Assumptions!$F$14),(Assumptions!$F$14-Assumptions!$D$14)/3.29)*44</f>
        <v>5311899.6267983941</v>
      </c>
      <c r="N854" s="9">
        <f ca="1">_xlfn.NORM.INV(RAND(),AVERAGE(Assumptions!$D$16,Assumptions!$F$16),(Assumptions!$F$16-Assumptions!$D$16)/3.29)*44</f>
        <v>11306474.253950072</v>
      </c>
      <c r="O854" s="12">
        <f ca="1">_xlfn.NORM.INV(RAND(),AVERAGE(Assumptions!$D$15,Assumptions!$F$15),(Assumptions!$F$15-Assumptions!$D$15)/3.29)*44</f>
        <v>106938414.94921429</v>
      </c>
      <c r="P854" s="15">
        <f>Assumptions!$D$18</f>
        <v>14641750.345627395</v>
      </c>
      <c r="Q854" s="3">
        <f t="shared" ca="1" si="26"/>
        <v>39354124.493013337</v>
      </c>
      <c r="R854" s="6">
        <f t="shared" ca="1" si="27"/>
        <v>53995874.838640735</v>
      </c>
    </row>
    <row r="855" spans="1:18">
      <c r="A855" s="20">
        <v>854</v>
      </c>
      <c r="B855" s="3">
        <f ca="1">_xlfn.NORM.INV(RAND(),AVERAGE(Assumptions!$D$4,Assumptions!$F$4),(Assumptions!$F$4-Assumptions!$D$4)/3.29)*44</f>
        <v>1152546.8747621602</v>
      </c>
      <c r="C855" s="6">
        <f ca="1">_xlfn.NORM.INV(RAND(),AVERAGE(Assumptions!$D$5,Assumptions!$F$5),(Assumptions!$F$5-Assumptions!$D$5)/3.29)*44</f>
        <v>1764383.881211041</v>
      </c>
      <c r="D855" s="9">
        <f ca="1">_xlfn.NORM.INV(RAND(),AVERAGE(Assumptions!$D$6,Assumptions!$F$6),(Assumptions!$F$6-Assumptions!$D$6)/3.29)*RANDBETWEEN(2,5)</f>
        <v>5290675.8599722851</v>
      </c>
      <c r="E855" s="12">
        <f ca="1">_xlfn.NORM.INV(RAND(),AVERAGE(Assumptions!$D$17,Assumptions!$F$17),(Assumptions!$F$17-Assumptions!$D$17)/3.29)*8</f>
        <v>919499.85848011309</v>
      </c>
      <c r="F855" s="15">
        <f ca="1">_xlfn.NORM.INV(RAND(),AVERAGE(Assumptions!$D$7,Assumptions!$F$7),(Assumptions!$F$7-Assumptions!$D$7)/3.29)*RANDBETWEEN(1,3)</f>
        <v>4531192.2053688411</v>
      </c>
      <c r="G855" s="3">
        <f ca="1">_xlfn.NORM.INV(RAND(),AVERAGE(Assumptions!$D$8,Assumptions!$F$8),(Assumptions!$F$8-Assumptions!$D$8)/3.29)*44</f>
        <v>972589.30257520336</v>
      </c>
      <c r="H855" s="6">
        <f ca="1">_xlfn.NORM.INV(RAND(),AVERAGE(Assumptions!$D$9,Assumptions!$F$9),(Assumptions!$F$9-Assumptions!$D$9)/3.29)*21</f>
        <v>5250009.1040686881</v>
      </c>
      <c r="I855" s="9">
        <f ca="1">_xlfn.NORM.INV(RAND(),AVERAGE(Assumptions!$D$10,Assumptions!$F$10),(Assumptions!$F$10-Assumptions!$D$10)/3.29)*21</f>
        <v>1122691.2672745942</v>
      </c>
      <c r="J855" s="12">
        <f ca="1">NORMINV(RAND(),AVERAGE(Assumptions!$D$11,Assumptions!$F$11),(Assumptions!$F$11-Assumptions!$D$11)/3.29)*44</f>
        <v>3676465.0798371229</v>
      </c>
      <c r="K855" s="15">
        <f ca="1">_xlfn.NORM.INV(RAND(),AVERAGE(Assumptions!$D$12,Assumptions!$F$12),(Assumptions!$F$12-Assumptions!$D$12)/3.29)*44</f>
        <v>9282688.6619807743</v>
      </c>
      <c r="L855" s="3">
        <f ca="1">_xlfn.NORM.INV(RAND(),AVERAGE(Assumptions!$D$13,Assumptions!$F$13),(Assumptions!$F$13-Assumptions!$D$13)/3.29)*44</f>
        <v>11873568.979047459</v>
      </c>
      <c r="M855" s="6">
        <f ca="1">_xlfn.NORM.INV(RAND(),AVERAGE(Assumptions!$D$14,Assumptions!$F$14),(Assumptions!$F$14-Assumptions!$D$14)/3.29)*44</f>
        <v>7010523.7571225818</v>
      </c>
      <c r="N855" s="9">
        <f ca="1">_xlfn.NORM.INV(RAND(),AVERAGE(Assumptions!$D$16,Assumptions!$F$16),(Assumptions!$F$16-Assumptions!$D$16)/3.29)*44</f>
        <v>19818206.157767396</v>
      </c>
      <c r="O855" s="12">
        <f ca="1">_xlfn.NORM.INV(RAND(),AVERAGE(Assumptions!$D$15,Assumptions!$F$15),(Assumptions!$F$15-Assumptions!$D$15)/3.29)*44</f>
        <v>100726182.42052995</v>
      </c>
      <c r="P855" s="15">
        <f>Assumptions!$D$18</f>
        <v>14641750.345627395</v>
      </c>
      <c r="Q855" s="3">
        <f t="shared" ca="1" si="26"/>
        <v>28061141.431061685</v>
      </c>
      <c r="R855" s="6">
        <f t="shared" ca="1" si="27"/>
        <v>42702891.776689082</v>
      </c>
    </row>
    <row r="856" spans="1:18">
      <c r="A856" s="20">
        <v>855</v>
      </c>
      <c r="B856" s="3">
        <f ca="1">_xlfn.NORM.INV(RAND(),AVERAGE(Assumptions!$D$4,Assumptions!$F$4),(Assumptions!$F$4-Assumptions!$D$4)/3.29)*44</f>
        <v>1247168.0640522407</v>
      </c>
      <c r="C856" s="6">
        <f ca="1">_xlfn.NORM.INV(RAND(),AVERAGE(Assumptions!$D$5,Assumptions!$F$5),(Assumptions!$F$5-Assumptions!$D$5)/3.29)*44</f>
        <v>1861621.2658783044</v>
      </c>
      <c r="D856" s="9">
        <f ca="1">_xlfn.NORM.INV(RAND(),AVERAGE(Assumptions!$D$6,Assumptions!$F$6),(Assumptions!$F$6-Assumptions!$D$6)/3.29)*RANDBETWEEN(2,5)</f>
        <v>7187795.9909410393</v>
      </c>
      <c r="E856" s="12">
        <f ca="1">_xlfn.NORM.INV(RAND(),AVERAGE(Assumptions!$D$17,Assumptions!$F$17),(Assumptions!$F$17-Assumptions!$D$17)/3.29)*8</f>
        <v>1063555.1727681495</v>
      </c>
      <c r="F856" s="15">
        <f ca="1">_xlfn.NORM.INV(RAND(),AVERAGE(Assumptions!$D$7,Assumptions!$F$7),(Assumptions!$F$7-Assumptions!$D$7)/3.29)*RANDBETWEEN(1,3)</f>
        <v>5915699.0259969039</v>
      </c>
      <c r="G856" s="3">
        <f ca="1">_xlfn.NORM.INV(RAND(),AVERAGE(Assumptions!$D$8,Assumptions!$F$8),(Assumptions!$F$8-Assumptions!$D$8)/3.29)*44</f>
        <v>717998.43398796581</v>
      </c>
      <c r="H856" s="6">
        <f ca="1">_xlfn.NORM.INV(RAND(),AVERAGE(Assumptions!$D$9,Assumptions!$F$9),(Assumptions!$F$9-Assumptions!$D$9)/3.29)*21</f>
        <v>4243447.0678544873</v>
      </c>
      <c r="I856" s="9">
        <f ca="1">_xlfn.NORM.INV(RAND(),AVERAGE(Assumptions!$D$10,Assumptions!$F$10),(Assumptions!$F$10-Assumptions!$D$10)/3.29)*21</f>
        <v>600700.93171973608</v>
      </c>
      <c r="J856" s="12">
        <f ca="1">NORMINV(RAND(),AVERAGE(Assumptions!$D$11,Assumptions!$F$11),(Assumptions!$F$11-Assumptions!$D$11)/3.29)*44</f>
        <v>4510395.3346600821</v>
      </c>
      <c r="K856" s="15">
        <f ca="1">_xlfn.NORM.INV(RAND(),AVERAGE(Assumptions!$D$12,Assumptions!$F$12),(Assumptions!$F$12-Assumptions!$D$12)/3.29)*44</f>
        <v>9402839.6178534795</v>
      </c>
      <c r="L856" s="3">
        <f ca="1">_xlfn.NORM.INV(RAND(),AVERAGE(Assumptions!$D$13,Assumptions!$F$13),(Assumptions!$F$13-Assumptions!$D$13)/3.29)*44</f>
        <v>15340927.291530551</v>
      </c>
      <c r="M856" s="6">
        <f ca="1">_xlfn.NORM.INV(RAND(),AVERAGE(Assumptions!$D$14,Assumptions!$F$14),(Assumptions!$F$14-Assumptions!$D$14)/3.29)*44</f>
        <v>4553277.7440869752</v>
      </c>
      <c r="N856" s="9">
        <f ca="1">_xlfn.NORM.INV(RAND(),AVERAGE(Assumptions!$D$16,Assumptions!$F$16),(Assumptions!$F$16-Assumptions!$D$16)/3.29)*44</f>
        <v>17087313.654268432</v>
      </c>
      <c r="O856" s="12">
        <f ca="1">_xlfn.NORM.INV(RAND(),AVERAGE(Assumptions!$D$15,Assumptions!$F$15),(Assumptions!$F$15-Assumptions!$D$15)/3.29)*44</f>
        <v>98116194.695974708</v>
      </c>
      <c r="P856" s="15">
        <f>Assumptions!$D$18</f>
        <v>14641750.345627395</v>
      </c>
      <c r="Q856" s="3">
        <f t="shared" ca="1" si="26"/>
        <v>24383455.100376368</v>
      </c>
      <c r="R856" s="6">
        <f t="shared" ca="1" si="27"/>
        <v>39025205.446003765</v>
      </c>
    </row>
    <row r="857" spans="1:18">
      <c r="A857" s="20">
        <v>856</v>
      </c>
      <c r="B857" s="3">
        <f ca="1">_xlfn.NORM.INV(RAND(),AVERAGE(Assumptions!$D$4,Assumptions!$F$4),(Assumptions!$F$4-Assumptions!$D$4)/3.29)*44</f>
        <v>1194794.9328442675</v>
      </c>
      <c r="C857" s="6">
        <f ca="1">_xlfn.NORM.INV(RAND(),AVERAGE(Assumptions!$D$5,Assumptions!$F$5),(Assumptions!$F$5-Assumptions!$D$5)/3.29)*44</f>
        <v>1959401.3542999909</v>
      </c>
      <c r="D857" s="9">
        <f ca="1">_xlfn.NORM.INV(RAND(),AVERAGE(Assumptions!$D$6,Assumptions!$F$6),(Assumptions!$F$6-Assumptions!$D$6)/3.29)*RANDBETWEEN(2,5)</f>
        <v>1956294.1397523656</v>
      </c>
      <c r="E857" s="12">
        <f ca="1">_xlfn.NORM.INV(RAND(),AVERAGE(Assumptions!$D$17,Assumptions!$F$17),(Assumptions!$F$17-Assumptions!$D$17)/3.29)*8</f>
        <v>970747.10184893012</v>
      </c>
      <c r="F857" s="15">
        <f ca="1">_xlfn.NORM.INV(RAND(),AVERAGE(Assumptions!$D$7,Assumptions!$F$7),(Assumptions!$F$7-Assumptions!$D$7)/3.29)*RANDBETWEEN(1,3)</f>
        <v>5796418.7271260777</v>
      </c>
      <c r="G857" s="3">
        <f ca="1">_xlfn.NORM.INV(RAND(),AVERAGE(Assumptions!$D$8,Assumptions!$F$8),(Assumptions!$F$8-Assumptions!$D$8)/3.29)*44</f>
        <v>1230631.6646367235</v>
      </c>
      <c r="H857" s="6">
        <f ca="1">_xlfn.NORM.INV(RAND(),AVERAGE(Assumptions!$D$9,Assumptions!$F$9),(Assumptions!$F$9-Assumptions!$D$9)/3.29)*21</f>
        <v>3514065.5279315514</v>
      </c>
      <c r="I857" s="9">
        <f ca="1">_xlfn.NORM.INV(RAND(),AVERAGE(Assumptions!$D$10,Assumptions!$F$10),(Assumptions!$F$10-Assumptions!$D$10)/3.29)*21</f>
        <v>1163682.0667341538</v>
      </c>
      <c r="J857" s="12">
        <f ca="1">NORMINV(RAND(),AVERAGE(Assumptions!$D$11,Assumptions!$F$11),(Assumptions!$F$11-Assumptions!$D$11)/3.29)*44</f>
        <v>2859727.9181864723</v>
      </c>
      <c r="K857" s="15">
        <f ca="1">_xlfn.NORM.INV(RAND(),AVERAGE(Assumptions!$D$12,Assumptions!$F$12),(Assumptions!$F$12-Assumptions!$D$12)/3.29)*44</f>
        <v>7903824.7802385539</v>
      </c>
      <c r="L857" s="3">
        <f ca="1">_xlfn.NORM.INV(RAND(),AVERAGE(Assumptions!$D$13,Assumptions!$F$13),(Assumptions!$F$13-Assumptions!$D$13)/3.29)*44</f>
        <v>20729235.053153753</v>
      </c>
      <c r="M857" s="6">
        <f ca="1">_xlfn.NORM.INV(RAND(),AVERAGE(Assumptions!$D$14,Assumptions!$F$14),(Assumptions!$F$14-Assumptions!$D$14)/3.29)*44</f>
        <v>5265815.2647240711</v>
      </c>
      <c r="N857" s="9">
        <f ca="1">_xlfn.NORM.INV(RAND(),AVERAGE(Assumptions!$D$16,Assumptions!$F$16),(Assumptions!$F$16-Assumptions!$D$16)/3.29)*44</f>
        <v>9635422.2310322821</v>
      </c>
      <c r="O857" s="12">
        <f ca="1">_xlfn.NORM.INV(RAND(),AVERAGE(Assumptions!$D$15,Assumptions!$F$15),(Assumptions!$F$15-Assumptions!$D$15)/3.29)*44</f>
        <v>64891627.979882158</v>
      </c>
      <c r="P857" s="15">
        <f>Assumptions!$D$18</f>
        <v>14641750.345627395</v>
      </c>
      <c r="Q857" s="3">
        <f t="shared" ca="1" si="26"/>
        <v>711567.21737296879</v>
      </c>
      <c r="R857" s="6">
        <f t="shared" ca="1" si="27"/>
        <v>15353317.563000364</v>
      </c>
    </row>
    <row r="858" spans="1:18">
      <c r="A858" s="20">
        <v>857</v>
      </c>
      <c r="B858" s="3">
        <f ca="1">_xlfn.NORM.INV(RAND(),AVERAGE(Assumptions!$D$4,Assumptions!$F$4),(Assumptions!$F$4-Assumptions!$D$4)/3.29)*44</f>
        <v>1196827.8006285061</v>
      </c>
      <c r="C858" s="6">
        <f ca="1">_xlfn.NORM.INV(RAND(),AVERAGE(Assumptions!$D$5,Assumptions!$F$5),(Assumptions!$F$5-Assumptions!$D$5)/3.29)*44</f>
        <v>1526230.0026246624</v>
      </c>
      <c r="D858" s="9">
        <f ca="1">_xlfn.NORM.INV(RAND(),AVERAGE(Assumptions!$D$6,Assumptions!$F$6),(Assumptions!$F$6-Assumptions!$D$6)/3.29)*RANDBETWEEN(2,5)</f>
        <v>4827748.0024482831</v>
      </c>
      <c r="E858" s="12">
        <f ca="1">_xlfn.NORM.INV(RAND(),AVERAGE(Assumptions!$D$17,Assumptions!$F$17),(Assumptions!$F$17-Assumptions!$D$17)/3.29)*8</f>
        <v>962611.17796462192</v>
      </c>
      <c r="F858" s="15">
        <f ca="1">_xlfn.NORM.INV(RAND(),AVERAGE(Assumptions!$D$7,Assumptions!$F$7),(Assumptions!$F$7-Assumptions!$D$7)/3.29)*RANDBETWEEN(1,3)</f>
        <v>3856829.854287032</v>
      </c>
      <c r="G858" s="3">
        <f ca="1">_xlfn.NORM.INV(RAND(),AVERAGE(Assumptions!$D$8,Assumptions!$F$8),(Assumptions!$F$8-Assumptions!$D$8)/3.29)*44</f>
        <v>1593873.4729730955</v>
      </c>
      <c r="H858" s="6">
        <f ca="1">_xlfn.NORM.INV(RAND(),AVERAGE(Assumptions!$D$9,Assumptions!$F$9),(Assumptions!$F$9-Assumptions!$D$9)/3.29)*21</f>
        <v>3953831.7303818897</v>
      </c>
      <c r="I858" s="9">
        <f ca="1">_xlfn.NORM.INV(RAND(),AVERAGE(Assumptions!$D$10,Assumptions!$F$10),(Assumptions!$F$10-Assumptions!$D$10)/3.29)*21</f>
        <v>767276.68468681001</v>
      </c>
      <c r="J858" s="12">
        <f ca="1">NORMINV(RAND(),AVERAGE(Assumptions!$D$11,Assumptions!$F$11),(Assumptions!$F$11-Assumptions!$D$11)/3.29)*44</f>
        <v>1379787.3074159352</v>
      </c>
      <c r="K858" s="15">
        <f ca="1">_xlfn.NORM.INV(RAND(),AVERAGE(Assumptions!$D$12,Assumptions!$F$12),(Assumptions!$F$12-Assumptions!$D$12)/3.29)*44</f>
        <v>8841747.5685145129</v>
      </c>
      <c r="L858" s="3">
        <f ca="1">_xlfn.NORM.INV(RAND(),AVERAGE(Assumptions!$D$13,Assumptions!$F$13),(Assumptions!$F$13-Assumptions!$D$13)/3.29)*44</f>
        <v>13377533.165451828</v>
      </c>
      <c r="M858" s="6">
        <f ca="1">_xlfn.NORM.INV(RAND(),AVERAGE(Assumptions!$D$14,Assumptions!$F$14),(Assumptions!$F$14-Assumptions!$D$14)/3.29)*44</f>
        <v>6737227.1017726064</v>
      </c>
      <c r="N858" s="9">
        <f ca="1">_xlfn.NORM.INV(RAND(),AVERAGE(Assumptions!$D$16,Assumptions!$F$16),(Assumptions!$F$16-Assumptions!$D$16)/3.29)*44</f>
        <v>11626032.812046696</v>
      </c>
      <c r="O858" s="12">
        <f ca="1">_xlfn.NORM.INV(RAND(),AVERAGE(Assumptions!$D$15,Assumptions!$F$15),(Assumptions!$F$15-Assumptions!$D$15)/3.29)*44</f>
        <v>90159750.514403224</v>
      </c>
      <c r="P858" s="15">
        <f>Assumptions!$D$18</f>
        <v>14641750.345627395</v>
      </c>
      <c r="Q858" s="3">
        <f t="shared" ca="1" si="26"/>
        <v>29512193.83320675</v>
      </c>
      <c r="R858" s="6">
        <f t="shared" ca="1" si="27"/>
        <v>44153944.178834148</v>
      </c>
    </row>
    <row r="859" spans="1:18">
      <c r="A859" s="20">
        <v>858</v>
      </c>
      <c r="B859" s="3">
        <f ca="1">_xlfn.NORM.INV(RAND(),AVERAGE(Assumptions!$D$4,Assumptions!$F$4),(Assumptions!$F$4-Assumptions!$D$4)/3.29)*44</f>
        <v>1102631.4902119855</v>
      </c>
      <c r="C859" s="6">
        <f ca="1">_xlfn.NORM.INV(RAND(),AVERAGE(Assumptions!$D$5,Assumptions!$F$5),(Assumptions!$F$5-Assumptions!$D$5)/3.29)*44</f>
        <v>1979758.2782929663</v>
      </c>
      <c r="D859" s="9">
        <f ca="1">_xlfn.NORM.INV(RAND(),AVERAGE(Assumptions!$D$6,Assumptions!$F$6),(Assumptions!$F$6-Assumptions!$D$6)/3.29)*RANDBETWEEN(2,5)</f>
        <v>5521609.1874863766</v>
      </c>
      <c r="E859" s="12">
        <f ca="1">_xlfn.NORM.INV(RAND(),AVERAGE(Assumptions!$D$17,Assumptions!$F$17),(Assumptions!$F$17-Assumptions!$D$17)/3.29)*8</f>
        <v>951956.25409896753</v>
      </c>
      <c r="F859" s="15">
        <f ca="1">_xlfn.NORM.INV(RAND(),AVERAGE(Assumptions!$D$7,Assumptions!$F$7),(Assumptions!$F$7-Assumptions!$D$7)/3.29)*RANDBETWEEN(1,3)</f>
        <v>7336214.1749213561</v>
      </c>
      <c r="G859" s="3">
        <f ca="1">_xlfn.NORM.INV(RAND(),AVERAGE(Assumptions!$D$8,Assumptions!$F$8),(Assumptions!$F$8-Assumptions!$D$8)/3.29)*44</f>
        <v>945873.33083663019</v>
      </c>
      <c r="H859" s="6">
        <f ca="1">_xlfn.NORM.INV(RAND(),AVERAGE(Assumptions!$D$9,Assumptions!$F$9),(Assumptions!$F$9-Assumptions!$D$9)/3.29)*21</f>
        <v>4017700.2967237444</v>
      </c>
      <c r="I859" s="9">
        <f ca="1">_xlfn.NORM.INV(RAND(),AVERAGE(Assumptions!$D$10,Assumptions!$F$10),(Assumptions!$F$10-Assumptions!$D$10)/3.29)*21</f>
        <v>804033.25763211038</v>
      </c>
      <c r="J859" s="12">
        <f ca="1">NORMINV(RAND(),AVERAGE(Assumptions!$D$11,Assumptions!$F$11),(Assumptions!$F$11-Assumptions!$D$11)/3.29)*44</f>
        <v>5166689.7529529389</v>
      </c>
      <c r="K859" s="15">
        <f ca="1">_xlfn.NORM.INV(RAND(),AVERAGE(Assumptions!$D$12,Assumptions!$F$12),(Assumptions!$F$12-Assumptions!$D$12)/3.29)*44</f>
        <v>8133526.1246578442</v>
      </c>
      <c r="L859" s="3">
        <f ca="1">_xlfn.NORM.INV(RAND(),AVERAGE(Assumptions!$D$13,Assumptions!$F$13),(Assumptions!$F$13-Assumptions!$D$13)/3.29)*44</f>
        <v>8152618.3664688999</v>
      </c>
      <c r="M859" s="6">
        <f ca="1">_xlfn.NORM.INV(RAND(),AVERAGE(Assumptions!$D$14,Assumptions!$F$14),(Assumptions!$F$14-Assumptions!$D$14)/3.29)*44</f>
        <v>5777782.469208207</v>
      </c>
      <c r="N859" s="9">
        <f ca="1">_xlfn.NORM.INV(RAND(),AVERAGE(Assumptions!$D$16,Assumptions!$F$16),(Assumptions!$F$16-Assumptions!$D$16)/3.29)*44</f>
        <v>3776480.2359565245</v>
      </c>
      <c r="O859" s="12">
        <f ca="1">_xlfn.NORM.INV(RAND(),AVERAGE(Assumptions!$D$15,Assumptions!$F$15),(Assumptions!$F$15-Assumptions!$D$15)/3.29)*44</f>
        <v>67308044.676120579</v>
      </c>
      <c r="P859" s="15">
        <f>Assumptions!$D$18</f>
        <v>14641750.345627395</v>
      </c>
      <c r="Q859" s="3">
        <f t="shared" ca="1" si="26"/>
        <v>13641171.45667202</v>
      </c>
      <c r="R859" s="6">
        <f t="shared" ca="1" si="27"/>
        <v>28282921.802299418</v>
      </c>
    </row>
    <row r="860" spans="1:18">
      <c r="A860" s="20">
        <v>859</v>
      </c>
      <c r="B860" s="3">
        <f ca="1">_xlfn.NORM.INV(RAND(),AVERAGE(Assumptions!$D$4,Assumptions!$F$4),(Assumptions!$F$4-Assumptions!$D$4)/3.29)*44</f>
        <v>1240995.4413305772</v>
      </c>
      <c r="C860" s="6">
        <f ca="1">_xlfn.NORM.INV(RAND(),AVERAGE(Assumptions!$D$5,Assumptions!$F$5),(Assumptions!$F$5-Assumptions!$D$5)/3.29)*44</f>
        <v>1896191.9028187557</v>
      </c>
      <c r="D860" s="9">
        <f ca="1">_xlfn.NORM.INV(RAND(),AVERAGE(Assumptions!$D$6,Assumptions!$F$6),(Assumptions!$F$6-Assumptions!$D$6)/3.29)*RANDBETWEEN(2,5)</f>
        <v>3229804.6362982769</v>
      </c>
      <c r="E860" s="12">
        <f ca="1">_xlfn.NORM.INV(RAND(),AVERAGE(Assumptions!$D$17,Assumptions!$F$17),(Assumptions!$F$17-Assumptions!$D$17)/3.29)*8</f>
        <v>1039680.5951921627</v>
      </c>
      <c r="F860" s="15">
        <f ca="1">_xlfn.NORM.INV(RAND(),AVERAGE(Assumptions!$D$7,Assumptions!$F$7),(Assumptions!$F$7-Assumptions!$D$7)/3.29)*RANDBETWEEN(1,3)</f>
        <v>5841841.3502262719</v>
      </c>
      <c r="G860" s="3">
        <f ca="1">_xlfn.NORM.INV(RAND(),AVERAGE(Assumptions!$D$8,Assumptions!$F$8),(Assumptions!$F$8-Assumptions!$D$8)/3.29)*44</f>
        <v>927957.76965262752</v>
      </c>
      <c r="H860" s="6">
        <f ca="1">_xlfn.NORM.INV(RAND(),AVERAGE(Assumptions!$D$9,Assumptions!$F$9),(Assumptions!$F$9-Assumptions!$D$9)/3.29)*21</f>
        <v>5219694.2299032155</v>
      </c>
      <c r="I860" s="9">
        <f ca="1">_xlfn.NORM.INV(RAND(),AVERAGE(Assumptions!$D$10,Assumptions!$F$10),(Assumptions!$F$10-Assumptions!$D$10)/3.29)*21</f>
        <v>1053759.8728708248</v>
      </c>
      <c r="J860" s="12">
        <f ca="1">NORMINV(RAND(),AVERAGE(Assumptions!$D$11,Assumptions!$F$11),(Assumptions!$F$11-Assumptions!$D$11)/3.29)*44</f>
        <v>2727839.5405347142</v>
      </c>
      <c r="K860" s="15">
        <f ca="1">_xlfn.NORM.INV(RAND(),AVERAGE(Assumptions!$D$12,Assumptions!$F$12),(Assumptions!$F$12-Assumptions!$D$12)/3.29)*44</f>
        <v>8114526.9257143708</v>
      </c>
      <c r="L860" s="3">
        <f ca="1">_xlfn.NORM.INV(RAND(),AVERAGE(Assumptions!$D$13,Assumptions!$F$13),(Assumptions!$F$13-Assumptions!$D$13)/3.29)*44</f>
        <v>7154581.4031427735</v>
      </c>
      <c r="M860" s="6">
        <f ca="1">_xlfn.NORM.INV(RAND(),AVERAGE(Assumptions!$D$14,Assumptions!$F$14),(Assumptions!$F$14-Assumptions!$D$14)/3.29)*44</f>
        <v>5340986.5395912733</v>
      </c>
      <c r="N860" s="9">
        <f ca="1">_xlfn.NORM.INV(RAND(),AVERAGE(Assumptions!$D$16,Assumptions!$F$16),(Assumptions!$F$16-Assumptions!$D$16)/3.29)*44</f>
        <v>8633766.3486506864</v>
      </c>
      <c r="O860" s="12">
        <f ca="1">_xlfn.NORM.INV(RAND(),AVERAGE(Assumptions!$D$15,Assumptions!$F$15),(Assumptions!$F$15-Assumptions!$D$15)/3.29)*44</f>
        <v>182775339.97566205</v>
      </c>
      <c r="P860" s="15">
        <f>Assumptions!$D$18</f>
        <v>14641750.345627395</v>
      </c>
      <c r="Q860" s="3">
        <f t="shared" ca="1" si="26"/>
        <v>130353713.41973552</v>
      </c>
      <c r="R860" s="6">
        <f t="shared" ca="1" si="27"/>
        <v>144995463.76536292</v>
      </c>
    </row>
    <row r="861" spans="1:18">
      <c r="A861" s="20">
        <v>860</v>
      </c>
      <c r="B861" s="3">
        <f ca="1">_xlfn.NORM.INV(RAND(),AVERAGE(Assumptions!$D$4,Assumptions!$F$4),(Assumptions!$F$4-Assumptions!$D$4)/3.29)*44</f>
        <v>1251378.4681234225</v>
      </c>
      <c r="C861" s="6">
        <f ca="1">_xlfn.NORM.INV(RAND(),AVERAGE(Assumptions!$D$5,Assumptions!$F$5),(Assumptions!$F$5-Assumptions!$D$5)/3.29)*44</f>
        <v>1797393.4638921779</v>
      </c>
      <c r="D861" s="9">
        <f ca="1">_xlfn.NORM.INV(RAND(),AVERAGE(Assumptions!$D$6,Assumptions!$F$6),(Assumptions!$F$6-Assumptions!$D$6)/3.29)*RANDBETWEEN(2,5)</f>
        <v>3160979.3853474953</v>
      </c>
      <c r="E861" s="12">
        <f ca="1">_xlfn.NORM.INV(RAND(),AVERAGE(Assumptions!$D$17,Assumptions!$F$17),(Assumptions!$F$17-Assumptions!$D$17)/3.29)*8</f>
        <v>1021982.5468045054</v>
      </c>
      <c r="F861" s="15">
        <f ca="1">_xlfn.NORM.INV(RAND(),AVERAGE(Assumptions!$D$7,Assumptions!$F$7),(Assumptions!$F$7-Assumptions!$D$7)/3.29)*RANDBETWEEN(1,3)</f>
        <v>3336194.1534041413</v>
      </c>
      <c r="G861" s="3">
        <f ca="1">_xlfn.NORM.INV(RAND(),AVERAGE(Assumptions!$D$8,Assumptions!$F$8),(Assumptions!$F$8-Assumptions!$D$8)/3.29)*44</f>
        <v>876206.97573150531</v>
      </c>
      <c r="H861" s="6">
        <f ca="1">_xlfn.NORM.INV(RAND(),AVERAGE(Assumptions!$D$9,Assumptions!$F$9),(Assumptions!$F$9-Assumptions!$D$9)/3.29)*21</f>
        <v>4062192.0439528567</v>
      </c>
      <c r="I861" s="9">
        <f ca="1">_xlfn.NORM.INV(RAND(),AVERAGE(Assumptions!$D$10,Assumptions!$F$10),(Assumptions!$F$10-Assumptions!$D$10)/3.29)*21</f>
        <v>1029343.4742109274</v>
      </c>
      <c r="J861" s="12">
        <f ca="1">NORMINV(RAND(),AVERAGE(Assumptions!$D$11,Assumptions!$F$11),(Assumptions!$F$11-Assumptions!$D$11)/3.29)*44</f>
        <v>3422781.4295630464</v>
      </c>
      <c r="K861" s="15">
        <f ca="1">_xlfn.NORM.INV(RAND(),AVERAGE(Assumptions!$D$12,Assumptions!$F$12),(Assumptions!$F$12-Assumptions!$D$12)/3.29)*44</f>
        <v>7290146.4034863217</v>
      </c>
      <c r="L861" s="3">
        <f ca="1">_xlfn.NORM.INV(RAND(),AVERAGE(Assumptions!$D$13,Assumptions!$F$13),(Assumptions!$F$13-Assumptions!$D$13)/3.29)*44</f>
        <v>11436173.791560316</v>
      </c>
      <c r="M861" s="6">
        <f ca="1">_xlfn.NORM.INV(RAND(),AVERAGE(Assumptions!$D$14,Assumptions!$F$14),(Assumptions!$F$14-Assumptions!$D$14)/3.29)*44</f>
        <v>5223847.7533042245</v>
      </c>
      <c r="N861" s="9">
        <f ca="1">_xlfn.NORM.INV(RAND(),AVERAGE(Assumptions!$D$16,Assumptions!$F$16),(Assumptions!$F$16-Assumptions!$D$16)/3.29)*44</f>
        <v>9461359.9370502662</v>
      </c>
      <c r="O861" s="12">
        <f ca="1">_xlfn.NORM.INV(RAND(),AVERAGE(Assumptions!$D$15,Assumptions!$F$15),(Assumptions!$F$15-Assumptions!$D$15)/3.29)*44</f>
        <v>152959816.38226908</v>
      </c>
      <c r="P861" s="15">
        <f>Assumptions!$D$18</f>
        <v>14641750.345627395</v>
      </c>
      <c r="Q861" s="3">
        <f t="shared" ca="1" si="26"/>
        <v>99589836.555837885</v>
      </c>
      <c r="R861" s="6">
        <f t="shared" ca="1" si="27"/>
        <v>114231586.90146528</v>
      </c>
    </row>
    <row r="862" spans="1:18">
      <c r="A862" s="20">
        <v>861</v>
      </c>
      <c r="B862" s="3">
        <f ca="1">_xlfn.NORM.INV(RAND(),AVERAGE(Assumptions!$D$4,Assumptions!$F$4),(Assumptions!$F$4-Assumptions!$D$4)/3.29)*44</f>
        <v>1180961.230510466</v>
      </c>
      <c r="C862" s="6">
        <f ca="1">_xlfn.NORM.INV(RAND(),AVERAGE(Assumptions!$D$5,Assumptions!$F$5),(Assumptions!$F$5-Assumptions!$D$5)/3.29)*44</f>
        <v>2127970.8840398472</v>
      </c>
      <c r="D862" s="9">
        <f ca="1">_xlfn.NORM.INV(RAND(),AVERAGE(Assumptions!$D$6,Assumptions!$F$6),(Assumptions!$F$6-Assumptions!$D$6)/3.29)*RANDBETWEEN(2,5)</f>
        <v>6027339.5497645354</v>
      </c>
      <c r="E862" s="12">
        <f ca="1">_xlfn.NORM.INV(RAND(),AVERAGE(Assumptions!$D$17,Assumptions!$F$17),(Assumptions!$F$17-Assumptions!$D$17)/3.29)*8</f>
        <v>1064769.0172071639</v>
      </c>
      <c r="F862" s="15">
        <f ca="1">_xlfn.NORM.INV(RAND(),AVERAGE(Assumptions!$D$7,Assumptions!$F$7),(Assumptions!$F$7-Assumptions!$D$7)/3.29)*RANDBETWEEN(1,3)</f>
        <v>2850243.4132508938</v>
      </c>
      <c r="G862" s="3">
        <f ca="1">_xlfn.NORM.INV(RAND(),AVERAGE(Assumptions!$D$8,Assumptions!$F$8),(Assumptions!$F$8-Assumptions!$D$8)/3.29)*44</f>
        <v>837953.63228876586</v>
      </c>
      <c r="H862" s="6">
        <f ca="1">_xlfn.NORM.INV(RAND(),AVERAGE(Assumptions!$D$9,Assumptions!$F$9),(Assumptions!$F$9-Assumptions!$D$9)/3.29)*21</f>
        <v>4359238.1688239612</v>
      </c>
      <c r="I862" s="9">
        <f ca="1">_xlfn.NORM.INV(RAND(),AVERAGE(Assumptions!$D$10,Assumptions!$F$10),(Assumptions!$F$10-Assumptions!$D$10)/3.29)*21</f>
        <v>822020.5554417324</v>
      </c>
      <c r="J862" s="12">
        <f ca="1">NORMINV(RAND(),AVERAGE(Assumptions!$D$11,Assumptions!$F$11),(Assumptions!$F$11-Assumptions!$D$11)/3.29)*44</f>
        <v>4486096.339244796</v>
      </c>
      <c r="K862" s="15">
        <f ca="1">_xlfn.NORM.INV(RAND(),AVERAGE(Assumptions!$D$12,Assumptions!$F$12),(Assumptions!$F$12-Assumptions!$D$12)/3.29)*44</f>
        <v>8040752.657063554</v>
      </c>
      <c r="L862" s="3">
        <f ca="1">_xlfn.NORM.INV(RAND(),AVERAGE(Assumptions!$D$13,Assumptions!$F$13),(Assumptions!$F$13-Assumptions!$D$13)/3.29)*44</f>
        <v>25106170.096091684</v>
      </c>
      <c r="M862" s="6">
        <f ca="1">_xlfn.NORM.INV(RAND(),AVERAGE(Assumptions!$D$14,Assumptions!$F$14),(Assumptions!$F$14-Assumptions!$D$14)/3.29)*44</f>
        <v>5941943.4531732686</v>
      </c>
      <c r="N862" s="9">
        <f ca="1">_xlfn.NORM.INV(RAND(),AVERAGE(Assumptions!$D$16,Assumptions!$F$16),(Assumptions!$F$16-Assumptions!$D$16)/3.29)*44</f>
        <v>4804681.332740156</v>
      </c>
      <c r="O862" s="12">
        <f ca="1">_xlfn.NORM.INV(RAND(),AVERAGE(Assumptions!$D$15,Assumptions!$F$15),(Assumptions!$F$15-Assumptions!$D$15)/3.29)*44</f>
        <v>89223099.117946386</v>
      </c>
      <c r="P862" s="15">
        <f>Assumptions!$D$18</f>
        <v>14641750.345627395</v>
      </c>
      <c r="Q862" s="3">
        <f t="shared" ca="1" si="26"/>
        <v>21572958.788305566</v>
      </c>
      <c r="R862" s="6">
        <f t="shared" ca="1" si="27"/>
        <v>36214709.133932963</v>
      </c>
    </row>
    <row r="863" spans="1:18">
      <c r="A863" s="20">
        <v>862</v>
      </c>
      <c r="B863" s="3">
        <f ca="1">_xlfn.NORM.INV(RAND(),AVERAGE(Assumptions!$D$4,Assumptions!$F$4),(Assumptions!$F$4-Assumptions!$D$4)/3.29)*44</f>
        <v>1069026.5523501919</v>
      </c>
      <c r="C863" s="6">
        <f ca="1">_xlfn.NORM.INV(RAND(),AVERAGE(Assumptions!$D$5,Assumptions!$F$5),(Assumptions!$F$5-Assumptions!$D$5)/3.29)*44</f>
        <v>1708368.719019789</v>
      </c>
      <c r="D863" s="9">
        <f ca="1">_xlfn.NORM.INV(RAND(),AVERAGE(Assumptions!$D$6,Assumptions!$F$6),(Assumptions!$F$6-Assumptions!$D$6)/3.29)*RANDBETWEEN(2,5)</f>
        <v>3500096.5411410164</v>
      </c>
      <c r="E863" s="12">
        <f ca="1">_xlfn.NORM.INV(RAND(),AVERAGE(Assumptions!$D$17,Assumptions!$F$17),(Assumptions!$F$17-Assumptions!$D$17)/3.29)*8</f>
        <v>1048784.0617559836</v>
      </c>
      <c r="F863" s="15">
        <f ca="1">_xlfn.NORM.INV(RAND(),AVERAGE(Assumptions!$D$7,Assumptions!$F$7),(Assumptions!$F$7-Assumptions!$D$7)/3.29)*RANDBETWEEN(1,3)</f>
        <v>4338477.0597978104</v>
      </c>
      <c r="G863" s="3">
        <f ca="1">_xlfn.NORM.INV(RAND(),AVERAGE(Assumptions!$D$8,Assumptions!$F$8),(Assumptions!$F$8-Assumptions!$D$8)/3.29)*44</f>
        <v>833745.92881129938</v>
      </c>
      <c r="H863" s="6">
        <f ca="1">_xlfn.NORM.INV(RAND(),AVERAGE(Assumptions!$D$9,Assumptions!$F$9),(Assumptions!$F$9-Assumptions!$D$9)/3.29)*21</f>
        <v>2435391.064785284</v>
      </c>
      <c r="I863" s="9">
        <f ca="1">_xlfn.NORM.INV(RAND(),AVERAGE(Assumptions!$D$10,Assumptions!$F$10),(Assumptions!$F$10-Assumptions!$D$10)/3.29)*21</f>
        <v>1017097.1915948041</v>
      </c>
      <c r="J863" s="12">
        <f ca="1">NORMINV(RAND(),AVERAGE(Assumptions!$D$11,Assumptions!$F$11),(Assumptions!$F$11-Assumptions!$D$11)/3.29)*44</f>
        <v>3355733.3516706671</v>
      </c>
      <c r="K863" s="15">
        <f ca="1">_xlfn.NORM.INV(RAND(),AVERAGE(Assumptions!$D$12,Assumptions!$F$12),(Assumptions!$F$12-Assumptions!$D$12)/3.29)*44</f>
        <v>6685379.1895179804</v>
      </c>
      <c r="L863" s="3">
        <f ca="1">_xlfn.NORM.INV(RAND(),AVERAGE(Assumptions!$D$13,Assumptions!$F$13),(Assumptions!$F$13-Assumptions!$D$13)/3.29)*44</f>
        <v>3730720.2777563459</v>
      </c>
      <c r="M863" s="6">
        <f ca="1">_xlfn.NORM.INV(RAND(),AVERAGE(Assumptions!$D$14,Assumptions!$F$14),(Assumptions!$F$14-Assumptions!$D$14)/3.29)*44</f>
        <v>4398649.2976712259</v>
      </c>
      <c r="N863" s="9">
        <f ca="1">_xlfn.NORM.INV(RAND(),AVERAGE(Assumptions!$D$16,Assumptions!$F$16),(Assumptions!$F$16-Assumptions!$D$16)/3.29)*44</f>
        <v>9305503.3175460212</v>
      </c>
      <c r="O863" s="12">
        <f ca="1">_xlfn.NORM.INV(RAND(),AVERAGE(Assumptions!$D$15,Assumptions!$F$15),(Assumptions!$F$15-Assumptions!$D$15)/3.29)*44</f>
        <v>149303902.10758129</v>
      </c>
      <c r="P863" s="15">
        <f>Assumptions!$D$18</f>
        <v>14641750.345627395</v>
      </c>
      <c r="Q863" s="3">
        <f t="shared" ca="1" si="26"/>
        <v>105876929.55416287</v>
      </c>
      <c r="R863" s="6">
        <f t="shared" ca="1" si="27"/>
        <v>120518679.89979027</v>
      </c>
    </row>
    <row r="864" spans="1:18">
      <c r="A864" s="20">
        <v>863</v>
      </c>
      <c r="B864" s="3">
        <f ca="1">_xlfn.NORM.INV(RAND(),AVERAGE(Assumptions!$D$4,Assumptions!$F$4),(Assumptions!$F$4-Assumptions!$D$4)/3.29)*44</f>
        <v>1345969.0140759095</v>
      </c>
      <c r="C864" s="6">
        <f ca="1">_xlfn.NORM.INV(RAND(),AVERAGE(Assumptions!$D$5,Assumptions!$F$5),(Assumptions!$F$5-Assumptions!$D$5)/3.29)*44</f>
        <v>1926987.3073587087</v>
      </c>
      <c r="D864" s="9">
        <f ca="1">_xlfn.NORM.INV(RAND(),AVERAGE(Assumptions!$D$6,Assumptions!$F$6),(Assumptions!$F$6-Assumptions!$D$6)/3.29)*RANDBETWEEN(2,5)</f>
        <v>7004086.6275233822</v>
      </c>
      <c r="E864" s="12">
        <f ca="1">_xlfn.NORM.INV(RAND(),AVERAGE(Assumptions!$D$17,Assumptions!$F$17),(Assumptions!$F$17-Assumptions!$D$17)/3.29)*8</f>
        <v>1147414.7844371581</v>
      </c>
      <c r="F864" s="15">
        <f ca="1">_xlfn.NORM.INV(RAND(),AVERAGE(Assumptions!$D$7,Assumptions!$F$7),(Assumptions!$F$7-Assumptions!$D$7)/3.29)*RANDBETWEEN(1,3)</f>
        <v>11766500.301328957</v>
      </c>
      <c r="G864" s="3">
        <f ca="1">_xlfn.NORM.INV(RAND(),AVERAGE(Assumptions!$D$8,Assumptions!$F$8),(Assumptions!$F$8-Assumptions!$D$8)/3.29)*44</f>
        <v>1196145.8552351464</v>
      </c>
      <c r="H864" s="6">
        <f ca="1">_xlfn.NORM.INV(RAND(),AVERAGE(Assumptions!$D$9,Assumptions!$F$9),(Assumptions!$F$9-Assumptions!$D$9)/3.29)*21</f>
        <v>5214473.45092972</v>
      </c>
      <c r="I864" s="9">
        <f ca="1">_xlfn.NORM.INV(RAND(),AVERAGE(Assumptions!$D$10,Assumptions!$F$10),(Assumptions!$F$10-Assumptions!$D$10)/3.29)*21</f>
        <v>766580.98595874221</v>
      </c>
      <c r="J864" s="12">
        <f ca="1">NORMINV(RAND(),AVERAGE(Assumptions!$D$11,Assumptions!$F$11),(Assumptions!$F$11-Assumptions!$D$11)/3.29)*44</f>
        <v>6365319.6622448871</v>
      </c>
      <c r="K864" s="15">
        <f ca="1">_xlfn.NORM.INV(RAND(),AVERAGE(Assumptions!$D$12,Assumptions!$F$12),(Assumptions!$F$12-Assumptions!$D$12)/3.29)*44</f>
        <v>5833084.3313725526</v>
      </c>
      <c r="L864" s="3">
        <f ca="1">_xlfn.NORM.INV(RAND(),AVERAGE(Assumptions!$D$13,Assumptions!$F$13),(Assumptions!$F$13-Assumptions!$D$13)/3.29)*44</f>
        <v>14425679.717214342</v>
      </c>
      <c r="M864" s="6">
        <f ca="1">_xlfn.NORM.INV(RAND(),AVERAGE(Assumptions!$D$14,Assumptions!$F$14),(Assumptions!$F$14-Assumptions!$D$14)/3.29)*44</f>
        <v>6222964.5361197144</v>
      </c>
      <c r="N864" s="9">
        <f ca="1">_xlfn.NORM.INV(RAND(),AVERAGE(Assumptions!$D$16,Assumptions!$F$16),(Assumptions!$F$16-Assumptions!$D$16)/3.29)*44</f>
        <v>15359648.688268814</v>
      </c>
      <c r="O864" s="12">
        <f ca="1">_xlfn.NORM.INV(RAND(),AVERAGE(Assumptions!$D$15,Assumptions!$F$15),(Assumptions!$F$15-Assumptions!$D$15)/3.29)*44</f>
        <v>113811350.39390558</v>
      </c>
      <c r="P864" s="15">
        <f>Assumptions!$D$18</f>
        <v>14641750.345627395</v>
      </c>
      <c r="Q864" s="3">
        <f t="shared" ca="1" si="26"/>
        <v>35236495.131837547</v>
      </c>
      <c r="R864" s="6">
        <f t="shared" ca="1" si="27"/>
        <v>49878245.477464944</v>
      </c>
    </row>
    <row r="865" spans="1:18">
      <c r="A865" s="20">
        <v>864</v>
      </c>
      <c r="B865" s="3">
        <f ca="1">_xlfn.NORM.INV(RAND(),AVERAGE(Assumptions!$D$4,Assumptions!$F$4),(Assumptions!$F$4-Assumptions!$D$4)/3.29)*44</f>
        <v>1136592.6521023854</v>
      </c>
      <c r="C865" s="6">
        <f ca="1">_xlfn.NORM.INV(RAND(),AVERAGE(Assumptions!$D$5,Assumptions!$F$5),(Assumptions!$F$5-Assumptions!$D$5)/3.29)*44</f>
        <v>1922100.7179476516</v>
      </c>
      <c r="D865" s="9">
        <f ca="1">_xlfn.NORM.INV(RAND(),AVERAGE(Assumptions!$D$6,Assumptions!$F$6),(Assumptions!$F$6-Assumptions!$D$6)/3.29)*RANDBETWEEN(2,5)</f>
        <v>3102804.0649265228</v>
      </c>
      <c r="E865" s="12">
        <f ca="1">_xlfn.NORM.INV(RAND(),AVERAGE(Assumptions!$D$17,Assumptions!$F$17),(Assumptions!$F$17-Assumptions!$D$17)/3.29)*8</f>
        <v>1062397.9803105718</v>
      </c>
      <c r="F865" s="15">
        <f ca="1">_xlfn.NORM.INV(RAND(),AVERAGE(Assumptions!$D$7,Assumptions!$F$7),(Assumptions!$F$7-Assumptions!$D$7)/3.29)*RANDBETWEEN(1,3)</f>
        <v>5639059.9732349468</v>
      </c>
      <c r="G865" s="3">
        <f ca="1">_xlfn.NORM.INV(RAND(),AVERAGE(Assumptions!$D$8,Assumptions!$F$8),(Assumptions!$F$8-Assumptions!$D$8)/3.29)*44</f>
        <v>1397630.2080095247</v>
      </c>
      <c r="H865" s="6">
        <f ca="1">_xlfn.NORM.INV(RAND(),AVERAGE(Assumptions!$D$9,Assumptions!$F$9),(Assumptions!$F$9-Assumptions!$D$9)/3.29)*21</f>
        <v>3512962.2091243449</v>
      </c>
      <c r="I865" s="9">
        <f ca="1">_xlfn.NORM.INV(RAND(),AVERAGE(Assumptions!$D$10,Assumptions!$F$10),(Assumptions!$F$10-Assumptions!$D$10)/3.29)*21</f>
        <v>661527.48121425952</v>
      </c>
      <c r="J865" s="12">
        <f ca="1">NORMINV(RAND(),AVERAGE(Assumptions!$D$11,Assumptions!$F$11),(Assumptions!$F$11-Assumptions!$D$11)/3.29)*44</f>
        <v>1893541.0001805052</v>
      </c>
      <c r="K865" s="15">
        <f ca="1">_xlfn.NORM.INV(RAND(),AVERAGE(Assumptions!$D$12,Assumptions!$F$12),(Assumptions!$F$12-Assumptions!$D$12)/3.29)*44</f>
        <v>7076555.9465570617</v>
      </c>
      <c r="L865" s="3">
        <f ca="1">_xlfn.NORM.INV(RAND(),AVERAGE(Assumptions!$D$13,Assumptions!$F$13),(Assumptions!$F$13-Assumptions!$D$13)/3.29)*44</f>
        <v>13179404.295398083</v>
      </c>
      <c r="M865" s="6">
        <f ca="1">_xlfn.NORM.INV(RAND(),AVERAGE(Assumptions!$D$14,Assumptions!$F$14),(Assumptions!$F$14-Assumptions!$D$14)/3.29)*44</f>
        <v>4237072.1232291711</v>
      </c>
      <c r="N865" s="9">
        <f ca="1">_xlfn.NORM.INV(RAND(),AVERAGE(Assumptions!$D$16,Assumptions!$F$16),(Assumptions!$F$16-Assumptions!$D$16)/3.29)*44</f>
        <v>10018024.20313664</v>
      </c>
      <c r="O865" s="12">
        <f ca="1">_xlfn.NORM.INV(RAND(),AVERAGE(Assumptions!$D$15,Assumptions!$F$15),(Assumptions!$F$15-Assumptions!$D$15)/3.29)*44</f>
        <v>67045303.164492853</v>
      </c>
      <c r="P865" s="15">
        <f>Assumptions!$D$18</f>
        <v>14641750.345627395</v>
      </c>
      <c r="Q865" s="3">
        <f t="shared" ca="1" si="26"/>
        <v>12205630.309121192</v>
      </c>
      <c r="R865" s="6">
        <f t="shared" ca="1" si="27"/>
        <v>26847380.654748589</v>
      </c>
    </row>
    <row r="866" spans="1:18">
      <c r="A866" s="20">
        <v>865</v>
      </c>
      <c r="B866" s="3">
        <f ca="1">_xlfn.NORM.INV(RAND(),AVERAGE(Assumptions!$D$4,Assumptions!$F$4),(Assumptions!$F$4-Assumptions!$D$4)/3.29)*44</f>
        <v>1264196.0182607174</v>
      </c>
      <c r="C866" s="6">
        <f ca="1">_xlfn.NORM.INV(RAND(),AVERAGE(Assumptions!$D$5,Assumptions!$F$5),(Assumptions!$F$5-Assumptions!$D$5)/3.29)*44</f>
        <v>1681990.4427572547</v>
      </c>
      <c r="D866" s="9">
        <f ca="1">_xlfn.NORM.INV(RAND(),AVERAGE(Assumptions!$D$6,Assumptions!$F$6),(Assumptions!$F$6-Assumptions!$D$6)/3.29)*RANDBETWEEN(2,5)</f>
        <v>3240791.6292408453</v>
      </c>
      <c r="E866" s="12">
        <f ca="1">_xlfn.NORM.INV(RAND(),AVERAGE(Assumptions!$D$17,Assumptions!$F$17),(Assumptions!$F$17-Assumptions!$D$17)/3.29)*8</f>
        <v>917513.0318602823</v>
      </c>
      <c r="F866" s="15">
        <f ca="1">_xlfn.NORM.INV(RAND(),AVERAGE(Assumptions!$D$7,Assumptions!$F$7),(Assumptions!$F$7-Assumptions!$D$7)/3.29)*RANDBETWEEN(1,3)</f>
        <v>9518885.0293890443</v>
      </c>
      <c r="G866" s="3">
        <f ca="1">_xlfn.NORM.INV(RAND(),AVERAGE(Assumptions!$D$8,Assumptions!$F$8),(Assumptions!$F$8-Assumptions!$D$8)/3.29)*44</f>
        <v>1521561.5063316515</v>
      </c>
      <c r="H866" s="6">
        <f ca="1">_xlfn.NORM.INV(RAND(),AVERAGE(Assumptions!$D$9,Assumptions!$F$9),(Assumptions!$F$9-Assumptions!$D$9)/3.29)*21</f>
        <v>5819736.0414391812</v>
      </c>
      <c r="I866" s="9">
        <f ca="1">_xlfn.NORM.INV(RAND(),AVERAGE(Assumptions!$D$10,Assumptions!$F$10),(Assumptions!$F$10-Assumptions!$D$10)/3.29)*21</f>
        <v>1182330.9504739479</v>
      </c>
      <c r="J866" s="12">
        <f ca="1">NORMINV(RAND(),AVERAGE(Assumptions!$D$11,Assumptions!$F$11),(Assumptions!$F$11-Assumptions!$D$11)/3.29)*44</f>
        <v>2234335.2326860139</v>
      </c>
      <c r="K866" s="15">
        <f ca="1">_xlfn.NORM.INV(RAND(),AVERAGE(Assumptions!$D$12,Assumptions!$F$12),(Assumptions!$F$12-Assumptions!$D$12)/3.29)*44</f>
        <v>10157507.211598177</v>
      </c>
      <c r="L866" s="3">
        <f ca="1">_xlfn.NORM.INV(RAND(),AVERAGE(Assumptions!$D$13,Assumptions!$F$13),(Assumptions!$F$13-Assumptions!$D$13)/3.29)*44</f>
        <v>16373750.553143745</v>
      </c>
      <c r="M866" s="6">
        <f ca="1">_xlfn.NORM.INV(RAND(),AVERAGE(Assumptions!$D$14,Assumptions!$F$14),(Assumptions!$F$14-Assumptions!$D$14)/3.29)*44</f>
        <v>6695284.1229203288</v>
      </c>
      <c r="N866" s="9">
        <f ca="1">_xlfn.NORM.INV(RAND(),AVERAGE(Assumptions!$D$16,Assumptions!$F$16),(Assumptions!$F$16-Assumptions!$D$16)/3.29)*44</f>
        <v>5786627.8842663607</v>
      </c>
      <c r="O866" s="12">
        <f ca="1">_xlfn.NORM.INV(RAND(),AVERAGE(Assumptions!$D$15,Assumptions!$F$15),(Assumptions!$F$15-Assumptions!$D$15)/3.29)*44</f>
        <v>70726368.318975165</v>
      </c>
      <c r="P866" s="15">
        <f>Assumptions!$D$18</f>
        <v>14641750.345627395</v>
      </c>
      <c r="Q866" s="3">
        <f t="shared" ca="1" si="26"/>
        <v>4331858.6646076068</v>
      </c>
      <c r="R866" s="6">
        <f t="shared" ca="1" si="27"/>
        <v>18973609.010235004</v>
      </c>
    </row>
    <row r="867" spans="1:18">
      <c r="A867" s="20">
        <v>866</v>
      </c>
      <c r="B867" s="3">
        <f ca="1">_xlfn.NORM.INV(RAND(),AVERAGE(Assumptions!$D$4,Assumptions!$F$4),(Assumptions!$F$4-Assumptions!$D$4)/3.29)*44</f>
        <v>1177716.2312087244</v>
      </c>
      <c r="C867" s="6">
        <f ca="1">_xlfn.NORM.INV(RAND(),AVERAGE(Assumptions!$D$5,Assumptions!$F$5),(Assumptions!$F$5-Assumptions!$D$5)/3.29)*44</f>
        <v>1600862.2777993614</v>
      </c>
      <c r="D867" s="9">
        <f ca="1">_xlfn.NORM.INV(RAND(),AVERAGE(Assumptions!$D$6,Assumptions!$F$6),(Assumptions!$F$6-Assumptions!$D$6)/3.29)*RANDBETWEEN(2,5)</f>
        <v>4095006.6670798264</v>
      </c>
      <c r="E867" s="12">
        <f ca="1">_xlfn.NORM.INV(RAND(),AVERAGE(Assumptions!$D$17,Assumptions!$F$17),(Assumptions!$F$17-Assumptions!$D$17)/3.29)*8</f>
        <v>1062975.2795555519</v>
      </c>
      <c r="F867" s="15">
        <f ca="1">_xlfn.NORM.INV(RAND(),AVERAGE(Assumptions!$D$7,Assumptions!$F$7),(Assumptions!$F$7-Assumptions!$D$7)/3.29)*RANDBETWEEN(1,3)</f>
        <v>3451293.9174615233</v>
      </c>
      <c r="G867" s="3">
        <f ca="1">_xlfn.NORM.INV(RAND(),AVERAGE(Assumptions!$D$8,Assumptions!$F$8),(Assumptions!$F$8-Assumptions!$D$8)/3.29)*44</f>
        <v>1098860.0598330004</v>
      </c>
      <c r="H867" s="6">
        <f ca="1">_xlfn.NORM.INV(RAND(),AVERAGE(Assumptions!$D$9,Assumptions!$F$9),(Assumptions!$F$9-Assumptions!$D$9)/3.29)*21</f>
        <v>5577467.6801951258</v>
      </c>
      <c r="I867" s="9">
        <f ca="1">_xlfn.NORM.INV(RAND(),AVERAGE(Assumptions!$D$10,Assumptions!$F$10),(Assumptions!$F$10-Assumptions!$D$10)/3.29)*21</f>
        <v>1371707.4230158166</v>
      </c>
      <c r="J867" s="12">
        <f ca="1">NORMINV(RAND(),AVERAGE(Assumptions!$D$11,Assumptions!$F$11),(Assumptions!$F$11-Assumptions!$D$11)/3.29)*44</f>
        <v>3151979.455554748</v>
      </c>
      <c r="K867" s="15">
        <f ca="1">_xlfn.NORM.INV(RAND(),AVERAGE(Assumptions!$D$12,Assumptions!$F$12),(Assumptions!$F$12-Assumptions!$D$12)/3.29)*44</f>
        <v>10885681.977121754</v>
      </c>
      <c r="L867" s="3">
        <f ca="1">_xlfn.NORM.INV(RAND(),AVERAGE(Assumptions!$D$13,Assumptions!$F$13),(Assumptions!$F$13-Assumptions!$D$13)/3.29)*44</f>
        <v>18006635.340720385</v>
      </c>
      <c r="M867" s="6">
        <f ca="1">_xlfn.NORM.INV(RAND(),AVERAGE(Assumptions!$D$14,Assumptions!$F$14),(Assumptions!$F$14-Assumptions!$D$14)/3.29)*44</f>
        <v>6360497.9805438733</v>
      </c>
      <c r="N867" s="9">
        <f ca="1">_xlfn.NORM.INV(RAND(),AVERAGE(Assumptions!$D$16,Assumptions!$F$16),(Assumptions!$F$16-Assumptions!$D$16)/3.29)*44</f>
        <v>5274715.2928821426</v>
      </c>
      <c r="O867" s="12">
        <f ca="1">_xlfn.NORM.INV(RAND(),AVERAGE(Assumptions!$D$15,Assumptions!$F$15),(Assumptions!$F$15-Assumptions!$D$15)/3.29)*44</f>
        <v>90331461.793623805</v>
      </c>
      <c r="P867" s="15">
        <f>Assumptions!$D$18</f>
        <v>14641750.345627395</v>
      </c>
      <c r="Q867" s="3">
        <f t="shared" ca="1" si="26"/>
        <v>27216062.210651964</v>
      </c>
      <c r="R867" s="6">
        <f t="shared" ca="1" si="27"/>
        <v>41857812.556279361</v>
      </c>
    </row>
    <row r="868" spans="1:18">
      <c r="A868" s="20">
        <v>867</v>
      </c>
      <c r="B868" s="3">
        <f ca="1">_xlfn.NORM.INV(RAND(),AVERAGE(Assumptions!$D$4,Assumptions!$F$4),(Assumptions!$F$4-Assumptions!$D$4)/3.29)*44</f>
        <v>1263845.5483688696</v>
      </c>
      <c r="C868" s="6">
        <f ca="1">_xlfn.NORM.INV(RAND(),AVERAGE(Assumptions!$D$5,Assumptions!$F$5),(Assumptions!$F$5-Assumptions!$D$5)/3.29)*44</f>
        <v>1698363.7459987369</v>
      </c>
      <c r="D868" s="9">
        <f ca="1">_xlfn.NORM.INV(RAND(),AVERAGE(Assumptions!$D$6,Assumptions!$F$6),(Assumptions!$F$6-Assumptions!$D$6)/3.29)*RANDBETWEEN(2,5)</f>
        <v>4751982.4159579109</v>
      </c>
      <c r="E868" s="12">
        <f ca="1">_xlfn.NORM.INV(RAND(),AVERAGE(Assumptions!$D$17,Assumptions!$F$17),(Assumptions!$F$17-Assumptions!$D$17)/3.29)*8</f>
        <v>793745.21250587224</v>
      </c>
      <c r="F868" s="15">
        <f ca="1">_xlfn.NORM.INV(RAND(),AVERAGE(Assumptions!$D$7,Assumptions!$F$7),(Assumptions!$F$7-Assumptions!$D$7)/3.29)*RANDBETWEEN(1,3)</f>
        <v>9038343.4671496525</v>
      </c>
      <c r="G868" s="3">
        <f ca="1">_xlfn.NORM.INV(RAND(),AVERAGE(Assumptions!$D$8,Assumptions!$F$8),(Assumptions!$F$8-Assumptions!$D$8)/3.29)*44</f>
        <v>1358064.0012207497</v>
      </c>
      <c r="H868" s="6">
        <f ca="1">_xlfn.NORM.INV(RAND(),AVERAGE(Assumptions!$D$9,Assumptions!$F$9),(Assumptions!$F$9-Assumptions!$D$9)/3.29)*21</f>
        <v>5601964.7399445139</v>
      </c>
      <c r="I868" s="9">
        <f ca="1">_xlfn.NORM.INV(RAND(),AVERAGE(Assumptions!$D$10,Assumptions!$F$10),(Assumptions!$F$10-Assumptions!$D$10)/3.29)*21</f>
        <v>1345862.2474909406</v>
      </c>
      <c r="J868" s="12">
        <f ca="1">NORMINV(RAND(),AVERAGE(Assumptions!$D$11,Assumptions!$F$11),(Assumptions!$F$11-Assumptions!$D$11)/3.29)*44</f>
        <v>1579532.4760253199</v>
      </c>
      <c r="K868" s="15">
        <f ca="1">_xlfn.NORM.INV(RAND(),AVERAGE(Assumptions!$D$12,Assumptions!$F$12),(Assumptions!$F$12-Assumptions!$D$12)/3.29)*44</f>
        <v>9079789.7571287006</v>
      </c>
      <c r="L868" s="3">
        <f ca="1">_xlfn.NORM.INV(RAND(),AVERAGE(Assumptions!$D$13,Assumptions!$F$13),(Assumptions!$F$13-Assumptions!$D$13)/3.29)*44</f>
        <v>8858616.7665208783</v>
      </c>
      <c r="M868" s="6">
        <f ca="1">_xlfn.NORM.INV(RAND(),AVERAGE(Assumptions!$D$14,Assumptions!$F$14),(Assumptions!$F$14-Assumptions!$D$14)/3.29)*44</f>
        <v>5421414.1922807917</v>
      </c>
      <c r="N868" s="9">
        <f ca="1">_xlfn.NORM.INV(RAND(),AVERAGE(Assumptions!$D$16,Assumptions!$F$16),(Assumptions!$F$16-Assumptions!$D$16)/3.29)*44</f>
        <v>7498250.3256413946</v>
      </c>
      <c r="O868" s="12">
        <f ca="1">_xlfn.NORM.INV(RAND(),AVERAGE(Assumptions!$D$15,Assumptions!$F$15),(Assumptions!$F$15-Assumptions!$D$15)/3.29)*44</f>
        <v>68570727.011858165</v>
      </c>
      <c r="P868" s="15">
        <f>Assumptions!$D$18</f>
        <v>14641750.345627395</v>
      </c>
      <c r="Q868" s="3">
        <f t="shared" ca="1" si="26"/>
        <v>10280952.115623839</v>
      </c>
      <c r="R868" s="6">
        <f t="shared" ca="1" si="27"/>
        <v>24922702.461251236</v>
      </c>
    </row>
    <row r="869" spans="1:18">
      <c r="A869" s="20">
        <v>868</v>
      </c>
      <c r="B869" s="3">
        <f ca="1">_xlfn.NORM.INV(RAND(),AVERAGE(Assumptions!$D$4,Assumptions!$F$4),(Assumptions!$F$4-Assumptions!$D$4)/3.29)*44</f>
        <v>1270797.0587253144</v>
      </c>
      <c r="C869" s="6">
        <f ca="1">_xlfn.NORM.INV(RAND(),AVERAGE(Assumptions!$D$5,Assumptions!$F$5),(Assumptions!$F$5-Assumptions!$D$5)/3.29)*44</f>
        <v>1638696.1328704073</v>
      </c>
      <c r="D869" s="9">
        <f ca="1">_xlfn.NORM.INV(RAND(),AVERAGE(Assumptions!$D$6,Assumptions!$F$6),(Assumptions!$F$6-Assumptions!$D$6)/3.29)*RANDBETWEEN(2,5)</f>
        <v>1734045.2368199176</v>
      </c>
      <c r="E869" s="12">
        <f ca="1">_xlfn.NORM.INV(RAND(),AVERAGE(Assumptions!$D$17,Assumptions!$F$17),(Assumptions!$F$17-Assumptions!$D$17)/3.29)*8</f>
        <v>730169.41858063266</v>
      </c>
      <c r="F869" s="15">
        <f ca="1">_xlfn.NORM.INV(RAND(),AVERAGE(Assumptions!$D$7,Assumptions!$F$7),(Assumptions!$F$7-Assumptions!$D$7)/3.29)*RANDBETWEEN(1,3)</f>
        <v>6233815.3211705629</v>
      </c>
      <c r="G869" s="3">
        <f ca="1">_xlfn.NORM.INV(RAND(),AVERAGE(Assumptions!$D$8,Assumptions!$F$8),(Assumptions!$F$8-Assumptions!$D$8)/3.29)*44</f>
        <v>657713.14282497636</v>
      </c>
      <c r="H869" s="6">
        <f ca="1">_xlfn.NORM.INV(RAND(),AVERAGE(Assumptions!$D$9,Assumptions!$F$9),(Assumptions!$F$9-Assumptions!$D$9)/3.29)*21</f>
        <v>4922412.4982561478</v>
      </c>
      <c r="I869" s="9">
        <f ca="1">_xlfn.NORM.INV(RAND(),AVERAGE(Assumptions!$D$10,Assumptions!$F$10),(Assumptions!$F$10-Assumptions!$D$10)/3.29)*21</f>
        <v>535448.55977873562</v>
      </c>
      <c r="J869" s="12">
        <f ca="1">NORMINV(RAND(),AVERAGE(Assumptions!$D$11,Assumptions!$F$11),(Assumptions!$F$11-Assumptions!$D$11)/3.29)*44</f>
        <v>4041204.586792598</v>
      </c>
      <c r="K869" s="15">
        <f ca="1">_xlfn.NORM.INV(RAND(),AVERAGE(Assumptions!$D$12,Assumptions!$F$12),(Assumptions!$F$12-Assumptions!$D$12)/3.29)*44</f>
        <v>10169352.612839613</v>
      </c>
      <c r="L869" s="3">
        <f ca="1">_xlfn.NORM.INV(RAND(),AVERAGE(Assumptions!$D$13,Assumptions!$F$13),(Assumptions!$F$13-Assumptions!$D$13)/3.29)*44</f>
        <v>16258791.595413685</v>
      </c>
      <c r="M869" s="6">
        <f ca="1">_xlfn.NORM.INV(RAND(),AVERAGE(Assumptions!$D$14,Assumptions!$F$14),(Assumptions!$F$14-Assumptions!$D$14)/3.29)*44</f>
        <v>6263421.9658990139</v>
      </c>
      <c r="N869" s="9">
        <f ca="1">_xlfn.NORM.INV(RAND(),AVERAGE(Assumptions!$D$16,Assumptions!$F$16),(Assumptions!$F$16-Assumptions!$D$16)/3.29)*44</f>
        <v>3217988.7231040276</v>
      </c>
      <c r="O869" s="12">
        <f ca="1">_xlfn.NORM.INV(RAND(),AVERAGE(Assumptions!$D$15,Assumptions!$F$15),(Assumptions!$F$15-Assumptions!$D$15)/3.29)*44</f>
        <v>49254216.350444496</v>
      </c>
      <c r="P869" s="15">
        <f>Assumptions!$D$18</f>
        <v>14641750.345627395</v>
      </c>
      <c r="Q869" s="3">
        <f t="shared" ca="1" si="26"/>
        <v>-8419640.5026311427</v>
      </c>
      <c r="R869" s="6">
        <f t="shared" ca="1" si="27"/>
        <v>6222109.8429962527</v>
      </c>
    </row>
    <row r="870" spans="1:18">
      <c r="A870" s="20">
        <v>869</v>
      </c>
      <c r="B870" s="3">
        <f ca="1">_xlfn.NORM.INV(RAND(),AVERAGE(Assumptions!$D$4,Assumptions!$F$4),(Assumptions!$F$4-Assumptions!$D$4)/3.29)*44</f>
        <v>1253602.3877696127</v>
      </c>
      <c r="C870" s="6">
        <f ca="1">_xlfn.NORM.INV(RAND(),AVERAGE(Assumptions!$D$5,Assumptions!$F$5),(Assumptions!$F$5-Assumptions!$D$5)/3.29)*44</f>
        <v>1722834.0979195493</v>
      </c>
      <c r="D870" s="9">
        <f ca="1">_xlfn.NORM.INV(RAND(),AVERAGE(Assumptions!$D$6,Assumptions!$F$6),(Assumptions!$F$6-Assumptions!$D$6)/3.29)*RANDBETWEEN(2,5)</f>
        <v>5051206.7079918999</v>
      </c>
      <c r="E870" s="12">
        <f ca="1">_xlfn.NORM.INV(RAND(),AVERAGE(Assumptions!$D$17,Assumptions!$F$17),(Assumptions!$F$17-Assumptions!$D$17)/3.29)*8</f>
        <v>1156085.1532273612</v>
      </c>
      <c r="F870" s="15">
        <f ca="1">_xlfn.NORM.INV(RAND(),AVERAGE(Assumptions!$D$7,Assumptions!$F$7),(Assumptions!$F$7-Assumptions!$D$7)/3.29)*RANDBETWEEN(1,3)</f>
        <v>12240928.586211346</v>
      </c>
      <c r="G870" s="3">
        <f ca="1">_xlfn.NORM.INV(RAND(),AVERAGE(Assumptions!$D$8,Assumptions!$F$8),(Assumptions!$F$8-Assumptions!$D$8)/3.29)*44</f>
        <v>1100785.8155103014</v>
      </c>
      <c r="H870" s="6">
        <f ca="1">_xlfn.NORM.INV(RAND(),AVERAGE(Assumptions!$D$9,Assumptions!$F$9),(Assumptions!$F$9-Assumptions!$D$9)/3.29)*21</f>
        <v>7136988.2264865767</v>
      </c>
      <c r="I870" s="9">
        <f ca="1">_xlfn.NORM.INV(RAND(),AVERAGE(Assumptions!$D$10,Assumptions!$F$10),(Assumptions!$F$10-Assumptions!$D$10)/3.29)*21</f>
        <v>388525.56494012737</v>
      </c>
      <c r="J870" s="12">
        <f ca="1">NORMINV(RAND(),AVERAGE(Assumptions!$D$11,Assumptions!$F$11),(Assumptions!$F$11-Assumptions!$D$11)/3.29)*44</f>
        <v>1479823.6175113681</v>
      </c>
      <c r="K870" s="15">
        <f ca="1">_xlfn.NORM.INV(RAND(),AVERAGE(Assumptions!$D$12,Assumptions!$F$12),(Assumptions!$F$12-Assumptions!$D$12)/3.29)*44</f>
        <v>6027690.659250224</v>
      </c>
      <c r="L870" s="3">
        <f ca="1">_xlfn.NORM.INV(RAND(),AVERAGE(Assumptions!$D$13,Assumptions!$F$13),(Assumptions!$F$13-Assumptions!$D$13)/3.29)*44</f>
        <v>17626559.458864439</v>
      </c>
      <c r="M870" s="6">
        <f ca="1">_xlfn.NORM.INV(RAND(),AVERAGE(Assumptions!$D$14,Assumptions!$F$14),(Assumptions!$F$14-Assumptions!$D$14)/3.29)*44</f>
        <v>7073660.2348153442</v>
      </c>
      <c r="N870" s="9">
        <f ca="1">_xlfn.NORM.INV(RAND(),AVERAGE(Assumptions!$D$16,Assumptions!$F$16),(Assumptions!$F$16-Assumptions!$D$16)/3.29)*44</f>
        <v>10347105.46327805</v>
      </c>
      <c r="O870" s="12">
        <f ca="1">_xlfn.NORM.INV(RAND(),AVERAGE(Assumptions!$D$15,Assumptions!$F$15),(Assumptions!$F$15-Assumptions!$D$15)/3.29)*44</f>
        <v>56557469.08737205</v>
      </c>
      <c r="P870" s="15">
        <f>Assumptions!$D$18</f>
        <v>14641750.345627395</v>
      </c>
      <c r="Q870" s="3">
        <f t="shared" ca="1" si="26"/>
        <v>-16048326.886404157</v>
      </c>
      <c r="R870" s="6">
        <f t="shared" ca="1" si="27"/>
        <v>-1406576.5407767612</v>
      </c>
    </row>
    <row r="871" spans="1:18">
      <c r="A871" s="20">
        <v>870</v>
      </c>
      <c r="B871" s="3">
        <f ca="1">_xlfn.NORM.INV(RAND(),AVERAGE(Assumptions!$D$4,Assumptions!$F$4),(Assumptions!$F$4-Assumptions!$D$4)/3.29)*44</f>
        <v>1197391.0574333887</v>
      </c>
      <c r="C871" s="6">
        <f ca="1">_xlfn.NORM.INV(RAND(),AVERAGE(Assumptions!$D$5,Assumptions!$F$5),(Assumptions!$F$5-Assumptions!$D$5)/3.29)*44</f>
        <v>1708880.0460633722</v>
      </c>
      <c r="D871" s="9">
        <f ca="1">_xlfn.NORM.INV(RAND(),AVERAGE(Assumptions!$D$6,Assumptions!$F$6),(Assumptions!$F$6-Assumptions!$D$6)/3.29)*RANDBETWEEN(2,5)</f>
        <v>2676011.0090371948</v>
      </c>
      <c r="E871" s="12">
        <f ca="1">_xlfn.NORM.INV(RAND(),AVERAGE(Assumptions!$D$17,Assumptions!$F$17),(Assumptions!$F$17-Assumptions!$D$17)/3.29)*8</f>
        <v>998658.11324093142</v>
      </c>
      <c r="F871" s="15">
        <f ca="1">_xlfn.NORM.INV(RAND(),AVERAGE(Assumptions!$D$7,Assumptions!$F$7),(Assumptions!$F$7-Assumptions!$D$7)/3.29)*RANDBETWEEN(1,3)</f>
        <v>2924889.4569603335</v>
      </c>
      <c r="G871" s="3">
        <f ca="1">_xlfn.NORM.INV(RAND(),AVERAGE(Assumptions!$D$8,Assumptions!$F$8),(Assumptions!$F$8-Assumptions!$D$8)/3.29)*44</f>
        <v>1238499.3182460687</v>
      </c>
      <c r="H871" s="6">
        <f ca="1">_xlfn.NORM.INV(RAND(),AVERAGE(Assumptions!$D$9,Assumptions!$F$9),(Assumptions!$F$9-Assumptions!$D$9)/3.29)*21</f>
        <v>4957685.7613812443</v>
      </c>
      <c r="I871" s="9">
        <f ca="1">_xlfn.NORM.INV(RAND(),AVERAGE(Assumptions!$D$10,Assumptions!$F$10),(Assumptions!$F$10-Assumptions!$D$10)/3.29)*21</f>
        <v>808417.03605064389</v>
      </c>
      <c r="J871" s="12">
        <f ca="1">NORMINV(RAND(),AVERAGE(Assumptions!$D$11,Assumptions!$F$11),(Assumptions!$F$11-Assumptions!$D$11)/3.29)*44</f>
        <v>2324415.4935888681</v>
      </c>
      <c r="K871" s="15">
        <f ca="1">_xlfn.NORM.INV(RAND(),AVERAGE(Assumptions!$D$12,Assumptions!$F$12),(Assumptions!$F$12-Assumptions!$D$12)/3.29)*44</f>
        <v>8742307.1295003928</v>
      </c>
      <c r="L871" s="3">
        <f ca="1">_xlfn.NORM.INV(RAND(),AVERAGE(Assumptions!$D$13,Assumptions!$F$13),(Assumptions!$F$13-Assumptions!$D$13)/3.29)*44</f>
        <v>10520043.981385043</v>
      </c>
      <c r="M871" s="6">
        <f ca="1">_xlfn.NORM.INV(RAND(),AVERAGE(Assumptions!$D$14,Assumptions!$F$14),(Assumptions!$F$14-Assumptions!$D$14)/3.29)*44</f>
        <v>6415393.640872445</v>
      </c>
      <c r="N871" s="9">
        <f ca="1">_xlfn.NORM.INV(RAND(),AVERAGE(Assumptions!$D$16,Assumptions!$F$16),(Assumptions!$F$16-Assumptions!$D$16)/3.29)*44</f>
        <v>10988213.111699475</v>
      </c>
      <c r="O871" s="12">
        <f ca="1">_xlfn.NORM.INV(RAND(),AVERAGE(Assumptions!$D$15,Assumptions!$F$15),(Assumptions!$F$15-Assumptions!$D$15)/3.29)*44</f>
        <v>157317399.25777441</v>
      </c>
      <c r="P871" s="15">
        <f>Assumptions!$D$18</f>
        <v>14641750.345627395</v>
      </c>
      <c r="Q871" s="3">
        <f t="shared" ca="1" si="26"/>
        <v>101816594.10231501</v>
      </c>
      <c r="R871" s="6">
        <f t="shared" ca="1" si="27"/>
        <v>116458344.44794241</v>
      </c>
    </row>
    <row r="872" spans="1:18">
      <c r="A872" s="20">
        <v>871</v>
      </c>
      <c r="B872" s="3">
        <f ca="1">_xlfn.NORM.INV(RAND(),AVERAGE(Assumptions!$D$4,Assumptions!$F$4),(Assumptions!$F$4-Assumptions!$D$4)/3.29)*44</f>
        <v>1271098.9938929654</v>
      </c>
      <c r="C872" s="6">
        <f ca="1">_xlfn.NORM.INV(RAND(),AVERAGE(Assumptions!$D$5,Assumptions!$F$5),(Assumptions!$F$5-Assumptions!$D$5)/3.29)*44</f>
        <v>1745305.8729070544</v>
      </c>
      <c r="D872" s="9">
        <f ca="1">_xlfn.NORM.INV(RAND(),AVERAGE(Assumptions!$D$6,Assumptions!$F$6),(Assumptions!$F$6-Assumptions!$D$6)/3.29)*RANDBETWEEN(2,5)</f>
        <v>2384975.383489002</v>
      </c>
      <c r="E872" s="12">
        <f ca="1">_xlfn.NORM.INV(RAND(),AVERAGE(Assumptions!$D$17,Assumptions!$F$17),(Assumptions!$F$17-Assumptions!$D$17)/3.29)*8</f>
        <v>997394.94559990079</v>
      </c>
      <c r="F872" s="15">
        <f ca="1">_xlfn.NORM.INV(RAND(),AVERAGE(Assumptions!$D$7,Assumptions!$F$7),(Assumptions!$F$7-Assumptions!$D$7)/3.29)*RANDBETWEEN(1,3)</f>
        <v>2450277.8229973326</v>
      </c>
      <c r="G872" s="3">
        <f ca="1">_xlfn.NORM.INV(RAND(),AVERAGE(Assumptions!$D$8,Assumptions!$F$8),(Assumptions!$F$8-Assumptions!$D$8)/3.29)*44</f>
        <v>1283700.8271331938</v>
      </c>
      <c r="H872" s="6">
        <f ca="1">_xlfn.NORM.INV(RAND(),AVERAGE(Assumptions!$D$9,Assumptions!$F$9),(Assumptions!$F$9-Assumptions!$D$9)/3.29)*21</f>
        <v>2908239.7401532582</v>
      </c>
      <c r="I872" s="9">
        <f ca="1">_xlfn.NORM.INV(RAND(),AVERAGE(Assumptions!$D$10,Assumptions!$F$10),(Assumptions!$F$10-Assumptions!$D$10)/3.29)*21</f>
        <v>1129385.9476394749</v>
      </c>
      <c r="J872" s="12">
        <f ca="1">NORMINV(RAND(),AVERAGE(Assumptions!$D$11,Assumptions!$F$11),(Assumptions!$F$11-Assumptions!$D$11)/3.29)*44</f>
        <v>4816422.0636653211</v>
      </c>
      <c r="K872" s="15">
        <f ca="1">_xlfn.NORM.INV(RAND(),AVERAGE(Assumptions!$D$12,Assumptions!$F$12),(Assumptions!$F$12-Assumptions!$D$12)/3.29)*44</f>
        <v>6340530.5796989566</v>
      </c>
      <c r="L872" s="3">
        <f ca="1">_xlfn.NORM.INV(RAND(),AVERAGE(Assumptions!$D$13,Assumptions!$F$13),(Assumptions!$F$13-Assumptions!$D$13)/3.29)*44</f>
        <v>18112784.000418074</v>
      </c>
      <c r="M872" s="6">
        <f ca="1">_xlfn.NORM.INV(RAND(),AVERAGE(Assumptions!$D$14,Assumptions!$F$14),(Assumptions!$F$14-Assumptions!$D$14)/3.29)*44</f>
        <v>4669023.7895128671</v>
      </c>
      <c r="N872" s="9">
        <f ca="1">_xlfn.NORM.INV(RAND(),AVERAGE(Assumptions!$D$16,Assumptions!$F$16),(Assumptions!$F$16-Assumptions!$D$16)/3.29)*44</f>
        <v>15228632.870987758</v>
      </c>
      <c r="O872" s="12">
        <f ca="1">_xlfn.NORM.INV(RAND(),AVERAGE(Assumptions!$D$15,Assumptions!$F$15),(Assumptions!$F$15-Assumptions!$D$15)/3.29)*44</f>
        <v>86833363.951087743</v>
      </c>
      <c r="P872" s="15">
        <f>Assumptions!$D$18</f>
        <v>14641750.345627395</v>
      </c>
      <c r="Q872" s="3">
        <f t="shared" ca="1" si="26"/>
        <v>23495591.112992585</v>
      </c>
      <c r="R872" s="6">
        <f t="shared" ca="1" si="27"/>
        <v>38137341.458619982</v>
      </c>
    </row>
    <row r="873" spans="1:18">
      <c r="A873" s="20">
        <v>872</v>
      </c>
      <c r="B873" s="3">
        <f ca="1">_xlfn.NORM.INV(RAND(),AVERAGE(Assumptions!$D$4,Assumptions!$F$4),(Assumptions!$F$4-Assumptions!$D$4)/3.29)*44</f>
        <v>1217421.3948503463</v>
      </c>
      <c r="C873" s="6">
        <f ca="1">_xlfn.NORM.INV(RAND(),AVERAGE(Assumptions!$D$5,Assumptions!$F$5),(Assumptions!$F$5-Assumptions!$D$5)/3.29)*44</f>
        <v>1615211.182953723</v>
      </c>
      <c r="D873" s="9">
        <f ca="1">_xlfn.NORM.INV(RAND(),AVERAGE(Assumptions!$D$6,Assumptions!$F$6),(Assumptions!$F$6-Assumptions!$D$6)/3.29)*RANDBETWEEN(2,5)</f>
        <v>5887505.6809869027</v>
      </c>
      <c r="E873" s="12">
        <f ca="1">_xlfn.NORM.INV(RAND(),AVERAGE(Assumptions!$D$17,Assumptions!$F$17),(Assumptions!$F$17-Assumptions!$D$17)/3.29)*8</f>
        <v>905949.44711238402</v>
      </c>
      <c r="F873" s="15">
        <f ca="1">_xlfn.NORM.INV(RAND(),AVERAGE(Assumptions!$D$7,Assumptions!$F$7),(Assumptions!$F$7-Assumptions!$D$7)/3.29)*RANDBETWEEN(1,3)</f>
        <v>6657066.0387183242</v>
      </c>
      <c r="G873" s="3">
        <f ca="1">_xlfn.NORM.INV(RAND(),AVERAGE(Assumptions!$D$8,Assumptions!$F$8),(Assumptions!$F$8-Assumptions!$D$8)/3.29)*44</f>
        <v>1225074.2641807306</v>
      </c>
      <c r="H873" s="6">
        <f ca="1">_xlfn.NORM.INV(RAND(),AVERAGE(Assumptions!$D$9,Assumptions!$F$9),(Assumptions!$F$9-Assumptions!$D$9)/3.29)*21</f>
        <v>3750066.8237179271</v>
      </c>
      <c r="I873" s="9">
        <f ca="1">_xlfn.NORM.INV(RAND(),AVERAGE(Assumptions!$D$10,Assumptions!$F$10),(Assumptions!$F$10-Assumptions!$D$10)/3.29)*21</f>
        <v>479625.2594874489</v>
      </c>
      <c r="J873" s="12">
        <f ca="1">NORMINV(RAND(),AVERAGE(Assumptions!$D$11,Assumptions!$F$11),(Assumptions!$F$11-Assumptions!$D$11)/3.29)*44</f>
        <v>7266019.1302932333</v>
      </c>
      <c r="K873" s="15">
        <f ca="1">_xlfn.NORM.INV(RAND(),AVERAGE(Assumptions!$D$12,Assumptions!$F$12),(Assumptions!$F$12-Assumptions!$D$12)/3.29)*44</f>
        <v>5984740.3789774338</v>
      </c>
      <c r="L873" s="3">
        <f ca="1">_xlfn.NORM.INV(RAND(),AVERAGE(Assumptions!$D$13,Assumptions!$F$13),(Assumptions!$F$13-Assumptions!$D$13)/3.29)*44</f>
        <v>9036185.4891947806</v>
      </c>
      <c r="M873" s="6">
        <f ca="1">_xlfn.NORM.INV(RAND(),AVERAGE(Assumptions!$D$14,Assumptions!$F$14),(Assumptions!$F$14-Assumptions!$D$14)/3.29)*44</f>
        <v>6470026.5252402751</v>
      </c>
      <c r="N873" s="9">
        <f ca="1">_xlfn.NORM.INV(RAND(),AVERAGE(Assumptions!$D$16,Assumptions!$F$16),(Assumptions!$F$16-Assumptions!$D$16)/3.29)*44</f>
        <v>12489714.329016168</v>
      </c>
      <c r="O873" s="12">
        <f ca="1">_xlfn.NORM.INV(RAND(),AVERAGE(Assumptions!$D$15,Assumptions!$F$15),(Assumptions!$F$15-Assumptions!$D$15)/3.29)*44</f>
        <v>135761827.47940299</v>
      </c>
      <c r="P873" s="15">
        <f>Assumptions!$D$18</f>
        <v>14641750.345627395</v>
      </c>
      <c r="Q873" s="3">
        <f t="shared" ca="1" si="26"/>
        <v>72777221.534673318</v>
      </c>
      <c r="R873" s="6">
        <f t="shared" ca="1" si="27"/>
        <v>87418971.880300716</v>
      </c>
    </row>
    <row r="874" spans="1:18">
      <c r="A874" s="20">
        <v>873</v>
      </c>
      <c r="B874" s="3">
        <f ca="1">_xlfn.NORM.INV(RAND(),AVERAGE(Assumptions!$D$4,Assumptions!$F$4),(Assumptions!$F$4-Assumptions!$D$4)/3.29)*44</f>
        <v>1254773.0306837647</v>
      </c>
      <c r="C874" s="6">
        <f ca="1">_xlfn.NORM.INV(RAND(),AVERAGE(Assumptions!$D$5,Assumptions!$F$5),(Assumptions!$F$5-Assumptions!$D$5)/3.29)*44</f>
        <v>2027701.3204081301</v>
      </c>
      <c r="D874" s="9">
        <f ca="1">_xlfn.NORM.INV(RAND(),AVERAGE(Assumptions!$D$6,Assumptions!$F$6),(Assumptions!$F$6-Assumptions!$D$6)/3.29)*RANDBETWEEN(2,5)</f>
        <v>5186590.7158936411</v>
      </c>
      <c r="E874" s="12">
        <f ca="1">_xlfn.NORM.INV(RAND(),AVERAGE(Assumptions!$D$17,Assumptions!$F$17),(Assumptions!$F$17-Assumptions!$D$17)/3.29)*8</f>
        <v>938160.94029505702</v>
      </c>
      <c r="F874" s="15">
        <f ca="1">_xlfn.NORM.INV(RAND(),AVERAGE(Assumptions!$D$7,Assumptions!$F$7),(Assumptions!$F$7-Assumptions!$D$7)/3.29)*RANDBETWEEN(1,3)</f>
        <v>5448136.5279388539</v>
      </c>
      <c r="G874" s="3">
        <f ca="1">_xlfn.NORM.INV(RAND(),AVERAGE(Assumptions!$D$8,Assumptions!$F$8),(Assumptions!$F$8-Assumptions!$D$8)/3.29)*44</f>
        <v>1438855.5340724927</v>
      </c>
      <c r="H874" s="6">
        <f ca="1">_xlfn.NORM.INV(RAND(),AVERAGE(Assumptions!$D$9,Assumptions!$F$9),(Assumptions!$F$9-Assumptions!$D$9)/3.29)*21</f>
        <v>3838348.0363780702</v>
      </c>
      <c r="I874" s="9">
        <f ca="1">_xlfn.NORM.INV(RAND(),AVERAGE(Assumptions!$D$10,Assumptions!$F$10),(Assumptions!$F$10-Assumptions!$D$10)/3.29)*21</f>
        <v>857013.40237603954</v>
      </c>
      <c r="J874" s="12">
        <f ca="1">NORMINV(RAND(),AVERAGE(Assumptions!$D$11,Assumptions!$F$11),(Assumptions!$F$11-Assumptions!$D$11)/3.29)*44</f>
        <v>2632968.5629733293</v>
      </c>
      <c r="K874" s="15">
        <f ca="1">_xlfn.NORM.INV(RAND(),AVERAGE(Assumptions!$D$12,Assumptions!$F$12),(Assumptions!$F$12-Assumptions!$D$12)/3.29)*44</f>
        <v>11942217.099731117</v>
      </c>
      <c r="L874" s="3">
        <f ca="1">_xlfn.NORM.INV(RAND(),AVERAGE(Assumptions!$D$13,Assumptions!$F$13),(Assumptions!$F$13-Assumptions!$D$13)/3.29)*44</f>
        <v>10171181.932621038</v>
      </c>
      <c r="M874" s="6">
        <f ca="1">_xlfn.NORM.INV(RAND(),AVERAGE(Assumptions!$D$14,Assumptions!$F$14),(Assumptions!$F$14-Assumptions!$D$14)/3.29)*44</f>
        <v>5890390.6690751687</v>
      </c>
      <c r="N874" s="9">
        <f ca="1">_xlfn.NORM.INV(RAND(),AVERAGE(Assumptions!$D$16,Assumptions!$F$16),(Assumptions!$F$16-Assumptions!$D$16)/3.29)*44</f>
        <v>-1571856.8834828245</v>
      </c>
      <c r="O874" s="12">
        <f ca="1">_xlfn.NORM.INV(RAND(),AVERAGE(Assumptions!$D$15,Assumptions!$F$15),(Assumptions!$F$15-Assumptions!$D$15)/3.29)*44</f>
        <v>7115277.3676536623</v>
      </c>
      <c r="P874" s="15">
        <f>Assumptions!$D$18</f>
        <v>14641750.345627395</v>
      </c>
      <c r="Q874" s="3">
        <f t="shared" ca="1" si="26"/>
        <v>-42939203.521310225</v>
      </c>
      <c r="R874" s="6">
        <f t="shared" ca="1" si="27"/>
        <v>-28297453.175682828</v>
      </c>
    </row>
    <row r="875" spans="1:18">
      <c r="A875" s="20">
        <v>874</v>
      </c>
      <c r="B875" s="3">
        <f ca="1">_xlfn.NORM.INV(RAND(),AVERAGE(Assumptions!$D$4,Assumptions!$F$4),(Assumptions!$F$4-Assumptions!$D$4)/3.29)*44</f>
        <v>1298657.3574899263</v>
      </c>
      <c r="C875" s="6">
        <f ca="1">_xlfn.NORM.INV(RAND(),AVERAGE(Assumptions!$D$5,Assumptions!$F$5),(Assumptions!$F$5-Assumptions!$D$5)/3.29)*44</f>
        <v>1975576.3206571955</v>
      </c>
      <c r="D875" s="9">
        <f ca="1">_xlfn.NORM.INV(RAND(),AVERAGE(Assumptions!$D$6,Assumptions!$F$6),(Assumptions!$F$6-Assumptions!$D$6)/3.29)*RANDBETWEEN(2,5)</f>
        <v>6343610.8455700437</v>
      </c>
      <c r="E875" s="12">
        <f ca="1">_xlfn.NORM.INV(RAND(),AVERAGE(Assumptions!$D$17,Assumptions!$F$17),(Assumptions!$F$17-Assumptions!$D$17)/3.29)*8</f>
        <v>825556.48031337513</v>
      </c>
      <c r="F875" s="15">
        <f ca="1">_xlfn.NORM.INV(RAND(),AVERAGE(Assumptions!$D$7,Assumptions!$F$7),(Assumptions!$F$7-Assumptions!$D$7)/3.29)*RANDBETWEEN(1,3)</f>
        <v>5272976.2762974864</v>
      </c>
      <c r="G875" s="3">
        <f ca="1">_xlfn.NORM.INV(RAND(),AVERAGE(Assumptions!$D$8,Assumptions!$F$8),(Assumptions!$F$8-Assumptions!$D$8)/3.29)*44</f>
        <v>1527011.3382433858</v>
      </c>
      <c r="H875" s="6">
        <f ca="1">_xlfn.NORM.INV(RAND(),AVERAGE(Assumptions!$D$9,Assumptions!$F$9),(Assumptions!$F$9-Assumptions!$D$9)/3.29)*21</f>
        <v>4117700.1118094129</v>
      </c>
      <c r="I875" s="9">
        <f ca="1">_xlfn.NORM.INV(RAND(),AVERAGE(Assumptions!$D$10,Assumptions!$F$10),(Assumptions!$F$10-Assumptions!$D$10)/3.29)*21</f>
        <v>1090136.6983298562</v>
      </c>
      <c r="J875" s="12">
        <f ca="1">NORMINV(RAND(),AVERAGE(Assumptions!$D$11,Assumptions!$F$11),(Assumptions!$F$11-Assumptions!$D$11)/3.29)*44</f>
        <v>3039224.9334283313</v>
      </c>
      <c r="K875" s="15">
        <f ca="1">_xlfn.NORM.INV(RAND(),AVERAGE(Assumptions!$D$12,Assumptions!$F$12),(Assumptions!$F$12-Assumptions!$D$12)/3.29)*44</f>
        <v>8161769.9443306355</v>
      </c>
      <c r="L875" s="3">
        <f ca="1">_xlfn.NORM.INV(RAND(),AVERAGE(Assumptions!$D$13,Assumptions!$F$13),(Assumptions!$F$13-Assumptions!$D$13)/3.29)*44</f>
        <v>14442634.272114297</v>
      </c>
      <c r="M875" s="6">
        <f ca="1">_xlfn.NORM.INV(RAND(),AVERAGE(Assumptions!$D$14,Assumptions!$F$14),(Assumptions!$F$14-Assumptions!$D$14)/3.29)*44</f>
        <v>5484457.4930379847</v>
      </c>
      <c r="N875" s="9">
        <f ca="1">_xlfn.NORM.INV(RAND(),AVERAGE(Assumptions!$D$16,Assumptions!$F$16),(Assumptions!$F$16-Assumptions!$D$16)/3.29)*44</f>
        <v>10003521.778240729</v>
      </c>
      <c r="O875" s="12">
        <f ca="1">_xlfn.NORM.INV(RAND(),AVERAGE(Assumptions!$D$15,Assumptions!$F$15),(Assumptions!$F$15-Assumptions!$D$15)/3.29)*44</f>
        <v>163654657.20485005</v>
      </c>
      <c r="P875" s="15">
        <f>Assumptions!$D$18</f>
        <v>14641750.345627395</v>
      </c>
      <c r="Q875" s="3">
        <f t="shared" ca="1" si="26"/>
        <v>100071823.35498738</v>
      </c>
      <c r="R875" s="6">
        <f t="shared" ca="1" si="27"/>
        <v>114713573.70061478</v>
      </c>
    </row>
    <row r="876" spans="1:18">
      <c r="A876" s="20">
        <v>875</v>
      </c>
      <c r="B876" s="3">
        <f ca="1">_xlfn.NORM.INV(RAND(),AVERAGE(Assumptions!$D$4,Assumptions!$F$4),(Assumptions!$F$4-Assumptions!$D$4)/3.29)*44</f>
        <v>1237421.5773506409</v>
      </c>
      <c r="C876" s="6">
        <f ca="1">_xlfn.NORM.INV(RAND(),AVERAGE(Assumptions!$D$5,Assumptions!$F$5),(Assumptions!$F$5-Assumptions!$D$5)/3.29)*44</f>
        <v>1947111.6330268306</v>
      </c>
      <c r="D876" s="9">
        <f ca="1">_xlfn.NORM.INV(RAND(),AVERAGE(Assumptions!$D$6,Assumptions!$F$6),(Assumptions!$F$6-Assumptions!$D$6)/3.29)*RANDBETWEEN(2,5)</f>
        <v>4497809.8647997929</v>
      </c>
      <c r="E876" s="12">
        <f ca="1">_xlfn.NORM.INV(RAND(),AVERAGE(Assumptions!$D$17,Assumptions!$F$17),(Assumptions!$F$17-Assumptions!$D$17)/3.29)*8</f>
        <v>923862.32882837602</v>
      </c>
      <c r="F876" s="15">
        <f ca="1">_xlfn.NORM.INV(RAND(),AVERAGE(Assumptions!$D$7,Assumptions!$F$7),(Assumptions!$F$7-Assumptions!$D$7)/3.29)*RANDBETWEEN(1,3)</f>
        <v>2088577.6250773659</v>
      </c>
      <c r="G876" s="3">
        <f ca="1">_xlfn.NORM.INV(RAND(),AVERAGE(Assumptions!$D$8,Assumptions!$F$8),(Assumptions!$F$8-Assumptions!$D$8)/3.29)*44</f>
        <v>1122208.0421338899</v>
      </c>
      <c r="H876" s="6">
        <f ca="1">_xlfn.NORM.INV(RAND(),AVERAGE(Assumptions!$D$9,Assumptions!$F$9),(Assumptions!$F$9-Assumptions!$D$9)/3.29)*21</f>
        <v>3164748.7229932696</v>
      </c>
      <c r="I876" s="9">
        <f ca="1">_xlfn.NORM.INV(RAND(),AVERAGE(Assumptions!$D$10,Assumptions!$F$10),(Assumptions!$F$10-Assumptions!$D$10)/3.29)*21</f>
        <v>1278324.8178246683</v>
      </c>
      <c r="J876" s="12">
        <f ca="1">NORMINV(RAND(),AVERAGE(Assumptions!$D$11,Assumptions!$F$11),(Assumptions!$F$11-Assumptions!$D$11)/3.29)*44</f>
        <v>3582946.6511021783</v>
      </c>
      <c r="K876" s="15">
        <f ca="1">_xlfn.NORM.INV(RAND(),AVERAGE(Assumptions!$D$12,Assumptions!$F$12),(Assumptions!$F$12-Assumptions!$D$12)/3.29)*44</f>
        <v>9056211.3127451222</v>
      </c>
      <c r="L876" s="3">
        <f ca="1">_xlfn.NORM.INV(RAND(),AVERAGE(Assumptions!$D$13,Assumptions!$F$13),(Assumptions!$F$13-Assumptions!$D$13)/3.29)*44</f>
        <v>23095073.545150019</v>
      </c>
      <c r="M876" s="6">
        <f ca="1">_xlfn.NORM.INV(RAND(),AVERAGE(Assumptions!$D$14,Assumptions!$F$14),(Assumptions!$F$14-Assumptions!$D$14)/3.29)*44</f>
        <v>7865335.1484708898</v>
      </c>
      <c r="N876" s="9">
        <f ca="1">_xlfn.NORM.INV(RAND(),AVERAGE(Assumptions!$D$16,Assumptions!$F$16),(Assumptions!$F$16-Assumptions!$D$16)/3.29)*44</f>
        <v>10574720.07927588</v>
      </c>
      <c r="O876" s="12">
        <f ca="1">_xlfn.NORM.INV(RAND(),AVERAGE(Assumptions!$D$15,Assumptions!$F$15),(Assumptions!$F$15-Assumptions!$D$15)/3.29)*44</f>
        <v>94113365.84801507</v>
      </c>
      <c r="P876" s="15">
        <f>Assumptions!$D$18</f>
        <v>14641750.345627395</v>
      </c>
      <c r="Q876" s="3">
        <f t="shared" ca="1" si="26"/>
        <v>23679014.499236152</v>
      </c>
      <c r="R876" s="6">
        <f t="shared" ca="1" si="27"/>
        <v>38320764.844863549</v>
      </c>
    </row>
    <row r="877" spans="1:18">
      <c r="A877" s="20">
        <v>876</v>
      </c>
      <c r="B877" s="3">
        <f ca="1">_xlfn.NORM.INV(RAND(),AVERAGE(Assumptions!$D$4,Assumptions!$F$4),(Assumptions!$F$4-Assumptions!$D$4)/3.29)*44</f>
        <v>1169251.3408933023</v>
      </c>
      <c r="C877" s="6">
        <f ca="1">_xlfn.NORM.INV(RAND(),AVERAGE(Assumptions!$D$5,Assumptions!$F$5),(Assumptions!$F$5-Assumptions!$D$5)/3.29)*44</f>
        <v>1624617.8653256968</v>
      </c>
      <c r="D877" s="9">
        <f ca="1">_xlfn.NORM.INV(RAND(),AVERAGE(Assumptions!$D$6,Assumptions!$F$6),(Assumptions!$F$6-Assumptions!$D$6)/3.29)*RANDBETWEEN(2,5)</f>
        <v>2862456.5819008094</v>
      </c>
      <c r="E877" s="12">
        <f ca="1">_xlfn.NORM.INV(RAND(),AVERAGE(Assumptions!$D$17,Assumptions!$F$17),(Assumptions!$F$17-Assumptions!$D$17)/3.29)*8</f>
        <v>805256.15733829292</v>
      </c>
      <c r="F877" s="15">
        <f ca="1">_xlfn.NORM.INV(RAND(),AVERAGE(Assumptions!$D$7,Assumptions!$F$7),(Assumptions!$F$7-Assumptions!$D$7)/3.29)*RANDBETWEEN(1,3)</f>
        <v>5974091.0233552977</v>
      </c>
      <c r="G877" s="3">
        <f ca="1">_xlfn.NORM.INV(RAND(),AVERAGE(Assumptions!$D$8,Assumptions!$F$8),(Assumptions!$F$8-Assumptions!$D$8)/3.29)*44</f>
        <v>1091392.3118323339</v>
      </c>
      <c r="H877" s="6">
        <f ca="1">_xlfn.NORM.INV(RAND(),AVERAGE(Assumptions!$D$9,Assumptions!$F$9),(Assumptions!$F$9-Assumptions!$D$9)/3.29)*21</f>
        <v>6043005.6373972092</v>
      </c>
      <c r="I877" s="9">
        <f ca="1">_xlfn.NORM.INV(RAND(),AVERAGE(Assumptions!$D$10,Assumptions!$F$10),(Assumptions!$F$10-Assumptions!$D$10)/3.29)*21</f>
        <v>1104289.2623285784</v>
      </c>
      <c r="J877" s="12">
        <f ca="1">NORMINV(RAND(),AVERAGE(Assumptions!$D$11,Assumptions!$F$11),(Assumptions!$F$11-Assumptions!$D$11)/3.29)*44</f>
        <v>3201075.322149476</v>
      </c>
      <c r="K877" s="15">
        <f ca="1">_xlfn.NORM.INV(RAND(),AVERAGE(Assumptions!$D$12,Assumptions!$F$12),(Assumptions!$F$12-Assumptions!$D$12)/3.29)*44</f>
        <v>7700097.3670128062</v>
      </c>
      <c r="L877" s="3">
        <f ca="1">_xlfn.NORM.INV(RAND(),AVERAGE(Assumptions!$D$13,Assumptions!$F$13),(Assumptions!$F$13-Assumptions!$D$13)/3.29)*44</f>
        <v>-181773.28433761722</v>
      </c>
      <c r="M877" s="6">
        <f ca="1">_xlfn.NORM.INV(RAND(),AVERAGE(Assumptions!$D$14,Assumptions!$F$14),(Assumptions!$F$14-Assumptions!$D$14)/3.29)*44</f>
        <v>6843067.6584707368</v>
      </c>
      <c r="N877" s="9">
        <f ca="1">_xlfn.NORM.INV(RAND(),AVERAGE(Assumptions!$D$16,Assumptions!$F$16),(Assumptions!$F$16-Assumptions!$D$16)/3.29)*44</f>
        <v>12252387.068379499</v>
      </c>
      <c r="O877" s="12">
        <f ca="1">_xlfn.NORM.INV(RAND(),AVERAGE(Assumptions!$D$15,Assumptions!$F$15),(Assumptions!$F$15-Assumptions!$D$15)/3.29)*44</f>
        <v>46683076.239892498</v>
      </c>
      <c r="P877" s="15">
        <f>Assumptions!$D$18</f>
        <v>14641750.345627395</v>
      </c>
      <c r="Q877" s="3">
        <f t="shared" ca="1" si="26"/>
        <v>-3806138.0721539259</v>
      </c>
      <c r="R877" s="6">
        <f t="shared" ca="1" si="27"/>
        <v>10835612.27347347</v>
      </c>
    </row>
    <row r="878" spans="1:18">
      <c r="A878" s="20">
        <v>877</v>
      </c>
      <c r="B878" s="3">
        <f ca="1">_xlfn.NORM.INV(RAND(),AVERAGE(Assumptions!$D$4,Assumptions!$F$4),(Assumptions!$F$4-Assumptions!$D$4)/3.29)*44</f>
        <v>1234254.3559913822</v>
      </c>
      <c r="C878" s="6">
        <f ca="1">_xlfn.NORM.INV(RAND(),AVERAGE(Assumptions!$D$5,Assumptions!$F$5),(Assumptions!$F$5-Assumptions!$D$5)/3.29)*44</f>
        <v>1831683.4851672905</v>
      </c>
      <c r="D878" s="9">
        <f ca="1">_xlfn.NORM.INV(RAND(),AVERAGE(Assumptions!$D$6,Assumptions!$F$6),(Assumptions!$F$6-Assumptions!$D$6)/3.29)*RANDBETWEEN(2,5)</f>
        <v>3533327.7172175208</v>
      </c>
      <c r="E878" s="12">
        <f ca="1">_xlfn.NORM.INV(RAND(),AVERAGE(Assumptions!$D$17,Assumptions!$F$17),(Assumptions!$F$17-Assumptions!$D$17)/3.29)*8</f>
        <v>1014898.3784554</v>
      </c>
      <c r="F878" s="15">
        <f ca="1">_xlfn.NORM.INV(RAND(),AVERAGE(Assumptions!$D$7,Assumptions!$F$7),(Assumptions!$F$7-Assumptions!$D$7)/3.29)*RANDBETWEEN(1,3)</f>
        <v>3023911.5372354402</v>
      </c>
      <c r="G878" s="3">
        <f ca="1">_xlfn.NORM.INV(RAND(),AVERAGE(Assumptions!$D$8,Assumptions!$F$8),(Assumptions!$F$8-Assumptions!$D$8)/3.29)*44</f>
        <v>1436256.1312396417</v>
      </c>
      <c r="H878" s="6">
        <f ca="1">_xlfn.NORM.INV(RAND(),AVERAGE(Assumptions!$D$9,Assumptions!$F$9),(Assumptions!$F$9-Assumptions!$D$9)/3.29)*21</f>
        <v>2709695.295595306</v>
      </c>
      <c r="I878" s="9">
        <f ca="1">_xlfn.NORM.INV(RAND(),AVERAGE(Assumptions!$D$10,Assumptions!$F$10),(Assumptions!$F$10-Assumptions!$D$10)/3.29)*21</f>
        <v>565391.18534716417</v>
      </c>
      <c r="J878" s="12">
        <f ca="1">NORMINV(RAND(),AVERAGE(Assumptions!$D$11,Assumptions!$F$11),(Assumptions!$F$11-Assumptions!$D$11)/3.29)*44</f>
        <v>2638274.44927317</v>
      </c>
      <c r="K878" s="15">
        <f ca="1">_xlfn.NORM.INV(RAND(),AVERAGE(Assumptions!$D$12,Assumptions!$F$12),(Assumptions!$F$12-Assumptions!$D$12)/3.29)*44</f>
        <v>10076000.897797991</v>
      </c>
      <c r="L878" s="3">
        <f ca="1">_xlfn.NORM.INV(RAND(),AVERAGE(Assumptions!$D$13,Assumptions!$F$13),(Assumptions!$F$13-Assumptions!$D$13)/3.29)*44</f>
        <v>12217819.318061627</v>
      </c>
      <c r="M878" s="6">
        <f ca="1">_xlfn.NORM.INV(RAND(),AVERAGE(Assumptions!$D$14,Assumptions!$F$14),(Assumptions!$F$14-Assumptions!$D$14)/3.29)*44</f>
        <v>6099272.2728951741</v>
      </c>
      <c r="N878" s="9">
        <f ca="1">_xlfn.NORM.INV(RAND(),AVERAGE(Assumptions!$D$16,Assumptions!$F$16),(Assumptions!$F$16-Assumptions!$D$16)/3.29)*44</f>
        <v>11599169.287346322</v>
      </c>
      <c r="O878" s="12">
        <f ca="1">_xlfn.NORM.INV(RAND(),AVERAGE(Assumptions!$D$15,Assumptions!$F$15),(Assumptions!$F$15-Assumptions!$D$15)/3.29)*44</f>
        <v>82304502.781346351</v>
      </c>
      <c r="P878" s="15">
        <f>Assumptions!$D$18</f>
        <v>14641750.345627395</v>
      </c>
      <c r="Q878" s="3">
        <f t="shared" ca="1" si="26"/>
        <v>24324548.469722927</v>
      </c>
      <c r="R878" s="6">
        <f t="shared" ca="1" si="27"/>
        <v>38966298.815350324</v>
      </c>
    </row>
    <row r="879" spans="1:18">
      <c r="A879" s="20">
        <v>878</v>
      </c>
      <c r="B879" s="3">
        <f ca="1">_xlfn.NORM.INV(RAND(),AVERAGE(Assumptions!$D$4,Assumptions!$F$4),(Assumptions!$F$4-Assumptions!$D$4)/3.29)*44</f>
        <v>1188547.2104046906</v>
      </c>
      <c r="C879" s="6">
        <f ca="1">_xlfn.NORM.INV(RAND(),AVERAGE(Assumptions!$D$5,Assumptions!$F$5),(Assumptions!$F$5-Assumptions!$D$5)/3.29)*44</f>
        <v>2129472.9750797497</v>
      </c>
      <c r="D879" s="9">
        <f ca="1">_xlfn.NORM.INV(RAND(),AVERAGE(Assumptions!$D$6,Assumptions!$F$6),(Assumptions!$F$6-Assumptions!$D$6)/3.29)*RANDBETWEEN(2,5)</f>
        <v>3761104.840652043</v>
      </c>
      <c r="E879" s="12">
        <f ca="1">_xlfn.NORM.INV(RAND(),AVERAGE(Assumptions!$D$17,Assumptions!$F$17),(Assumptions!$F$17-Assumptions!$D$17)/3.29)*8</f>
        <v>852382.66755001398</v>
      </c>
      <c r="F879" s="15">
        <f ca="1">_xlfn.NORM.INV(RAND(),AVERAGE(Assumptions!$D$7,Assumptions!$F$7),(Assumptions!$F$7-Assumptions!$D$7)/3.29)*RANDBETWEEN(1,3)</f>
        <v>4917280.3355301898</v>
      </c>
      <c r="G879" s="3">
        <f ca="1">_xlfn.NORM.INV(RAND(),AVERAGE(Assumptions!$D$8,Assumptions!$F$8),(Assumptions!$F$8-Assumptions!$D$8)/3.29)*44</f>
        <v>877564.87150406139</v>
      </c>
      <c r="H879" s="6">
        <f ca="1">_xlfn.NORM.INV(RAND(),AVERAGE(Assumptions!$D$9,Assumptions!$F$9),(Assumptions!$F$9-Assumptions!$D$9)/3.29)*21</f>
        <v>6909024.4133292586</v>
      </c>
      <c r="I879" s="9">
        <f ca="1">_xlfn.NORM.INV(RAND(),AVERAGE(Assumptions!$D$10,Assumptions!$F$10),(Assumptions!$F$10-Assumptions!$D$10)/3.29)*21</f>
        <v>889738.64275374287</v>
      </c>
      <c r="J879" s="12">
        <f ca="1">NORMINV(RAND(),AVERAGE(Assumptions!$D$11,Assumptions!$F$11),(Assumptions!$F$11-Assumptions!$D$11)/3.29)*44</f>
        <v>3223221.7577979532</v>
      </c>
      <c r="K879" s="15">
        <f ca="1">_xlfn.NORM.INV(RAND(),AVERAGE(Assumptions!$D$12,Assumptions!$F$12),(Assumptions!$F$12-Assumptions!$D$12)/3.29)*44</f>
        <v>9346906.6000574343</v>
      </c>
      <c r="L879" s="3">
        <f ca="1">_xlfn.NORM.INV(RAND(),AVERAGE(Assumptions!$D$13,Assumptions!$F$13),(Assumptions!$F$13-Assumptions!$D$13)/3.29)*44</f>
        <v>10301146.64241026</v>
      </c>
      <c r="M879" s="6">
        <f ca="1">_xlfn.NORM.INV(RAND(),AVERAGE(Assumptions!$D$14,Assumptions!$F$14),(Assumptions!$F$14-Assumptions!$D$14)/3.29)*44</f>
        <v>5373084.3524941392</v>
      </c>
      <c r="N879" s="9">
        <f ca="1">_xlfn.NORM.INV(RAND(),AVERAGE(Assumptions!$D$16,Assumptions!$F$16),(Assumptions!$F$16-Assumptions!$D$16)/3.29)*44</f>
        <v>9038068.1975759193</v>
      </c>
      <c r="O879" s="12">
        <f ca="1">_xlfn.NORM.INV(RAND(),AVERAGE(Assumptions!$D$15,Assumptions!$F$15),(Assumptions!$F$15-Assumptions!$D$15)/3.29)*44</f>
        <v>111234529.51473863</v>
      </c>
      <c r="P879" s="15">
        <f>Assumptions!$D$18</f>
        <v>14641750.345627395</v>
      </c>
      <c r="Q879" s="3">
        <f t="shared" ca="1" si="26"/>
        <v>52426986.007599182</v>
      </c>
      <c r="R879" s="6">
        <f t="shared" ca="1" si="27"/>
        <v>67068736.35322658</v>
      </c>
    </row>
    <row r="880" spans="1:18">
      <c r="A880" s="20">
        <v>879</v>
      </c>
      <c r="B880" s="3">
        <f ca="1">_xlfn.NORM.INV(RAND(),AVERAGE(Assumptions!$D$4,Assumptions!$F$4),(Assumptions!$F$4-Assumptions!$D$4)/3.29)*44</f>
        <v>1250279.6745095577</v>
      </c>
      <c r="C880" s="6">
        <f ca="1">_xlfn.NORM.INV(RAND(),AVERAGE(Assumptions!$D$5,Assumptions!$F$5),(Assumptions!$F$5-Assumptions!$D$5)/3.29)*44</f>
        <v>1811618.5925229865</v>
      </c>
      <c r="D880" s="9">
        <f ca="1">_xlfn.NORM.INV(RAND(),AVERAGE(Assumptions!$D$6,Assumptions!$F$6),(Assumptions!$F$6-Assumptions!$D$6)/3.29)*RANDBETWEEN(2,5)</f>
        <v>1511948.8965709624</v>
      </c>
      <c r="E880" s="12">
        <f ca="1">_xlfn.NORM.INV(RAND(),AVERAGE(Assumptions!$D$17,Assumptions!$F$17),(Assumptions!$F$17-Assumptions!$D$17)/3.29)*8</f>
        <v>678720.84548082273</v>
      </c>
      <c r="F880" s="15">
        <f ca="1">_xlfn.NORM.INV(RAND(),AVERAGE(Assumptions!$D$7,Assumptions!$F$7),(Assumptions!$F$7-Assumptions!$D$7)/3.29)*RANDBETWEEN(1,3)</f>
        <v>3192641.3582493281</v>
      </c>
      <c r="G880" s="3">
        <f ca="1">_xlfn.NORM.INV(RAND(),AVERAGE(Assumptions!$D$8,Assumptions!$F$8),(Assumptions!$F$8-Assumptions!$D$8)/3.29)*44</f>
        <v>1522071.215565111</v>
      </c>
      <c r="H880" s="6">
        <f ca="1">_xlfn.NORM.INV(RAND(),AVERAGE(Assumptions!$D$9,Assumptions!$F$9),(Assumptions!$F$9-Assumptions!$D$9)/3.29)*21</f>
        <v>3588779.1433623438</v>
      </c>
      <c r="I880" s="9">
        <f ca="1">_xlfn.NORM.INV(RAND(),AVERAGE(Assumptions!$D$10,Assumptions!$F$10),(Assumptions!$F$10-Assumptions!$D$10)/3.29)*21</f>
        <v>664326.0574317592</v>
      </c>
      <c r="J880" s="12">
        <f ca="1">NORMINV(RAND(),AVERAGE(Assumptions!$D$11,Assumptions!$F$11),(Assumptions!$F$11-Assumptions!$D$11)/3.29)*44</f>
        <v>4789147.4973788196</v>
      </c>
      <c r="K880" s="15">
        <f ca="1">_xlfn.NORM.INV(RAND(),AVERAGE(Assumptions!$D$12,Assumptions!$F$12),(Assumptions!$F$12-Assumptions!$D$12)/3.29)*44</f>
        <v>6672776.1973858755</v>
      </c>
      <c r="L880" s="3">
        <f ca="1">_xlfn.NORM.INV(RAND(),AVERAGE(Assumptions!$D$13,Assumptions!$F$13),(Assumptions!$F$13-Assumptions!$D$13)/3.29)*44</f>
        <v>3887884.2415137705</v>
      </c>
      <c r="M880" s="6">
        <f ca="1">_xlfn.NORM.INV(RAND(),AVERAGE(Assumptions!$D$14,Assumptions!$F$14),(Assumptions!$F$14-Assumptions!$D$14)/3.29)*44</f>
        <v>6458860.2230424127</v>
      </c>
      <c r="N880" s="9">
        <f ca="1">_xlfn.NORM.INV(RAND(),AVERAGE(Assumptions!$D$16,Assumptions!$F$16),(Assumptions!$F$16-Assumptions!$D$16)/3.29)*44</f>
        <v>15542384.420767372</v>
      </c>
      <c r="O880" s="12">
        <f ca="1">_xlfn.NORM.INV(RAND(),AVERAGE(Assumptions!$D$15,Assumptions!$F$15),(Assumptions!$F$15-Assumptions!$D$15)/3.29)*44</f>
        <v>118598053.37655227</v>
      </c>
      <c r="P880" s="15">
        <f>Assumptions!$D$18</f>
        <v>14641750.345627395</v>
      </c>
      <c r="Q880" s="3">
        <f t="shared" ca="1" si="26"/>
        <v>67026615.012771152</v>
      </c>
      <c r="R880" s="6">
        <f t="shared" ca="1" si="27"/>
        <v>81668365.358398542</v>
      </c>
    </row>
    <row r="881" spans="1:18">
      <c r="A881" s="20">
        <v>880</v>
      </c>
      <c r="B881" s="3">
        <f ca="1">_xlfn.NORM.INV(RAND(),AVERAGE(Assumptions!$D$4,Assumptions!$F$4),(Assumptions!$F$4-Assumptions!$D$4)/3.29)*44</f>
        <v>1109698.0206592118</v>
      </c>
      <c r="C881" s="6">
        <f ca="1">_xlfn.NORM.INV(RAND(),AVERAGE(Assumptions!$D$5,Assumptions!$F$5),(Assumptions!$F$5-Assumptions!$D$5)/3.29)*44</f>
        <v>1776616.3773864016</v>
      </c>
      <c r="D881" s="9">
        <f ca="1">_xlfn.NORM.INV(RAND(),AVERAGE(Assumptions!$D$6,Assumptions!$F$6),(Assumptions!$F$6-Assumptions!$D$6)/3.29)*RANDBETWEEN(2,5)</f>
        <v>2746270.4403605866</v>
      </c>
      <c r="E881" s="12">
        <f ca="1">_xlfn.NORM.INV(RAND(),AVERAGE(Assumptions!$D$17,Assumptions!$F$17),(Assumptions!$F$17-Assumptions!$D$17)/3.29)*8</f>
        <v>1104064.8198776983</v>
      </c>
      <c r="F881" s="15">
        <f ca="1">_xlfn.NORM.INV(RAND(),AVERAGE(Assumptions!$D$7,Assumptions!$F$7),(Assumptions!$F$7-Assumptions!$D$7)/3.29)*RANDBETWEEN(1,3)</f>
        <v>2523714.4032381112</v>
      </c>
      <c r="G881" s="3">
        <f ca="1">_xlfn.NORM.INV(RAND(),AVERAGE(Assumptions!$D$8,Assumptions!$F$8),(Assumptions!$F$8-Assumptions!$D$8)/3.29)*44</f>
        <v>1482011.3581209087</v>
      </c>
      <c r="H881" s="6">
        <f ca="1">_xlfn.NORM.INV(RAND(),AVERAGE(Assumptions!$D$9,Assumptions!$F$9),(Assumptions!$F$9-Assumptions!$D$9)/3.29)*21</f>
        <v>3229802.1749950415</v>
      </c>
      <c r="I881" s="9">
        <f ca="1">_xlfn.NORM.INV(RAND(),AVERAGE(Assumptions!$D$10,Assumptions!$F$10),(Assumptions!$F$10-Assumptions!$D$10)/3.29)*21</f>
        <v>1283120.0936773131</v>
      </c>
      <c r="J881" s="12">
        <f ca="1">NORMINV(RAND(),AVERAGE(Assumptions!$D$11,Assumptions!$F$11),(Assumptions!$F$11-Assumptions!$D$11)/3.29)*44</f>
        <v>3167436.3312725546</v>
      </c>
      <c r="K881" s="15">
        <f ca="1">_xlfn.NORM.INV(RAND(),AVERAGE(Assumptions!$D$12,Assumptions!$F$12),(Assumptions!$F$12-Assumptions!$D$12)/3.29)*44</f>
        <v>6253749.1385148056</v>
      </c>
      <c r="L881" s="3">
        <f ca="1">_xlfn.NORM.INV(RAND(),AVERAGE(Assumptions!$D$13,Assumptions!$F$13),(Assumptions!$F$13-Assumptions!$D$13)/3.29)*44</f>
        <v>18880202.474407434</v>
      </c>
      <c r="M881" s="6">
        <f ca="1">_xlfn.NORM.INV(RAND(),AVERAGE(Assumptions!$D$14,Assumptions!$F$14),(Assumptions!$F$14-Assumptions!$D$14)/3.29)*44</f>
        <v>6383394.6178309731</v>
      </c>
      <c r="N881" s="9">
        <f ca="1">_xlfn.NORM.INV(RAND(),AVERAGE(Assumptions!$D$16,Assumptions!$F$16),(Assumptions!$F$16-Assumptions!$D$16)/3.29)*44</f>
        <v>9843685.0680825785</v>
      </c>
      <c r="O881" s="12">
        <f ca="1">_xlfn.NORM.INV(RAND(),AVERAGE(Assumptions!$D$15,Assumptions!$F$15),(Assumptions!$F$15-Assumptions!$D$15)/3.29)*44</f>
        <v>88943508.233856425</v>
      </c>
      <c r="P881" s="15">
        <f>Assumptions!$D$18</f>
        <v>14641750.345627395</v>
      </c>
      <c r="Q881" s="3">
        <f t="shared" ca="1" si="26"/>
        <v>29159742.915432803</v>
      </c>
      <c r="R881" s="6">
        <f t="shared" ca="1" si="27"/>
        <v>43801493.261060201</v>
      </c>
    </row>
    <row r="882" spans="1:18">
      <c r="A882" s="20">
        <v>881</v>
      </c>
      <c r="B882" s="3">
        <f ca="1">_xlfn.NORM.INV(RAND(),AVERAGE(Assumptions!$D$4,Assumptions!$F$4),(Assumptions!$F$4-Assumptions!$D$4)/3.29)*44</f>
        <v>1015326.5060894305</v>
      </c>
      <c r="C882" s="6">
        <f ca="1">_xlfn.NORM.INV(RAND(),AVERAGE(Assumptions!$D$5,Assumptions!$F$5),(Assumptions!$F$5-Assumptions!$D$5)/3.29)*44</f>
        <v>2135798.5606259601</v>
      </c>
      <c r="D882" s="9">
        <f ca="1">_xlfn.NORM.INV(RAND(),AVERAGE(Assumptions!$D$6,Assumptions!$F$6),(Assumptions!$F$6-Assumptions!$D$6)/3.29)*RANDBETWEEN(2,5)</f>
        <v>6446436.3770815926</v>
      </c>
      <c r="E882" s="12">
        <f ca="1">_xlfn.NORM.INV(RAND(),AVERAGE(Assumptions!$D$17,Assumptions!$F$17),(Assumptions!$F$17-Assumptions!$D$17)/3.29)*8</f>
        <v>948198.03894650913</v>
      </c>
      <c r="F882" s="15">
        <f ca="1">_xlfn.NORM.INV(RAND(),AVERAGE(Assumptions!$D$7,Assumptions!$F$7),(Assumptions!$F$7-Assumptions!$D$7)/3.29)*RANDBETWEEN(1,3)</f>
        <v>5177031.8236763058</v>
      </c>
      <c r="G882" s="3">
        <f ca="1">_xlfn.NORM.INV(RAND(),AVERAGE(Assumptions!$D$8,Assumptions!$F$8),(Assumptions!$F$8-Assumptions!$D$8)/3.29)*44</f>
        <v>1090832.4642956061</v>
      </c>
      <c r="H882" s="6">
        <f ca="1">_xlfn.NORM.INV(RAND(),AVERAGE(Assumptions!$D$9,Assumptions!$F$9),(Assumptions!$F$9-Assumptions!$D$9)/3.29)*21</f>
        <v>6051938.2750678025</v>
      </c>
      <c r="I882" s="9">
        <f ca="1">_xlfn.NORM.INV(RAND(),AVERAGE(Assumptions!$D$10,Assumptions!$F$10),(Assumptions!$F$10-Assumptions!$D$10)/3.29)*21</f>
        <v>379731.55510615022</v>
      </c>
      <c r="J882" s="12">
        <f ca="1">NORMINV(RAND(),AVERAGE(Assumptions!$D$11,Assumptions!$F$11),(Assumptions!$F$11-Assumptions!$D$11)/3.29)*44</f>
        <v>3079478.1146257203</v>
      </c>
      <c r="K882" s="15">
        <f ca="1">_xlfn.NORM.INV(RAND(),AVERAGE(Assumptions!$D$12,Assumptions!$F$12),(Assumptions!$F$12-Assumptions!$D$12)/3.29)*44</f>
        <v>10173774.568045169</v>
      </c>
      <c r="L882" s="3">
        <f ca="1">_xlfn.NORM.INV(RAND(),AVERAGE(Assumptions!$D$13,Assumptions!$F$13),(Assumptions!$F$13-Assumptions!$D$13)/3.29)*44</f>
        <v>11853697.654792411</v>
      </c>
      <c r="M882" s="6">
        <f ca="1">_xlfn.NORM.INV(RAND(),AVERAGE(Assumptions!$D$14,Assumptions!$F$14),(Assumptions!$F$14-Assumptions!$D$14)/3.29)*44</f>
        <v>6121479.5147677036</v>
      </c>
      <c r="N882" s="9">
        <f ca="1">_xlfn.NORM.INV(RAND(),AVERAGE(Assumptions!$D$16,Assumptions!$F$16),(Assumptions!$F$16-Assumptions!$D$16)/3.29)*44</f>
        <v>6840951.3368128333</v>
      </c>
      <c r="O882" s="12">
        <f ca="1">_xlfn.NORM.INV(RAND(),AVERAGE(Assumptions!$D$15,Assumptions!$F$15),(Assumptions!$F$15-Assumptions!$D$15)/3.29)*44</f>
        <v>93848268.662475616</v>
      </c>
      <c r="P882" s="15">
        <f>Assumptions!$D$18</f>
        <v>14641750.345627395</v>
      </c>
      <c r="Q882" s="3">
        <f t="shared" ca="1" si="26"/>
        <v>32533593.872542419</v>
      </c>
      <c r="R882" s="6">
        <f t="shared" ca="1" si="27"/>
        <v>47175344.218169816</v>
      </c>
    </row>
    <row r="883" spans="1:18">
      <c r="A883" s="20">
        <v>882</v>
      </c>
      <c r="B883" s="3">
        <f ca="1">_xlfn.NORM.INV(RAND(),AVERAGE(Assumptions!$D$4,Assumptions!$F$4),(Assumptions!$F$4-Assumptions!$D$4)/3.29)*44</f>
        <v>1190263.3367955785</v>
      </c>
      <c r="C883" s="6">
        <f ca="1">_xlfn.NORM.INV(RAND(),AVERAGE(Assumptions!$D$5,Assumptions!$F$5),(Assumptions!$F$5-Assumptions!$D$5)/3.29)*44</f>
        <v>1731427.4504216607</v>
      </c>
      <c r="D883" s="9">
        <f ca="1">_xlfn.NORM.INV(RAND(),AVERAGE(Assumptions!$D$6,Assumptions!$F$6),(Assumptions!$F$6-Assumptions!$D$6)/3.29)*RANDBETWEEN(2,5)</f>
        <v>3659419.7020361498</v>
      </c>
      <c r="E883" s="12">
        <f ca="1">_xlfn.NORM.INV(RAND(),AVERAGE(Assumptions!$D$17,Assumptions!$F$17),(Assumptions!$F$17-Assumptions!$D$17)/3.29)*8</f>
        <v>1106931.8900212296</v>
      </c>
      <c r="F883" s="15">
        <f ca="1">_xlfn.NORM.INV(RAND(),AVERAGE(Assumptions!$D$7,Assumptions!$F$7),(Assumptions!$F$7-Assumptions!$D$7)/3.29)*RANDBETWEEN(1,3)</f>
        <v>3049308.7967386707</v>
      </c>
      <c r="G883" s="3">
        <f ca="1">_xlfn.NORM.INV(RAND(),AVERAGE(Assumptions!$D$8,Assumptions!$F$8),(Assumptions!$F$8-Assumptions!$D$8)/3.29)*44</f>
        <v>1339346.1770481507</v>
      </c>
      <c r="H883" s="6">
        <f ca="1">_xlfn.NORM.INV(RAND(),AVERAGE(Assumptions!$D$9,Assumptions!$F$9),(Assumptions!$F$9-Assumptions!$D$9)/3.29)*21</f>
        <v>4214355.9823988853</v>
      </c>
      <c r="I883" s="9">
        <f ca="1">_xlfn.NORM.INV(RAND(),AVERAGE(Assumptions!$D$10,Assumptions!$F$10),(Assumptions!$F$10-Assumptions!$D$10)/3.29)*21</f>
        <v>758198.20348758833</v>
      </c>
      <c r="J883" s="12">
        <f ca="1">NORMINV(RAND(),AVERAGE(Assumptions!$D$11,Assumptions!$F$11),(Assumptions!$F$11-Assumptions!$D$11)/3.29)*44</f>
        <v>4170303.8771658177</v>
      </c>
      <c r="K883" s="15">
        <f ca="1">_xlfn.NORM.INV(RAND(),AVERAGE(Assumptions!$D$12,Assumptions!$F$12),(Assumptions!$F$12-Assumptions!$D$12)/3.29)*44</f>
        <v>9863807.0119301528</v>
      </c>
      <c r="L883" s="3">
        <f ca="1">_xlfn.NORM.INV(RAND(),AVERAGE(Assumptions!$D$13,Assumptions!$F$13),(Assumptions!$F$13-Assumptions!$D$13)/3.29)*44</f>
        <v>13949816.602737732</v>
      </c>
      <c r="M883" s="6">
        <f ca="1">_xlfn.NORM.INV(RAND(),AVERAGE(Assumptions!$D$14,Assumptions!$F$14),(Assumptions!$F$14-Assumptions!$D$14)/3.29)*44</f>
        <v>3572855.5021266858</v>
      </c>
      <c r="N883" s="9">
        <f ca="1">_xlfn.NORM.INV(RAND(),AVERAGE(Assumptions!$D$16,Assumptions!$F$16),(Assumptions!$F$16-Assumptions!$D$16)/3.29)*44</f>
        <v>13007096.309868602</v>
      </c>
      <c r="O883" s="12">
        <f ca="1">_xlfn.NORM.INV(RAND(),AVERAGE(Assumptions!$D$15,Assumptions!$F$15),(Assumptions!$F$15-Assumptions!$D$15)/3.29)*44</f>
        <v>64026311.34381865</v>
      </c>
      <c r="P883" s="15">
        <f>Assumptions!$D$18</f>
        <v>14641750.345627395</v>
      </c>
      <c r="Q883" s="3">
        <f t="shared" ca="1" si="26"/>
        <v>2413180.5010417402</v>
      </c>
      <c r="R883" s="6">
        <f t="shared" ca="1" si="27"/>
        <v>17054930.846669137</v>
      </c>
    </row>
    <row r="884" spans="1:18">
      <c r="A884" s="20">
        <v>883</v>
      </c>
      <c r="B884" s="3">
        <f ca="1">_xlfn.NORM.INV(RAND(),AVERAGE(Assumptions!$D$4,Assumptions!$F$4),(Assumptions!$F$4-Assumptions!$D$4)/3.29)*44</f>
        <v>1226606.16457676</v>
      </c>
      <c r="C884" s="6">
        <f ca="1">_xlfn.NORM.INV(RAND(),AVERAGE(Assumptions!$D$5,Assumptions!$F$5),(Assumptions!$F$5-Assumptions!$D$5)/3.29)*44</f>
        <v>1784425.9896465405</v>
      </c>
      <c r="D884" s="9">
        <f ca="1">_xlfn.NORM.INV(RAND(),AVERAGE(Assumptions!$D$6,Assumptions!$F$6),(Assumptions!$F$6-Assumptions!$D$6)/3.29)*RANDBETWEEN(2,5)</f>
        <v>4163044.1422396973</v>
      </c>
      <c r="E884" s="12">
        <f ca="1">_xlfn.NORM.INV(RAND(),AVERAGE(Assumptions!$D$17,Assumptions!$F$17),(Assumptions!$F$17-Assumptions!$D$17)/3.29)*8</f>
        <v>977828.41603699478</v>
      </c>
      <c r="F884" s="15">
        <f ca="1">_xlfn.NORM.INV(RAND(),AVERAGE(Assumptions!$D$7,Assumptions!$F$7),(Assumptions!$F$7-Assumptions!$D$7)/3.29)*RANDBETWEEN(1,3)</f>
        <v>4980972.751438275</v>
      </c>
      <c r="G884" s="3">
        <f ca="1">_xlfn.NORM.INV(RAND(),AVERAGE(Assumptions!$D$8,Assumptions!$F$8),(Assumptions!$F$8-Assumptions!$D$8)/3.29)*44</f>
        <v>1519059.036265824</v>
      </c>
      <c r="H884" s="6">
        <f ca="1">_xlfn.NORM.INV(RAND(),AVERAGE(Assumptions!$D$9,Assumptions!$F$9),(Assumptions!$F$9-Assumptions!$D$9)/3.29)*21</f>
        <v>5320574.9985655928</v>
      </c>
      <c r="I884" s="9">
        <f ca="1">_xlfn.NORM.INV(RAND(),AVERAGE(Assumptions!$D$10,Assumptions!$F$10),(Assumptions!$F$10-Assumptions!$D$10)/3.29)*21</f>
        <v>1208299.8948407313</v>
      </c>
      <c r="J884" s="12">
        <f ca="1">NORMINV(RAND(),AVERAGE(Assumptions!$D$11,Assumptions!$F$11),(Assumptions!$F$11-Assumptions!$D$11)/3.29)*44</f>
        <v>4534903.071326335</v>
      </c>
      <c r="K884" s="15">
        <f ca="1">_xlfn.NORM.INV(RAND(),AVERAGE(Assumptions!$D$12,Assumptions!$F$12),(Assumptions!$F$12-Assumptions!$D$12)/3.29)*44</f>
        <v>9365139.1423493922</v>
      </c>
      <c r="L884" s="3">
        <f ca="1">_xlfn.NORM.INV(RAND(),AVERAGE(Assumptions!$D$13,Assumptions!$F$13),(Assumptions!$F$13-Assumptions!$D$13)/3.29)*44</f>
        <v>8777652.3467291817</v>
      </c>
      <c r="M884" s="6">
        <f ca="1">_xlfn.NORM.INV(RAND(),AVERAGE(Assumptions!$D$14,Assumptions!$F$14),(Assumptions!$F$14-Assumptions!$D$14)/3.29)*44</f>
        <v>3500998.5745412265</v>
      </c>
      <c r="N884" s="9">
        <f ca="1">_xlfn.NORM.INV(RAND(),AVERAGE(Assumptions!$D$16,Assumptions!$F$16),(Assumptions!$F$16-Assumptions!$D$16)/3.29)*44</f>
        <v>5313612.1795982756</v>
      </c>
      <c r="O884" s="12">
        <f ca="1">_xlfn.NORM.INV(RAND(),AVERAGE(Assumptions!$D$15,Assumptions!$F$15),(Assumptions!$F$15-Assumptions!$D$15)/3.29)*44</f>
        <v>59817184.729935512</v>
      </c>
      <c r="P884" s="15">
        <f>Assumptions!$D$18</f>
        <v>14641750.345627395</v>
      </c>
      <c r="Q884" s="3">
        <f t="shared" ca="1" si="26"/>
        <v>7144068.0217806846</v>
      </c>
      <c r="R884" s="6">
        <f t="shared" ca="1" si="27"/>
        <v>21785818.367408082</v>
      </c>
    </row>
    <row r="885" spans="1:18">
      <c r="A885" s="20">
        <v>884</v>
      </c>
      <c r="B885" s="3">
        <f ca="1">_xlfn.NORM.INV(RAND(),AVERAGE(Assumptions!$D$4,Assumptions!$F$4),(Assumptions!$F$4-Assumptions!$D$4)/3.29)*44</f>
        <v>1274015.7303096135</v>
      </c>
      <c r="C885" s="6">
        <f ca="1">_xlfn.NORM.INV(RAND(),AVERAGE(Assumptions!$D$5,Assumptions!$F$5),(Assumptions!$F$5-Assumptions!$D$5)/3.29)*44</f>
        <v>1919155.2820079296</v>
      </c>
      <c r="D885" s="9">
        <f ca="1">_xlfn.NORM.INV(RAND(),AVERAGE(Assumptions!$D$6,Assumptions!$F$6),(Assumptions!$F$6-Assumptions!$D$6)/3.29)*RANDBETWEEN(2,5)</f>
        <v>1612790.0802341781</v>
      </c>
      <c r="E885" s="12">
        <f ca="1">_xlfn.NORM.INV(RAND(),AVERAGE(Assumptions!$D$17,Assumptions!$F$17),(Assumptions!$F$17-Assumptions!$D$17)/3.29)*8</f>
        <v>1140695.8096677891</v>
      </c>
      <c r="F885" s="15">
        <f ca="1">_xlfn.NORM.INV(RAND(),AVERAGE(Assumptions!$D$7,Assumptions!$F$7),(Assumptions!$F$7-Assumptions!$D$7)/3.29)*RANDBETWEEN(1,3)</f>
        <v>2746157.4080078686</v>
      </c>
      <c r="G885" s="3">
        <f ca="1">_xlfn.NORM.INV(RAND(),AVERAGE(Assumptions!$D$8,Assumptions!$F$8),(Assumptions!$F$8-Assumptions!$D$8)/3.29)*44</f>
        <v>996426.28051736695</v>
      </c>
      <c r="H885" s="6">
        <f ca="1">_xlfn.NORM.INV(RAND(),AVERAGE(Assumptions!$D$9,Assumptions!$F$9),(Assumptions!$F$9-Assumptions!$D$9)/3.29)*21</f>
        <v>1989404.5106284516</v>
      </c>
      <c r="I885" s="9">
        <f ca="1">_xlfn.NORM.INV(RAND(),AVERAGE(Assumptions!$D$10,Assumptions!$F$10),(Assumptions!$F$10-Assumptions!$D$10)/3.29)*21</f>
        <v>1118599.1578755642</v>
      </c>
      <c r="J885" s="12">
        <f ca="1">NORMINV(RAND(),AVERAGE(Assumptions!$D$11,Assumptions!$F$11),(Assumptions!$F$11-Assumptions!$D$11)/3.29)*44</f>
        <v>4241874.1435252782</v>
      </c>
      <c r="K885" s="15">
        <f ca="1">_xlfn.NORM.INV(RAND(),AVERAGE(Assumptions!$D$12,Assumptions!$F$12),(Assumptions!$F$12-Assumptions!$D$12)/3.29)*44</f>
        <v>8171355.4007874401</v>
      </c>
      <c r="L885" s="3">
        <f ca="1">_xlfn.NORM.INV(RAND(),AVERAGE(Assumptions!$D$13,Assumptions!$F$13),(Assumptions!$F$13-Assumptions!$D$13)/3.29)*44</f>
        <v>14065965.566516088</v>
      </c>
      <c r="M885" s="6">
        <f ca="1">_xlfn.NORM.INV(RAND(),AVERAGE(Assumptions!$D$14,Assumptions!$F$14),(Assumptions!$F$14-Assumptions!$D$14)/3.29)*44</f>
        <v>4973583.8913609963</v>
      </c>
      <c r="N885" s="9">
        <f ca="1">_xlfn.NORM.INV(RAND(),AVERAGE(Assumptions!$D$16,Assumptions!$F$16),(Assumptions!$F$16-Assumptions!$D$16)/3.29)*44</f>
        <v>7345465.1639242359</v>
      </c>
      <c r="O885" s="12">
        <f ca="1">_xlfn.NORM.INV(RAND(),AVERAGE(Assumptions!$D$15,Assumptions!$F$15),(Assumptions!$F$15-Assumptions!$D$15)/3.29)*44</f>
        <v>61331678.346418306</v>
      </c>
      <c r="P885" s="15">
        <f>Assumptions!$D$18</f>
        <v>14641750.345627395</v>
      </c>
      <c r="Q885" s="3">
        <f t="shared" ca="1" si="26"/>
        <v>9736189.9210555032</v>
      </c>
      <c r="R885" s="6">
        <f t="shared" ca="1" si="27"/>
        <v>24377940.2666829</v>
      </c>
    </row>
    <row r="886" spans="1:18">
      <c r="A886" s="20">
        <v>885</v>
      </c>
      <c r="B886" s="3">
        <f ca="1">_xlfn.NORM.INV(RAND(),AVERAGE(Assumptions!$D$4,Assumptions!$F$4),(Assumptions!$F$4-Assumptions!$D$4)/3.29)*44</f>
        <v>1163438.7102050337</v>
      </c>
      <c r="C886" s="6">
        <f ca="1">_xlfn.NORM.INV(RAND(),AVERAGE(Assumptions!$D$5,Assumptions!$F$5),(Assumptions!$F$5-Assumptions!$D$5)/3.29)*44</f>
        <v>1847047.9964243476</v>
      </c>
      <c r="D886" s="9">
        <f ca="1">_xlfn.NORM.INV(RAND(),AVERAGE(Assumptions!$D$6,Assumptions!$F$6),(Assumptions!$F$6-Assumptions!$D$6)/3.29)*RANDBETWEEN(2,5)</f>
        <v>1493906.5880744988</v>
      </c>
      <c r="E886" s="12">
        <f ca="1">_xlfn.NORM.INV(RAND(),AVERAGE(Assumptions!$D$17,Assumptions!$F$17),(Assumptions!$F$17-Assumptions!$D$17)/3.29)*8</f>
        <v>894899.96885032603</v>
      </c>
      <c r="F886" s="15">
        <f ca="1">_xlfn.NORM.INV(RAND(),AVERAGE(Assumptions!$D$7,Assumptions!$F$7),(Assumptions!$F$7-Assumptions!$D$7)/3.29)*RANDBETWEEN(1,3)</f>
        <v>5403755.2849515788</v>
      </c>
      <c r="G886" s="3">
        <f ca="1">_xlfn.NORM.INV(RAND(),AVERAGE(Assumptions!$D$8,Assumptions!$F$8),(Assumptions!$F$8-Assumptions!$D$8)/3.29)*44</f>
        <v>1585844.3122273705</v>
      </c>
      <c r="H886" s="6">
        <f ca="1">_xlfn.NORM.INV(RAND(),AVERAGE(Assumptions!$D$9,Assumptions!$F$9),(Assumptions!$F$9-Assumptions!$D$9)/3.29)*21</f>
        <v>4572385.655541135</v>
      </c>
      <c r="I886" s="9">
        <f ca="1">_xlfn.NORM.INV(RAND(),AVERAGE(Assumptions!$D$10,Assumptions!$F$10),(Assumptions!$F$10-Assumptions!$D$10)/3.29)*21</f>
        <v>1097147.9905387727</v>
      </c>
      <c r="J886" s="12">
        <f ca="1">NORMINV(RAND(),AVERAGE(Assumptions!$D$11,Assumptions!$F$11),(Assumptions!$F$11-Assumptions!$D$11)/3.29)*44</f>
        <v>3525567.8513548318</v>
      </c>
      <c r="K886" s="15">
        <f ca="1">_xlfn.NORM.INV(RAND(),AVERAGE(Assumptions!$D$12,Assumptions!$F$12),(Assumptions!$F$12-Assumptions!$D$12)/3.29)*44</f>
        <v>9067391.7683688365</v>
      </c>
      <c r="L886" s="3">
        <f ca="1">_xlfn.NORM.INV(RAND(),AVERAGE(Assumptions!$D$13,Assumptions!$F$13),(Assumptions!$F$13-Assumptions!$D$13)/3.29)*44</f>
        <v>8993034.8331898488</v>
      </c>
      <c r="M886" s="6">
        <f ca="1">_xlfn.NORM.INV(RAND(),AVERAGE(Assumptions!$D$14,Assumptions!$F$14),(Assumptions!$F$14-Assumptions!$D$14)/3.29)*44</f>
        <v>7360069.3008127427</v>
      </c>
      <c r="N886" s="9">
        <f ca="1">_xlfn.NORM.INV(RAND(),AVERAGE(Assumptions!$D$16,Assumptions!$F$16),(Assumptions!$F$16-Assumptions!$D$16)/3.29)*44</f>
        <v>6100633.7825735789</v>
      </c>
      <c r="O886" s="12">
        <f ca="1">_xlfn.NORM.INV(RAND(),AVERAGE(Assumptions!$D$15,Assumptions!$F$15),(Assumptions!$F$15-Assumptions!$D$15)/3.29)*44</f>
        <v>116901418.17074823</v>
      </c>
      <c r="P886" s="15">
        <f>Assumptions!$D$18</f>
        <v>14641750.345627395</v>
      </c>
      <c r="Q886" s="3">
        <f t="shared" ca="1" si="26"/>
        <v>63796294.127635323</v>
      </c>
      <c r="R886" s="6">
        <f t="shared" ca="1" si="27"/>
        <v>78438044.473262712</v>
      </c>
    </row>
    <row r="887" spans="1:18">
      <c r="A887" s="20">
        <v>886</v>
      </c>
      <c r="B887" s="3">
        <f ca="1">_xlfn.NORM.INV(RAND(),AVERAGE(Assumptions!$D$4,Assumptions!$F$4),(Assumptions!$F$4-Assumptions!$D$4)/3.29)*44</f>
        <v>1252608.0433057391</v>
      </c>
      <c r="C887" s="6">
        <f ca="1">_xlfn.NORM.INV(RAND(),AVERAGE(Assumptions!$D$5,Assumptions!$F$5),(Assumptions!$F$5-Assumptions!$D$5)/3.29)*44</f>
        <v>2029937.1649634626</v>
      </c>
      <c r="D887" s="9">
        <f ca="1">_xlfn.NORM.INV(RAND(),AVERAGE(Assumptions!$D$6,Assumptions!$F$6),(Assumptions!$F$6-Assumptions!$D$6)/3.29)*RANDBETWEEN(2,5)</f>
        <v>2643061.3604354439</v>
      </c>
      <c r="E887" s="12">
        <f ca="1">_xlfn.NORM.INV(RAND(),AVERAGE(Assumptions!$D$17,Assumptions!$F$17),(Assumptions!$F$17-Assumptions!$D$17)/3.29)*8</f>
        <v>989487.87820481963</v>
      </c>
      <c r="F887" s="15">
        <f ca="1">_xlfn.NORM.INV(RAND(),AVERAGE(Assumptions!$D$7,Assumptions!$F$7),(Assumptions!$F$7-Assumptions!$D$7)/3.29)*RANDBETWEEN(1,3)</f>
        <v>8346867.6397372503</v>
      </c>
      <c r="G887" s="3">
        <f ca="1">_xlfn.NORM.INV(RAND(),AVERAGE(Assumptions!$D$8,Assumptions!$F$8),(Assumptions!$F$8-Assumptions!$D$8)/3.29)*44</f>
        <v>1563992.9748593457</v>
      </c>
      <c r="H887" s="6">
        <f ca="1">_xlfn.NORM.INV(RAND(),AVERAGE(Assumptions!$D$9,Assumptions!$F$9),(Assumptions!$F$9-Assumptions!$D$9)/3.29)*21</f>
        <v>6079047.7235498568</v>
      </c>
      <c r="I887" s="9">
        <f ca="1">_xlfn.NORM.INV(RAND(),AVERAGE(Assumptions!$D$10,Assumptions!$F$10),(Assumptions!$F$10-Assumptions!$D$10)/3.29)*21</f>
        <v>1262774.9962138564</v>
      </c>
      <c r="J887" s="12">
        <f ca="1">NORMINV(RAND(),AVERAGE(Assumptions!$D$11,Assumptions!$F$11),(Assumptions!$F$11-Assumptions!$D$11)/3.29)*44</f>
        <v>1509530.8968723218</v>
      </c>
      <c r="K887" s="15">
        <f ca="1">_xlfn.NORM.INV(RAND(),AVERAGE(Assumptions!$D$12,Assumptions!$F$12),(Assumptions!$F$12-Assumptions!$D$12)/3.29)*44</f>
        <v>9227732.9384690449</v>
      </c>
      <c r="L887" s="3">
        <f ca="1">_xlfn.NORM.INV(RAND(),AVERAGE(Assumptions!$D$13,Assumptions!$F$13),(Assumptions!$F$13-Assumptions!$D$13)/3.29)*44</f>
        <v>16900386.007564403</v>
      </c>
      <c r="M887" s="6">
        <f ca="1">_xlfn.NORM.INV(RAND(),AVERAGE(Assumptions!$D$14,Assumptions!$F$14),(Assumptions!$F$14-Assumptions!$D$14)/3.29)*44</f>
        <v>6561228.2419282869</v>
      </c>
      <c r="N887" s="9">
        <f ca="1">_xlfn.NORM.INV(RAND(),AVERAGE(Assumptions!$D$16,Assumptions!$F$16),(Assumptions!$F$16-Assumptions!$D$16)/3.29)*44</f>
        <v>8172703.6940382309</v>
      </c>
      <c r="O887" s="12">
        <f ca="1">_xlfn.NORM.INV(RAND(),AVERAGE(Assumptions!$D$15,Assumptions!$F$15),(Assumptions!$F$15-Assumptions!$D$15)/3.29)*44</f>
        <v>88958437.485734552</v>
      </c>
      <c r="P887" s="15">
        <f>Assumptions!$D$18</f>
        <v>14641750.345627395</v>
      </c>
      <c r="Q887" s="3">
        <f t="shared" ca="1" si="26"/>
        <v>22419077.925592482</v>
      </c>
      <c r="R887" s="6">
        <f t="shared" ca="1" si="27"/>
        <v>37060828.271219879</v>
      </c>
    </row>
    <row r="888" spans="1:18">
      <c r="A888" s="20">
        <v>887</v>
      </c>
      <c r="B888" s="3">
        <f ca="1">_xlfn.NORM.INV(RAND(),AVERAGE(Assumptions!$D$4,Assumptions!$F$4),(Assumptions!$F$4-Assumptions!$D$4)/3.29)*44</f>
        <v>1252298.7452334289</v>
      </c>
      <c r="C888" s="6">
        <f ca="1">_xlfn.NORM.INV(RAND(),AVERAGE(Assumptions!$D$5,Assumptions!$F$5),(Assumptions!$F$5-Assumptions!$D$5)/3.29)*44</f>
        <v>1529241.3499123922</v>
      </c>
      <c r="D888" s="9">
        <f ca="1">_xlfn.NORM.INV(RAND(),AVERAGE(Assumptions!$D$6,Assumptions!$F$6),(Assumptions!$F$6-Assumptions!$D$6)/3.29)*RANDBETWEEN(2,5)</f>
        <v>5146764.9976770468</v>
      </c>
      <c r="E888" s="12">
        <f ca="1">_xlfn.NORM.INV(RAND(),AVERAGE(Assumptions!$D$17,Assumptions!$F$17),(Assumptions!$F$17-Assumptions!$D$17)/3.29)*8</f>
        <v>868787.3339633008</v>
      </c>
      <c r="F888" s="15">
        <f ca="1">_xlfn.NORM.INV(RAND(),AVERAGE(Assumptions!$D$7,Assumptions!$F$7),(Assumptions!$F$7-Assumptions!$D$7)/3.29)*RANDBETWEEN(1,3)</f>
        <v>12044404.726340089</v>
      </c>
      <c r="G888" s="3">
        <f ca="1">_xlfn.NORM.INV(RAND(),AVERAGE(Assumptions!$D$8,Assumptions!$F$8),(Assumptions!$F$8-Assumptions!$D$8)/3.29)*44</f>
        <v>1063237.7944608307</v>
      </c>
      <c r="H888" s="6">
        <f ca="1">_xlfn.NORM.INV(RAND(),AVERAGE(Assumptions!$D$9,Assumptions!$F$9),(Assumptions!$F$9-Assumptions!$D$9)/3.29)*21</f>
        <v>711129.0689827071</v>
      </c>
      <c r="I888" s="9">
        <f ca="1">_xlfn.NORM.INV(RAND(),AVERAGE(Assumptions!$D$10,Assumptions!$F$10),(Assumptions!$F$10-Assumptions!$D$10)/3.29)*21</f>
        <v>1087040.9641990131</v>
      </c>
      <c r="J888" s="12">
        <f ca="1">NORMINV(RAND(),AVERAGE(Assumptions!$D$11,Assumptions!$F$11),(Assumptions!$F$11-Assumptions!$D$11)/3.29)*44</f>
        <v>5743919.264899794</v>
      </c>
      <c r="K888" s="15">
        <f ca="1">_xlfn.NORM.INV(RAND(),AVERAGE(Assumptions!$D$12,Assumptions!$F$12),(Assumptions!$F$12-Assumptions!$D$12)/3.29)*44</f>
        <v>8591769.6460417099</v>
      </c>
      <c r="L888" s="3">
        <f ca="1">_xlfn.NORM.INV(RAND(),AVERAGE(Assumptions!$D$13,Assumptions!$F$13),(Assumptions!$F$13-Assumptions!$D$13)/3.29)*44</f>
        <v>12285849.823410582</v>
      </c>
      <c r="M888" s="6">
        <f ca="1">_xlfn.NORM.INV(RAND(),AVERAGE(Assumptions!$D$14,Assumptions!$F$14),(Assumptions!$F$14-Assumptions!$D$14)/3.29)*44</f>
        <v>7123479.5382648297</v>
      </c>
      <c r="N888" s="9">
        <f ca="1">_xlfn.NORM.INV(RAND(),AVERAGE(Assumptions!$D$16,Assumptions!$F$16),(Assumptions!$F$16-Assumptions!$D$16)/3.29)*44</f>
        <v>14935837.236401334</v>
      </c>
      <c r="O888" s="12">
        <f ca="1">_xlfn.NORM.INV(RAND(),AVERAGE(Assumptions!$D$15,Assumptions!$F$15),(Assumptions!$F$15-Assumptions!$D$15)/3.29)*44</f>
        <v>175814131.24098676</v>
      </c>
      <c r="P888" s="15">
        <f>Assumptions!$D$18</f>
        <v>14641750.345627395</v>
      </c>
      <c r="Q888" s="3">
        <f t="shared" ca="1" si="26"/>
        <v>103430370.75119971</v>
      </c>
      <c r="R888" s="6">
        <f t="shared" ca="1" si="27"/>
        <v>118072121.0968271</v>
      </c>
    </row>
    <row r="889" spans="1:18">
      <c r="A889" s="20">
        <v>888</v>
      </c>
      <c r="B889" s="3">
        <f ca="1">_xlfn.NORM.INV(RAND(),AVERAGE(Assumptions!$D$4,Assumptions!$F$4),(Assumptions!$F$4-Assumptions!$D$4)/3.29)*44</f>
        <v>1236881.5679608821</v>
      </c>
      <c r="C889" s="6">
        <f ca="1">_xlfn.NORM.INV(RAND(),AVERAGE(Assumptions!$D$5,Assumptions!$F$5),(Assumptions!$F$5-Assumptions!$D$5)/3.29)*44</f>
        <v>2072374.0457067674</v>
      </c>
      <c r="D889" s="9">
        <f ca="1">_xlfn.NORM.INV(RAND(),AVERAGE(Assumptions!$D$6,Assumptions!$F$6),(Assumptions!$F$6-Assumptions!$D$6)/3.29)*RANDBETWEEN(2,5)</f>
        <v>2992817.0782281421</v>
      </c>
      <c r="E889" s="12">
        <f ca="1">_xlfn.NORM.INV(RAND(),AVERAGE(Assumptions!$D$17,Assumptions!$F$17),(Assumptions!$F$17-Assumptions!$D$17)/3.29)*8</f>
        <v>1143938.2390571614</v>
      </c>
      <c r="F889" s="15">
        <f ca="1">_xlfn.NORM.INV(RAND(),AVERAGE(Assumptions!$D$7,Assumptions!$F$7),(Assumptions!$F$7-Assumptions!$D$7)/3.29)*RANDBETWEEN(1,3)</f>
        <v>2595618.9630799675</v>
      </c>
      <c r="G889" s="3">
        <f ca="1">_xlfn.NORM.INV(RAND(),AVERAGE(Assumptions!$D$8,Assumptions!$F$8),(Assumptions!$F$8-Assumptions!$D$8)/3.29)*44</f>
        <v>1338235.9140776913</v>
      </c>
      <c r="H889" s="6">
        <f ca="1">_xlfn.NORM.INV(RAND(),AVERAGE(Assumptions!$D$9,Assumptions!$F$9),(Assumptions!$F$9-Assumptions!$D$9)/3.29)*21</f>
        <v>4841997.2975663394</v>
      </c>
      <c r="I889" s="9">
        <f ca="1">_xlfn.NORM.INV(RAND(),AVERAGE(Assumptions!$D$10,Assumptions!$F$10),(Assumptions!$F$10-Assumptions!$D$10)/3.29)*21</f>
        <v>1030730.8855453496</v>
      </c>
      <c r="J889" s="12">
        <f ca="1">NORMINV(RAND(),AVERAGE(Assumptions!$D$11,Assumptions!$F$11),(Assumptions!$F$11-Assumptions!$D$11)/3.29)*44</f>
        <v>4640828.3443369949</v>
      </c>
      <c r="K889" s="15">
        <f ca="1">_xlfn.NORM.INV(RAND(),AVERAGE(Assumptions!$D$12,Assumptions!$F$12),(Assumptions!$F$12-Assumptions!$D$12)/3.29)*44</f>
        <v>8629584.6041349806</v>
      </c>
      <c r="L889" s="3">
        <f ca="1">_xlfn.NORM.INV(RAND(),AVERAGE(Assumptions!$D$13,Assumptions!$F$13),(Assumptions!$F$13-Assumptions!$D$13)/3.29)*44</f>
        <v>11575546.813861903</v>
      </c>
      <c r="M889" s="6">
        <f ca="1">_xlfn.NORM.INV(RAND(),AVERAGE(Assumptions!$D$14,Assumptions!$F$14),(Assumptions!$F$14-Assumptions!$D$14)/3.29)*44</f>
        <v>7510505.5884568663</v>
      </c>
      <c r="N889" s="9">
        <f ca="1">_xlfn.NORM.INV(RAND(),AVERAGE(Assumptions!$D$16,Assumptions!$F$16),(Assumptions!$F$16-Assumptions!$D$16)/3.29)*44</f>
        <v>11265279.39793277</v>
      </c>
      <c r="O889" s="12">
        <f ca="1">_xlfn.NORM.INV(RAND(),AVERAGE(Assumptions!$D$15,Assumptions!$F$15),(Assumptions!$F$15-Assumptions!$D$15)/3.29)*44</f>
        <v>4900187.5018791258</v>
      </c>
      <c r="P889" s="15">
        <f>Assumptions!$D$18</f>
        <v>14641750.345627395</v>
      </c>
      <c r="Q889" s="3">
        <f t="shared" ca="1" si="26"/>
        <v>-55974151.238066688</v>
      </c>
      <c r="R889" s="6">
        <f t="shared" ca="1" si="27"/>
        <v>-41332400.892439291</v>
      </c>
    </row>
    <row r="890" spans="1:18">
      <c r="A890" s="20">
        <v>889</v>
      </c>
      <c r="B890" s="3">
        <f ca="1">_xlfn.NORM.INV(RAND(),AVERAGE(Assumptions!$D$4,Assumptions!$F$4),(Assumptions!$F$4-Assumptions!$D$4)/3.29)*44</f>
        <v>1245496.0153576513</v>
      </c>
      <c r="C890" s="6">
        <f ca="1">_xlfn.NORM.INV(RAND(),AVERAGE(Assumptions!$D$5,Assumptions!$F$5),(Assumptions!$F$5-Assumptions!$D$5)/3.29)*44</f>
        <v>2032785.3465362177</v>
      </c>
      <c r="D890" s="9">
        <f ca="1">_xlfn.NORM.INV(RAND(),AVERAGE(Assumptions!$D$6,Assumptions!$F$6),(Assumptions!$F$6-Assumptions!$D$6)/3.29)*RANDBETWEEN(2,5)</f>
        <v>3926018.7693313472</v>
      </c>
      <c r="E890" s="12">
        <f ca="1">_xlfn.NORM.INV(RAND(),AVERAGE(Assumptions!$D$17,Assumptions!$F$17),(Assumptions!$F$17-Assumptions!$D$17)/3.29)*8</f>
        <v>843898.46391660126</v>
      </c>
      <c r="F890" s="15">
        <f ca="1">_xlfn.NORM.INV(RAND(),AVERAGE(Assumptions!$D$7,Assumptions!$F$7),(Assumptions!$F$7-Assumptions!$D$7)/3.29)*RANDBETWEEN(1,3)</f>
        <v>8813779.6951043233</v>
      </c>
      <c r="G890" s="3">
        <f ca="1">_xlfn.NORM.INV(RAND(),AVERAGE(Assumptions!$D$8,Assumptions!$F$8),(Assumptions!$F$8-Assumptions!$D$8)/3.29)*44</f>
        <v>1196649.0959417513</v>
      </c>
      <c r="H890" s="6">
        <f ca="1">_xlfn.NORM.INV(RAND(),AVERAGE(Assumptions!$D$9,Assumptions!$F$9),(Assumptions!$F$9-Assumptions!$D$9)/3.29)*21</f>
        <v>3139401.1215654183</v>
      </c>
      <c r="I890" s="9">
        <f ca="1">_xlfn.NORM.INV(RAND(),AVERAGE(Assumptions!$D$10,Assumptions!$F$10),(Assumptions!$F$10-Assumptions!$D$10)/3.29)*21</f>
        <v>881510.38556619012</v>
      </c>
      <c r="J890" s="12">
        <f ca="1">NORMINV(RAND(),AVERAGE(Assumptions!$D$11,Assumptions!$F$11),(Assumptions!$F$11-Assumptions!$D$11)/3.29)*44</f>
        <v>2642328.6658977726</v>
      </c>
      <c r="K890" s="15">
        <f ca="1">_xlfn.NORM.INV(RAND(),AVERAGE(Assumptions!$D$12,Assumptions!$F$12),(Assumptions!$F$12-Assumptions!$D$12)/3.29)*44</f>
        <v>9198980.0380016044</v>
      </c>
      <c r="L890" s="3">
        <f ca="1">_xlfn.NORM.INV(RAND(),AVERAGE(Assumptions!$D$13,Assumptions!$F$13),(Assumptions!$F$13-Assumptions!$D$13)/3.29)*44</f>
        <v>17281366.672993552</v>
      </c>
      <c r="M890" s="6">
        <f ca="1">_xlfn.NORM.INV(RAND(),AVERAGE(Assumptions!$D$14,Assumptions!$F$14),(Assumptions!$F$14-Assumptions!$D$14)/3.29)*44</f>
        <v>7954822.4228903223</v>
      </c>
      <c r="N890" s="9">
        <f ca="1">_xlfn.NORM.INV(RAND(),AVERAGE(Assumptions!$D$16,Assumptions!$F$16),(Assumptions!$F$16-Assumptions!$D$16)/3.29)*44</f>
        <v>13122805.059408765</v>
      </c>
      <c r="O890" s="12">
        <f ca="1">_xlfn.NORM.INV(RAND(),AVERAGE(Assumptions!$D$15,Assumptions!$F$15),(Assumptions!$F$15-Assumptions!$D$15)/3.29)*44</f>
        <v>57030773.220151976</v>
      </c>
      <c r="P890" s="15">
        <f>Assumptions!$D$18</f>
        <v>14641750.345627395</v>
      </c>
      <c r="Q890" s="3">
        <f t="shared" ca="1" si="26"/>
        <v>-15249068.53235954</v>
      </c>
      <c r="R890" s="6">
        <f t="shared" ca="1" si="27"/>
        <v>-607318.18673214503</v>
      </c>
    </row>
    <row r="891" spans="1:18">
      <c r="A891" s="20">
        <v>890</v>
      </c>
      <c r="B891" s="3">
        <f ca="1">_xlfn.NORM.INV(RAND(),AVERAGE(Assumptions!$D$4,Assumptions!$F$4),(Assumptions!$F$4-Assumptions!$D$4)/3.29)*44</f>
        <v>1034046.9856251415</v>
      </c>
      <c r="C891" s="6">
        <f ca="1">_xlfn.NORM.INV(RAND(),AVERAGE(Assumptions!$D$5,Assumptions!$F$5),(Assumptions!$F$5-Assumptions!$D$5)/3.29)*44</f>
        <v>1926899.9483410874</v>
      </c>
      <c r="D891" s="9">
        <f ca="1">_xlfn.NORM.INV(RAND(),AVERAGE(Assumptions!$D$6,Assumptions!$F$6),(Assumptions!$F$6-Assumptions!$D$6)/3.29)*RANDBETWEEN(2,5)</f>
        <v>10828095.357917234</v>
      </c>
      <c r="E891" s="12">
        <f ca="1">_xlfn.NORM.INV(RAND(),AVERAGE(Assumptions!$D$17,Assumptions!$F$17),(Assumptions!$F$17-Assumptions!$D$17)/3.29)*8</f>
        <v>832412.63263320923</v>
      </c>
      <c r="F891" s="15">
        <f ca="1">_xlfn.NORM.INV(RAND(),AVERAGE(Assumptions!$D$7,Assumptions!$F$7),(Assumptions!$F$7-Assumptions!$D$7)/3.29)*RANDBETWEEN(1,3)</f>
        <v>10890310.516593143</v>
      </c>
      <c r="G891" s="3">
        <f ca="1">_xlfn.NORM.INV(RAND(),AVERAGE(Assumptions!$D$8,Assumptions!$F$8),(Assumptions!$F$8-Assumptions!$D$8)/3.29)*44</f>
        <v>1131250.0847103107</v>
      </c>
      <c r="H891" s="6">
        <f ca="1">_xlfn.NORM.INV(RAND(),AVERAGE(Assumptions!$D$9,Assumptions!$F$9),(Assumptions!$F$9-Assumptions!$D$9)/3.29)*21</f>
        <v>5673012.5043545784</v>
      </c>
      <c r="I891" s="9">
        <f ca="1">_xlfn.NORM.INV(RAND(),AVERAGE(Assumptions!$D$10,Assumptions!$F$10),(Assumptions!$F$10-Assumptions!$D$10)/3.29)*21</f>
        <v>829820.20353494491</v>
      </c>
      <c r="J891" s="12">
        <f ca="1">NORMINV(RAND(),AVERAGE(Assumptions!$D$11,Assumptions!$F$11),(Assumptions!$F$11-Assumptions!$D$11)/3.29)*44</f>
        <v>3544703.8058143579</v>
      </c>
      <c r="K891" s="15">
        <f ca="1">_xlfn.NORM.INV(RAND(),AVERAGE(Assumptions!$D$12,Assumptions!$F$12),(Assumptions!$F$12-Assumptions!$D$12)/3.29)*44</f>
        <v>7368526.3684247788</v>
      </c>
      <c r="L891" s="3">
        <f ca="1">_xlfn.NORM.INV(RAND(),AVERAGE(Assumptions!$D$13,Assumptions!$F$13),(Assumptions!$F$13-Assumptions!$D$13)/3.29)*44</f>
        <v>7837114.432677648</v>
      </c>
      <c r="M891" s="6">
        <f ca="1">_xlfn.NORM.INV(RAND(),AVERAGE(Assumptions!$D$14,Assumptions!$F$14),(Assumptions!$F$14-Assumptions!$D$14)/3.29)*44</f>
        <v>3960371.0308084171</v>
      </c>
      <c r="N891" s="9">
        <f ca="1">_xlfn.NORM.INV(RAND(),AVERAGE(Assumptions!$D$16,Assumptions!$F$16),(Assumptions!$F$16-Assumptions!$D$16)/3.29)*44</f>
        <v>7828331.0459235506</v>
      </c>
      <c r="O891" s="12">
        <f ca="1">_xlfn.NORM.INV(RAND(),AVERAGE(Assumptions!$D$15,Assumptions!$F$15),(Assumptions!$F$15-Assumptions!$D$15)/3.29)*44</f>
        <v>77953019.114129156</v>
      </c>
      <c r="P891" s="15">
        <f>Assumptions!$D$18</f>
        <v>14641750.345627395</v>
      </c>
      <c r="Q891" s="3">
        <f t="shared" ca="1" si="26"/>
        <v>14268124.19677075</v>
      </c>
      <c r="R891" s="6">
        <f t="shared" ca="1" si="27"/>
        <v>28909874.542398147</v>
      </c>
    </row>
    <row r="892" spans="1:18">
      <c r="A892" s="20">
        <v>891</v>
      </c>
      <c r="B892" s="3">
        <f ca="1">_xlfn.NORM.INV(RAND(),AVERAGE(Assumptions!$D$4,Assumptions!$F$4),(Assumptions!$F$4-Assumptions!$D$4)/3.29)*44</f>
        <v>1147285.4450691047</v>
      </c>
      <c r="C892" s="6">
        <f ca="1">_xlfn.NORM.INV(RAND(),AVERAGE(Assumptions!$D$5,Assumptions!$F$5),(Assumptions!$F$5-Assumptions!$D$5)/3.29)*44</f>
        <v>1741119.4680841677</v>
      </c>
      <c r="D892" s="9">
        <f ca="1">_xlfn.NORM.INV(RAND(),AVERAGE(Assumptions!$D$6,Assumptions!$F$6),(Assumptions!$F$6-Assumptions!$D$6)/3.29)*RANDBETWEEN(2,5)</f>
        <v>5773575.173544459</v>
      </c>
      <c r="E892" s="12">
        <f ca="1">_xlfn.NORM.INV(RAND(),AVERAGE(Assumptions!$D$17,Assumptions!$F$17),(Assumptions!$F$17-Assumptions!$D$17)/3.29)*8</f>
        <v>976312.7686658462</v>
      </c>
      <c r="F892" s="15">
        <f ca="1">_xlfn.NORM.INV(RAND(),AVERAGE(Assumptions!$D$7,Assumptions!$F$7),(Assumptions!$F$7-Assumptions!$D$7)/3.29)*RANDBETWEEN(1,3)</f>
        <v>1450994.2306931277</v>
      </c>
      <c r="G892" s="3">
        <f ca="1">_xlfn.NORM.INV(RAND(),AVERAGE(Assumptions!$D$8,Assumptions!$F$8),(Assumptions!$F$8-Assumptions!$D$8)/3.29)*44</f>
        <v>1408512.8720402322</v>
      </c>
      <c r="H892" s="6">
        <f ca="1">_xlfn.NORM.INV(RAND(),AVERAGE(Assumptions!$D$9,Assumptions!$F$9),(Assumptions!$F$9-Assumptions!$D$9)/3.29)*21</f>
        <v>4890550.9072931278</v>
      </c>
      <c r="I892" s="9">
        <f ca="1">_xlfn.NORM.INV(RAND(),AVERAGE(Assumptions!$D$10,Assumptions!$F$10),(Assumptions!$F$10-Assumptions!$D$10)/3.29)*21</f>
        <v>847800.66545105795</v>
      </c>
      <c r="J892" s="12">
        <f ca="1">NORMINV(RAND(),AVERAGE(Assumptions!$D$11,Assumptions!$F$11),(Assumptions!$F$11-Assumptions!$D$11)/3.29)*44</f>
        <v>4197376.668500619</v>
      </c>
      <c r="K892" s="15">
        <f ca="1">_xlfn.NORM.INV(RAND(),AVERAGE(Assumptions!$D$12,Assumptions!$F$12),(Assumptions!$F$12-Assumptions!$D$12)/3.29)*44</f>
        <v>6802448.6539548673</v>
      </c>
      <c r="L892" s="3">
        <f ca="1">_xlfn.NORM.INV(RAND(),AVERAGE(Assumptions!$D$13,Assumptions!$F$13),(Assumptions!$F$13-Assumptions!$D$13)/3.29)*44</f>
        <v>11972621.277936913</v>
      </c>
      <c r="M892" s="6">
        <f ca="1">_xlfn.NORM.INV(RAND(),AVERAGE(Assumptions!$D$14,Assumptions!$F$14),(Assumptions!$F$14-Assumptions!$D$14)/3.29)*44</f>
        <v>4143985.0115420353</v>
      </c>
      <c r="N892" s="9">
        <f ca="1">_xlfn.NORM.INV(RAND(),AVERAGE(Assumptions!$D$16,Assumptions!$F$16),(Assumptions!$F$16-Assumptions!$D$16)/3.29)*44</f>
        <v>7518569.0298565421</v>
      </c>
      <c r="O892" s="12">
        <f ca="1">_xlfn.NORM.INV(RAND(),AVERAGE(Assumptions!$D$15,Assumptions!$F$15),(Assumptions!$F$15-Assumptions!$D$15)/3.29)*44</f>
        <v>45055802.375248164</v>
      </c>
      <c r="P892" s="15">
        <f>Assumptions!$D$18</f>
        <v>14641750.345627395</v>
      </c>
      <c r="Q892" s="3">
        <f t="shared" ca="1" si="26"/>
        <v>-7815349.7973839343</v>
      </c>
      <c r="R892" s="6">
        <f t="shared" ca="1" si="27"/>
        <v>6826400.5482434612</v>
      </c>
    </row>
    <row r="893" spans="1:18">
      <c r="A893" s="20">
        <v>892</v>
      </c>
      <c r="B893" s="3">
        <f ca="1">_xlfn.NORM.INV(RAND(),AVERAGE(Assumptions!$D$4,Assumptions!$F$4),(Assumptions!$F$4-Assumptions!$D$4)/3.29)*44</f>
        <v>1262631.3983072257</v>
      </c>
      <c r="C893" s="6">
        <f ca="1">_xlfn.NORM.INV(RAND(),AVERAGE(Assumptions!$D$5,Assumptions!$F$5),(Assumptions!$F$5-Assumptions!$D$5)/3.29)*44</f>
        <v>2043855.6543082141</v>
      </c>
      <c r="D893" s="9">
        <f ca="1">_xlfn.NORM.INV(RAND(),AVERAGE(Assumptions!$D$6,Assumptions!$F$6),(Assumptions!$F$6-Assumptions!$D$6)/3.29)*RANDBETWEEN(2,5)</f>
        <v>3033369.3946397495</v>
      </c>
      <c r="E893" s="12">
        <f ca="1">_xlfn.NORM.INV(RAND(),AVERAGE(Assumptions!$D$17,Assumptions!$F$17),(Assumptions!$F$17-Assumptions!$D$17)/3.29)*8</f>
        <v>917198.16793001827</v>
      </c>
      <c r="F893" s="15">
        <f ca="1">_xlfn.NORM.INV(RAND(),AVERAGE(Assumptions!$D$7,Assumptions!$F$7),(Assumptions!$F$7-Assumptions!$D$7)/3.29)*RANDBETWEEN(1,3)</f>
        <v>2170576.7381930789</v>
      </c>
      <c r="G893" s="3">
        <f ca="1">_xlfn.NORM.INV(RAND(),AVERAGE(Assumptions!$D$8,Assumptions!$F$8),(Assumptions!$F$8-Assumptions!$D$8)/3.29)*44</f>
        <v>1510468.3142671781</v>
      </c>
      <c r="H893" s="6">
        <f ca="1">_xlfn.NORM.INV(RAND(),AVERAGE(Assumptions!$D$9,Assumptions!$F$9),(Assumptions!$F$9-Assumptions!$D$9)/3.29)*21</f>
        <v>5044900.3423857829</v>
      </c>
      <c r="I893" s="9">
        <f ca="1">_xlfn.NORM.INV(RAND(),AVERAGE(Assumptions!$D$10,Assumptions!$F$10),(Assumptions!$F$10-Assumptions!$D$10)/3.29)*21</f>
        <v>1185981.0729010357</v>
      </c>
      <c r="J893" s="12">
        <f ca="1">NORMINV(RAND(),AVERAGE(Assumptions!$D$11,Assumptions!$F$11),(Assumptions!$F$11-Assumptions!$D$11)/3.29)*44</f>
        <v>5458673.0663142418</v>
      </c>
      <c r="K893" s="15">
        <f ca="1">_xlfn.NORM.INV(RAND(),AVERAGE(Assumptions!$D$12,Assumptions!$F$12),(Assumptions!$F$12-Assumptions!$D$12)/3.29)*44</f>
        <v>11685105.314110199</v>
      </c>
      <c r="L893" s="3">
        <f ca="1">_xlfn.NORM.INV(RAND(),AVERAGE(Assumptions!$D$13,Assumptions!$F$13),(Assumptions!$F$13-Assumptions!$D$13)/3.29)*44</f>
        <v>9061344.9596931171</v>
      </c>
      <c r="M893" s="6">
        <f ca="1">_xlfn.NORM.INV(RAND(),AVERAGE(Assumptions!$D$14,Assumptions!$F$14),(Assumptions!$F$14-Assumptions!$D$14)/3.29)*44</f>
        <v>5470828.4812822426</v>
      </c>
      <c r="N893" s="9">
        <f ca="1">_xlfn.NORM.INV(RAND(),AVERAGE(Assumptions!$D$16,Assumptions!$F$16),(Assumptions!$F$16-Assumptions!$D$16)/3.29)*44</f>
        <v>11904867.949390009</v>
      </c>
      <c r="O893" s="12">
        <f ca="1">_xlfn.NORM.INV(RAND(),AVERAGE(Assumptions!$D$15,Assumptions!$F$15),(Assumptions!$F$15-Assumptions!$D$15)/3.29)*44</f>
        <v>65739504.917855322</v>
      </c>
      <c r="P893" s="15">
        <f>Assumptions!$D$18</f>
        <v>14641750.345627395</v>
      </c>
      <c r="Q893" s="3">
        <f t="shared" ca="1" si="26"/>
        <v>4989704.0641332269</v>
      </c>
      <c r="R893" s="6">
        <f t="shared" ca="1" si="27"/>
        <v>19631454.409760624</v>
      </c>
    </row>
    <row r="894" spans="1:18">
      <c r="A894" s="20">
        <v>893</v>
      </c>
      <c r="B894" s="3">
        <f ca="1">_xlfn.NORM.INV(RAND(),AVERAGE(Assumptions!$D$4,Assumptions!$F$4),(Assumptions!$F$4-Assumptions!$D$4)/3.29)*44</f>
        <v>1204043.5314115644</v>
      </c>
      <c r="C894" s="6">
        <f ca="1">_xlfn.NORM.INV(RAND(),AVERAGE(Assumptions!$D$5,Assumptions!$F$5),(Assumptions!$F$5-Assumptions!$D$5)/3.29)*44</f>
        <v>2021873.6155037477</v>
      </c>
      <c r="D894" s="9">
        <f ca="1">_xlfn.NORM.INV(RAND(),AVERAGE(Assumptions!$D$6,Assumptions!$F$6),(Assumptions!$F$6-Assumptions!$D$6)/3.29)*RANDBETWEEN(2,5)</f>
        <v>4221716.4972777516</v>
      </c>
      <c r="E894" s="12">
        <f ca="1">_xlfn.NORM.INV(RAND(),AVERAGE(Assumptions!$D$17,Assumptions!$F$17),(Assumptions!$F$17-Assumptions!$D$17)/3.29)*8</f>
        <v>1040869.2523930994</v>
      </c>
      <c r="F894" s="15">
        <f ca="1">_xlfn.NORM.INV(RAND(),AVERAGE(Assumptions!$D$7,Assumptions!$F$7),(Assumptions!$F$7-Assumptions!$D$7)/3.29)*RANDBETWEEN(1,3)</f>
        <v>9509849.9760923367</v>
      </c>
      <c r="G894" s="3">
        <f ca="1">_xlfn.NORM.INV(RAND(),AVERAGE(Assumptions!$D$8,Assumptions!$F$8),(Assumptions!$F$8-Assumptions!$D$8)/3.29)*44</f>
        <v>1172303.3375133637</v>
      </c>
      <c r="H894" s="6">
        <f ca="1">_xlfn.NORM.INV(RAND(),AVERAGE(Assumptions!$D$9,Assumptions!$F$9),(Assumptions!$F$9-Assumptions!$D$9)/3.29)*21</f>
        <v>2992729.3011899586</v>
      </c>
      <c r="I894" s="9">
        <f ca="1">_xlfn.NORM.INV(RAND(),AVERAGE(Assumptions!$D$10,Assumptions!$F$10),(Assumptions!$F$10-Assumptions!$D$10)/3.29)*21</f>
        <v>757994.65361806517</v>
      </c>
      <c r="J894" s="12">
        <f ca="1">NORMINV(RAND(),AVERAGE(Assumptions!$D$11,Assumptions!$F$11),(Assumptions!$F$11-Assumptions!$D$11)/3.29)*44</f>
        <v>4352272.2807508446</v>
      </c>
      <c r="K894" s="15">
        <f ca="1">_xlfn.NORM.INV(RAND(),AVERAGE(Assumptions!$D$12,Assumptions!$F$12),(Assumptions!$F$12-Assumptions!$D$12)/3.29)*44</f>
        <v>8300652.7283925069</v>
      </c>
      <c r="L894" s="3">
        <f ca="1">_xlfn.NORM.INV(RAND(),AVERAGE(Assumptions!$D$13,Assumptions!$F$13),(Assumptions!$F$13-Assumptions!$D$13)/3.29)*44</f>
        <v>7362319.2118342826</v>
      </c>
      <c r="M894" s="6">
        <f ca="1">_xlfn.NORM.INV(RAND(),AVERAGE(Assumptions!$D$14,Assumptions!$F$14),(Assumptions!$F$14-Assumptions!$D$14)/3.29)*44</f>
        <v>7936367.9076931495</v>
      </c>
      <c r="N894" s="9">
        <f ca="1">_xlfn.NORM.INV(RAND(),AVERAGE(Assumptions!$D$16,Assumptions!$F$16),(Assumptions!$F$16-Assumptions!$D$16)/3.29)*44</f>
        <v>4954837.8255596226</v>
      </c>
      <c r="O894" s="12">
        <f ca="1">_xlfn.NORM.INV(RAND(),AVERAGE(Assumptions!$D$15,Assumptions!$F$15),(Assumptions!$F$15-Assumptions!$D$15)/3.29)*44</f>
        <v>159112022.57922938</v>
      </c>
      <c r="P894" s="15">
        <f>Assumptions!$D$18</f>
        <v>14641750.345627395</v>
      </c>
      <c r="Q894" s="3">
        <f t="shared" ca="1" si="26"/>
        <v>103284192.4599991</v>
      </c>
      <c r="R894" s="6">
        <f t="shared" ca="1" si="27"/>
        <v>117925942.8056265</v>
      </c>
    </row>
    <row r="895" spans="1:18">
      <c r="A895" s="20">
        <v>894</v>
      </c>
      <c r="B895" s="3">
        <f ca="1">_xlfn.NORM.INV(RAND(),AVERAGE(Assumptions!$D$4,Assumptions!$F$4),(Assumptions!$F$4-Assumptions!$D$4)/3.29)*44</f>
        <v>1228375.299966217</v>
      </c>
      <c r="C895" s="6">
        <f ca="1">_xlfn.NORM.INV(RAND(),AVERAGE(Assumptions!$D$5,Assumptions!$F$5),(Assumptions!$F$5-Assumptions!$D$5)/3.29)*44</f>
        <v>1501194.9914897126</v>
      </c>
      <c r="D895" s="9">
        <f ca="1">_xlfn.NORM.INV(RAND(),AVERAGE(Assumptions!$D$6,Assumptions!$F$6),(Assumptions!$F$6-Assumptions!$D$6)/3.29)*RANDBETWEEN(2,5)</f>
        <v>4454461.6371589862</v>
      </c>
      <c r="E895" s="12">
        <f ca="1">_xlfn.NORM.INV(RAND(),AVERAGE(Assumptions!$D$17,Assumptions!$F$17),(Assumptions!$F$17-Assumptions!$D$17)/3.29)*8</f>
        <v>1108885.5565446604</v>
      </c>
      <c r="F895" s="15">
        <f ca="1">_xlfn.NORM.INV(RAND(),AVERAGE(Assumptions!$D$7,Assumptions!$F$7),(Assumptions!$F$7-Assumptions!$D$7)/3.29)*RANDBETWEEN(1,3)</f>
        <v>2340976.3255567751</v>
      </c>
      <c r="G895" s="3">
        <f ca="1">_xlfn.NORM.INV(RAND(),AVERAGE(Assumptions!$D$8,Assumptions!$F$8),(Assumptions!$F$8-Assumptions!$D$8)/3.29)*44</f>
        <v>1091582.5460126426</v>
      </c>
      <c r="H895" s="6">
        <f ca="1">_xlfn.NORM.INV(RAND(),AVERAGE(Assumptions!$D$9,Assumptions!$F$9),(Assumptions!$F$9-Assumptions!$D$9)/3.29)*21</f>
        <v>3893572.6204324868</v>
      </c>
      <c r="I895" s="9">
        <f ca="1">_xlfn.NORM.INV(RAND(),AVERAGE(Assumptions!$D$10,Assumptions!$F$10),(Assumptions!$F$10-Assumptions!$D$10)/3.29)*21</f>
        <v>979531.29856213729</v>
      </c>
      <c r="J895" s="12">
        <f ca="1">NORMINV(RAND(),AVERAGE(Assumptions!$D$11,Assumptions!$F$11),(Assumptions!$F$11-Assumptions!$D$11)/3.29)*44</f>
        <v>3532690.2076908723</v>
      </c>
      <c r="K895" s="15">
        <f ca="1">_xlfn.NORM.INV(RAND(),AVERAGE(Assumptions!$D$12,Assumptions!$F$12),(Assumptions!$F$12-Assumptions!$D$12)/3.29)*44</f>
        <v>6605254.9467893634</v>
      </c>
      <c r="L895" s="3">
        <f ca="1">_xlfn.NORM.INV(RAND(),AVERAGE(Assumptions!$D$13,Assumptions!$F$13),(Assumptions!$F$13-Assumptions!$D$13)/3.29)*44</f>
        <v>16144275.403621567</v>
      </c>
      <c r="M895" s="6">
        <f ca="1">_xlfn.NORM.INV(RAND(),AVERAGE(Assumptions!$D$14,Assumptions!$F$14),(Assumptions!$F$14-Assumptions!$D$14)/3.29)*44</f>
        <v>8108000.7443683241</v>
      </c>
      <c r="N895" s="9">
        <f ca="1">_xlfn.NORM.INV(RAND(),AVERAGE(Assumptions!$D$16,Assumptions!$F$16),(Assumptions!$F$16-Assumptions!$D$16)/3.29)*44</f>
        <v>15669536.901984954</v>
      </c>
      <c r="O895" s="12">
        <f ca="1">_xlfn.NORM.INV(RAND(),AVERAGE(Assumptions!$D$15,Assumptions!$F$15),(Assumptions!$F$15-Assumptions!$D$15)/3.29)*44</f>
        <v>82562377.986945361</v>
      </c>
      <c r="P895" s="15">
        <f>Assumptions!$D$18</f>
        <v>14641750.345627395</v>
      </c>
      <c r="Q895" s="3">
        <f t="shared" ca="1" si="26"/>
        <v>15904039.506766662</v>
      </c>
      <c r="R895" s="6">
        <f t="shared" ca="1" si="27"/>
        <v>30545789.852394059</v>
      </c>
    </row>
    <row r="896" spans="1:18">
      <c r="A896" s="20">
        <v>895</v>
      </c>
      <c r="B896" s="3">
        <f ca="1">_xlfn.NORM.INV(RAND(),AVERAGE(Assumptions!$D$4,Assumptions!$F$4),(Assumptions!$F$4-Assumptions!$D$4)/3.29)*44</f>
        <v>1179352.3948513879</v>
      </c>
      <c r="C896" s="6">
        <f ca="1">_xlfn.NORM.INV(RAND(),AVERAGE(Assumptions!$D$5,Assumptions!$F$5),(Assumptions!$F$5-Assumptions!$D$5)/3.29)*44</f>
        <v>1876746.4110111685</v>
      </c>
      <c r="D896" s="9">
        <f ca="1">_xlfn.NORM.INV(RAND(),AVERAGE(Assumptions!$D$6,Assumptions!$F$6),(Assumptions!$F$6-Assumptions!$D$6)/3.29)*RANDBETWEEN(2,5)</f>
        <v>2572032.7620423115</v>
      </c>
      <c r="E896" s="12">
        <f ca="1">_xlfn.NORM.INV(RAND(),AVERAGE(Assumptions!$D$17,Assumptions!$F$17),(Assumptions!$F$17-Assumptions!$D$17)/3.29)*8</f>
        <v>913584.7502728448</v>
      </c>
      <c r="F896" s="15">
        <f ca="1">_xlfn.NORM.INV(RAND(),AVERAGE(Assumptions!$D$7,Assumptions!$F$7),(Assumptions!$F$7-Assumptions!$D$7)/3.29)*RANDBETWEEN(1,3)</f>
        <v>7832462.1904263794</v>
      </c>
      <c r="G896" s="3">
        <f ca="1">_xlfn.NORM.INV(RAND(),AVERAGE(Assumptions!$D$8,Assumptions!$F$8),(Assumptions!$F$8-Assumptions!$D$8)/3.29)*44</f>
        <v>1300351.719162554</v>
      </c>
      <c r="H896" s="6">
        <f ca="1">_xlfn.NORM.INV(RAND(),AVERAGE(Assumptions!$D$9,Assumptions!$F$9),(Assumptions!$F$9-Assumptions!$D$9)/3.29)*21</f>
        <v>3697567.5623891437</v>
      </c>
      <c r="I896" s="9">
        <f ca="1">_xlfn.NORM.INV(RAND(),AVERAGE(Assumptions!$D$10,Assumptions!$F$10),(Assumptions!$F$10-Assumptions!$D$10)/3.29)*21</f>
        <v>1021562.4914645784</v>
      </c>
      <c r="J896" s="12">
        <f ca="1">NORMINV(RAND(),AVERAGE(Assumptions!$D$11,Assumptions!$F$11),(Assumptions!$F$11-Assumptions!$D$11)/3.29)*44</f>
        <v>4582678.396990289</v>
      </c>
      <c r="K896" s="15">
        <f ca="1">_xlfn.NORM.INV(RAND(),AVERAGE(Assumptions!$D$12,Assumptions!$F$12),(Assumptions!$F$12-Assumptions!$D$12)/3.29)*44</f>
        <v>7819867.8607102772</v>
      </c>
      <c r="L896" s="3">
        <f ca="1">_xlfn.NORM.INV(RAND(),AVERAGE(Assumptions!$D$13,Assumptions!$F$13),(Assumptions!$F$13-Assumptions!$D$13)/3.29)*44</f>
        <v>17348740.86944643</v>
      </c>
      <c r="M896" s="6">
        <f ca="1">_xlfn.NORM.INV(RAND(),AVERAGE(Assumptions!$D$14,Assumptions!$F$14),(Assumptions!$F$14-Assumptions!$D$14)/3.29)*44</f>
        <v>6678586.2201343551</v>
      </c>
      <c r="N896" s="9">
        <f ca="1">_xlfn.NORM.INV(RAND(),AVERAGE(Assumptions!$D$16,Assumptions!$F$16),(Assumptions!$F$16-Assumptions!$D$16)/3.29)*44</f>
        <v>10698599.70904536</v>
      </c>
      <c r="O896" s="12">
        <f ca="1">_xlfn.NORM.INV(RAND(),AVERAGE(Assumptions!$D$15,Assumptions!$F$15),(Assumptions!$F$15-Assumptions!$D$15)/3.29)*44</f>
        <v>122005835.07225691</v>
      </c>
      <c r="P896" s="15">
        <f>Assumptions!$D$18</f>
        <v>14641750.345627395</v>
      </c>
      <c r="Q896" s="3">
        <f t="shared" ca="1" si="26"/>
        <v>54483701.734309837</v>
      </c>
      <c r="R896" s="6">
        <f t="shared" ca="1" si="27"/>
        <v>69125452.079937235</v>
      </c>
    </row>
    <row r="897" spans="1:18">
      <c r="A897" s="20">
        <v>896</v>
      </c>
      <c r="B897" s="3">
        <f ca="1">_xlfn.NORM.INV(RAND(),AVERAGE(Assumptions!$D$4,Assumptions!$F$4),(Assumptions!$F$4-Assumptions!$D$4)/3.29)*44</f>
        <v>1152579.472239021</v>
      </c>
      <c r="C897" s="6">
        <f ca="1">_xlfn.NORM.INV(RAND(),AVERAGE(Assumptions!$D$5,Assumptions!$F$5),(Assumptions!$F$5-Assumptions!$D$5)/3.29)*44</f>
        <v>1816297.1981487512</v>
      </c>
      <c r="D897" s="9">
        <f ca="1">_xlfn.NORM.INV(RAND(),AVERAGE(Assumptions!$D$6,Assumptions!$F$6),(Assumptions!$F$6-Assumptions!$D$6)/3.29)*RANDBETWEEN(2,5)</f>
        <v>5150731.3700107392</v>
      </c>
      <c r="E897" s="12">
        <f ca="1">_xlfn.NORM.INV(RAND(),AVERAGE(Assumptions!$D$17,Assumptions!$F$17),(Assumptions!$F$17-Assumptions!$D$17)/3.29)*8</f>
        <v>966347.01438630477</v>
      </c>
      <c r="F897" s="15">
        <f ca="1">_xlfn.NORM.INV(RAND(),AVERAGE(Assumptions!$D$7,Assumptions!$F$7),(Assumptions!$F$7-Assumptions!$D$7)/3.29)*RANDBETWEEN(1,3)</f>
        <v>6108944.5425169589</v>
      </c>
      <c r="G897" s="3">
        <f ca="1">_xlfn.NORM.INV(RAND(),AVERAGE(Assumptions!$D$8,Assumptions!$F$8),(Assumptions!$F$8-Assumptions!$D$8)/3.29)*44</f>
        <v>1420473.3521481431</v>
      </c>
      <c r="H897" s="6">
        <f ca="1">_xlfn.NORM.INV(RAND(),AVERAGE(Assumptions!$D$9,Assumptions!$F$9),(Assumptions!$F$9-Assumptions!$D$9)/3.29)*21</f>
        <v>2362061.1177226482</v>
      </c>
      <c r="I897" s="9">
        <f ca="1">_xlfn.NORM.INV(RAND(),AVERAGE(Assumptions!$D$10,Assumptions!$F$10),(Assumptions!$F$10-Assumptions!$D$10)/3.29)*21</f>
        <v>942422.37459960103</v>
      </c>
      <c r="J897" s="12">
        <f ca="1">NORMINV(RAND(),AVERAGE(Assumptions!$D$11,Assumptions!$F$11),(Assumptions!$F$11-Assumptions!$D$11)/3.29)*44</f>
        <v>3166427.2365227267</v>
      </c>
      <c r="K897" s="15">
        <f ca="1">_xlfn.NORM.INV(RAND(),AVERAGE(Assumptions!$D$12,Assumptions!$F$12),(Assumptions!$F$12-Assumptions!$D$12)/3.29)*44</f>
        <v>8925617.3626737557</v>
      </c>
      <c r="L897" s="3">
        <f ca="1">_xlfn.NORM.INV(RAND(),AVERAGE(Assumptions!$D$13,Assumptions!$F$13),(Assumptions!$F$13-Assumptions!$D$13)/3.29)*44</f>
        <v>11126796.324914346</v>
      </c>
      <c r="M897" s="6">
        <f ca="1">_xlfn.NORM.INV(RAND(),AVERAGE(Assumptions!$D$14,Assumptions!$F$14),(Assumptions!$F$14-Assumptions!$D$14)/3.29)*44</f>
        <v>5170790.047494947</v>
      </c>
      <c r="N897" s="9">
        <f ca="1">_xlfn.NORM.INV(RAND(),AVERAGE(Assumptions!$D$16,Assumptions!$F$16),(Assumptions!$F$16-Assumptions!$D$16)/3.29)*44</f>
        <v>12690564.001970766</v>
      </c>
      <c r="O897" s="12">
        <f ca="1">_xlfn.NORM.INV(RAND(),AVERAGE(Assumptions!$D$15,Assumptions!$F$15),(Assumptions!$F$15-Assumptions!$D$15)/3.29)*44</f>
        <v>71454540.711959571</v>
      </c>
      <c r="P897" s="15">
        <f>Assumptions!$D$18</f>
        <v>14641750.345627395</v>
      </c>
      <c r="Q897" s="3">
        <f t="shared" ca="1" si="26"/>
        <v>10454489.296610862</v>
      </c>
      <c r="R897" s="6">
        <f t="shared" ca="1" si="27"/>
        <v>25096239.642238259</v>
      </c>
    </row>
    <row r="898" spans="1:18">
      <c r="A898" s="20">
        <v>897</v>
      </c>
      <c r="B898" s="3">
        <f ca="1">_xlfn.NORM.INV(RAND(),AVERAGE(Assumptions!$D$4,Assumptions!$F$4),(Assumptions!$F$4-Assumptions!$D$4)/3.29)*44</f>
        <v>1224008.797953483</v>
      </c>
      <c r="C898" s="6">
        <f ca="1">_xlfn.NORM.INV(RAND(),AVERAGE(Assumptions!$D$5,Assumptions!$F$5),(Assumptions!$F$5-Assumptions!$D$5)/3.29)*44</f>
        <v>1772099.4348818224</v>
      </c>
      <c r="D898" s="9">
        <f ca="1">_xlfn.NORM.INV(RAND(),AVERAGE(Assumptions!$D$6,Assumptions!$F$6),(Assumptions!$F$6-Assumptions!$D$6)/3.29)*RANDBETWEEN(2,5)</f>
        <v>6293204.3779481472</v>
      </c>
      <c r="E898" s="12">
        <f ca="1">_xlfn.NORM.INV(RAND(),AVERAGE(Assumptions!$D$17,Assumptions!$F$17),(Assumptions!$F$17-Assumptions!$D$17)/3.29)*8</f>
        <v>845564.06229225406</v>
      </c>
      <c r="F898" s="15">
        <f ca="1">_xlfn.NORM.INV(RAND(),AVERAGE(Assumptions!$D$7,Assumptions!$F$7),(Assumptions!$F$7-Assumptions!$D$7)/3.29)*RANDBETWEEN(1,3)</f>
        <v>7974700.7356612328</v>
      </c>
      <c r="G898" s="3">
        <f ca="1">_xlfn.NORM.INV(RAND(),AVERAGE(Assumptions!$D$8,Assumptions!$F$8),(Assumptions!$F$8-Assumptions!$D$8)/3.29)*44</f>
        <v>1174217.1054759154</v>
      </c>
      <c r="H898" s="6">
        <f ca="1">_xlfn.NORM.INV(RAND(),AVERAGE(Assumptions!$D$9,Assumptions!$F$9),(Assumptions!$F$9-Assumptions!$D$9)/3.29)*21</f>
        <v>4048359.6826517181</v>
      </c>
      <c r="I898" s="9">
        <f ca="1">_xlfn.NORM.INV(RAND(),AVERAGE(Assumptions!$D$10,Assumptions!$F$10),(Assumptions!$F$10-Assumptions!$D$10)/3.29)*21</f>
        <v>892832.77653790475</v>
      </c>
      <c r="J898" s="12">
        <f ca="1">NORMINV(RAND(),AVERAGE(Assumptions!$D$11,Assumptions!$F$11),(Assumptions!$F$11-Assumptions!$D$11)/3.29)*44</f>
        <v>2415375.5023389012</v>
      </c>
      <c r="K898" s="15">
        <f ca="1">_xlfn.NORM.INV(RAND(),AVERAGE(Assumptions!$D$12,Assumptions!$F$12),(Assumptions!$F$12-Assumptions!$D$12)/3.29)*44</f>
        <v>8608578.4841937944</v>
      </c>
      <c r="L898" s="3">
        <f ca="1">_xlfn.NORM.INV(RAND(),AVERAGE(Assumptions!$D$13,Assumptions!$F$13),(Assumptions!$F$13-Assumptions!$D$13)/3.29)*44</f>
        <v>19487520.530024324</v>
      </c>
      <c r="M898" s="6">
        <f ca="1">_xlfn.NORM.INV(RAND(),AVERAGE(Assumptions!$D$14,Assumptions!$F$14),(Assumptions!$F$14-Assumptions!$D$14)/3.29)*44</f>
        <v>4397903.6524542188</v>
      </c>
      <c r="N898" s="9">
        <f ca="1">_xlfn.NORM.INV(RAND(),AVERAGE(Assumptions!$D$16,Assumptions!$F$16),(Assumptions!$F$16-Assumptions!$D$16)/3.29)*44</f>
        <v>8778113.8954950124</v>
      </c>
      <c r="O898" s="12">
        <f ca="1">_xlfn.NORM.INV(RAND(),AVERAGE(Assumptions!$D$15,Assumptions!$F$15),(Assumptions!$F$15-Assumptions!$D$15)/3.29)*44</f>
        <v>130973937.93179147</v>
      </c>
      <c r="P898" s="15">
        <f>Assumptions!$D$18</f>
        <v>14641750.345627395</v>
      </c>
      <c r="Q898" s="3">
        <f t="shared" ca="1" si="26"/>
        <v>63061458.893882737</v>
      </c>
      <c r="R898" s="6">
        <f t="shared" ca="1" si="27"/>
        <v>77703209.239510134</v>
      </c>
    </row>
    <row r="899" spans="1:18">
      <c r="A899" s="20">
        <v>898</v>
      </c>
      <c r="B899" s="3">
        <f ca="1">_xlfn.NORM.INV(RAND(),AVERAGE(Assumptions!$D$4,Assumptions!$F$4),(Assumptions!$F$4-Assumptions!$D$4)/3.29)*44</f>
        <v>1186967.9228472658</v>
      </c>
      <c r="C899" s="6">
        <f ca="1">_xlfn.NORM.INV(RAND(),AVERAGE(Assumptions!$D$5,Assumptions!$F$5),(Assumptions!$F$5-Assumptions!$D$5)/3.29)*44</f>
        <v>2246045.1089154361</v>
      </c>
      <c r="D899" s="9">
        <f ca="1">_xlfn.NORM.INV(RAND(),AVERAGE(Assumptions!$D$6,Assumptions!$F$6),(Assumptions!$F$6-Assumptions!$D$6)/3.29)*RANDBETWEEN(2,5)</f>
        <v>5541052.9503598474</v>
      </c>
      <c r="E899" s="12">
        <f ca="1">_xlfn.NORM.INV(RAND(),AVERAGE(Assumptions!$D$17,Assumptions!$F$17),(Assumptions!$F$17-Assumptions!$D$17)/3.29)*8</f>
        <v>1128828.0734409171</v>
      </c>
      <c r="F899" s="15">
        <f ca="1">_xlfn.NORM.INV(RAND(),AVERAGE(Assumptions!$D$7,Assumptions!$F$7),(Assumptions!$F$7-Assumptions!$D$7)/3.29)*RANDBETWEEN(1,3)</f>
        <v>6224234.8538731383</v>
      </c>
      <c r="G899" s="3">
        <f ca="1">_xlfn.NORM.INV(RAND(),AVERAGE(Assumptions!$D$8,Assumptions!$F$8),(Assumptions!$F$8-Assumptions!$D$8)/3.29)*44</f>
        <v>1191501.817823617</v>
      </c>
      <c r="H899" s="6">
        <f ca="1">_xlfn.NORM.INV(RAND(),AVERAGE(Assumptions!$D$9,Assumptions!$F$9),(Assumptions!$F$9-Assumptions!$D$9)/3.29)*21</f>
        <v>3011830.8568243263</v>
      </c>
      <c r="I899" s="9">
        <f ca="1">_xlfn.NORM.INV(RAND(),AVERAGE(Assumptions!$D$10,Assumptions!$F$10),(Assumptions!$F$10-Assumptions!$D$10)/3.29)*21</f>
        <v>788270.89503977378</v>
      </c>
      <c r="J899" s="12">
        <f ca="1">NORMINV(RAND(),AVERAGE(Assumptions!$D$11,Assumptions!$F$11),(Assumptions!$F$11-Assumptions!$D$11)/3.29)*44</f>
        <v>3145693.1115282709</v>
      </c>
      <c r="K899" s="15">
        <f ca="1">_xlfn.NORM.INV(RAND(),AVERAGE(Assumptions!$D$12,Assumptions!$F$12),(Assumptions!$F$12-Assumptions!$D$12)/3.29)*44</f>
        <v>4093521.3776434343</v>
      </c>
      <c r="L899" s="3">
        <f ca="1">_xlfn.NORM.INV(RAND(),AVERAGE(Assumptions!$D$13,Assumptions!$F$13),(Assumptions!$F$13-Assumptions!$D$13)/3.29)*44</f>
        <v>12742419.313046206</v>
      </c>
      <c r="M899" s="6">
        <f ca="1">_xlfn.NORM.INV(RAND(),AVERAGE(Assumptions!$D$14,Assumptions!$F$14),(Assumptions!$F$14-Assumptions!$D$14)/3.29)*44</f>
        <v>9089709.083712006</v>
      </c>
      <c r="N899" s="9">
        <f ca="1">_xlfn.NORM.INV(RAND(),AVERAGE(Assumptions!$D$16,Assumptions!$F$16),(Assumptions!$F$16-Assumptions!$D$16)/3.29)*44</f>
        <v>7692467.3590114415</v>
      </c>
      <c r="O899" s="12">
        <f ca="1">_xlfn.NORM.INV(RAND(),AVERAGE(Assumptions!$D$15,Assumptions!$F$15),(Assumptions!$F$15-Assumptions!$D$15)/3.29)*44</f>
        <v>60821864.023560286</v>
      </c>
      <c r="P899" s="15">
        <f>Assumptions!$D$18</f>
        <v>14641750.345627395</v>
      </c>
      <c r="Q899" s="3">
        <f t="shared" ref="Q899:Q962" ca="1" si="28">O899-(B899+C899+D899+F899+G899+H899+I899+J899+K899+L899+M899+N899+E899)</f>
        <v>2739321.2994946092</v>
      </c>
      <c r="R899" s="6">
        <f t="shared" ref="R899:R962" ca="1" si="29">Q899+P899</f>
        <v>17381071.645122007</v>
      </c>
    </row>
    <row r="900" spans="1:18">
      <c r="A900" s="20">
        <v>899</v>
      </c>
      <c r="B900" s="3">
        <f ca="1">_xlfn.NORM.INV(RAND(),AVERAGE(Assumptions!$D$4,Assumptions!$F$4),(Assumptions!$F$4-Assumptions!$D$4)/3.29)*44</f>
        <v>1128209.9701531851</v>
      </c>
      <c r="C900" s="6">
        <f ca="1">_xlfn.NORM.INV(RAND(),AVERAGE(Assumptions!$D$5,Assumptions!$F$5),(Assumptions!$F$5-Assumptions!$D$5)/3.29)*44</f>
        <v>2105354.3717361917</v>
      </c>
      <c r="D900" s="9">
        <f ca="1">_xlfn.NORM.INV(RAND(),AVERAGE(Assumptions!$D$6,Assumptions!$F$6),(Assumptions!$F$6-Assumptions!$D$6)/3.29)*RANDBETWEEN(2,5)</f>
        <v>3975314.2798189614</v>
      </c>
      <c r="E900" s="12">
        <f ca="1">_xlfn.NORM.INV(RAND(),AVERAGE(Assumptions!$D$17,Assumptions!$F$17),(Assumptions!$F$17-Assumptions!$D$17)/3.29)*8</f>
        <v>863360.10394835321</v>
      </c>
      <c r="F900" s="15">
        <f ca="1">_xlfn.NORM.INV(RAND(),AVERAGE(Assumptions!$D$7,Assumptions!$F$7),(Assumptions!$F$7-Assumptions!$D$7)/3.29)*RANDBETWEEN(1,3)</f>
        <v>5220869.2007802529</v>
      </c>
      <c r="G900" s="3">
        <f ca="1">_xlfn.NORM.INV(RAND(),AVERAGE(Assumptions!$D$8,Assumptions!$F$8),(Assumptions!$F$8-Assumptions!$D$8)/3.29)*44</f>
        <v>1163920.566779902</v>
      </c>
      <c r="H900" s="6">
        <f ca="1">_xlfn.NORM.INV(RAND(),AVERAGE(Assumptions!$D$9,Assumptions!$F$9),(Assumptions!$F$9-Assumptions!$D$9)/3.29)*21</f>
        <v>1421383.641569939</v>
      </c>
      <c r="I900" s="9">
        <f ca="1">_xlfn.NORM.INV(RAND(),AVERAGE(Assumptions!$D$10,Assumptions!$F$10),(Assumptions!$F$10-Assumptions!$D$10)/3.29)*21</f>
        <v>948049.78904897731</v>
      </c>
      <c r="J900" s="12">
        <f ca="1">NORMINV(RAND(),AVERAGE(Assumptions!$D$11,Assumptions!$F$11),(Assumptions!$F$11-Assumptions!$D$11)/3.29)*44</f>
        <v>1979082.9958196699</v>
      </c>
      <c r="K900" s="15">
        <f ca="1">_xlfn.NORM.INV(RAND(),AVERAGE(Assumptions!$D$12,Assumptions!$F$12),(Assumptions!$F$12-Assumptions!$D$12)/3.29)*44</f>
        <v>8995130.4101209808</v>
      </c>
      <c r="L900" s="3">
        <f ca="1">_xlfn.NORM.INV(RAND(),AVERAGE(Assumptions!$D$13,Assumptions!$F$13),(Assumptions!$F$13-Assumptions!$D$13)/3.29)*44</f>
        <v>20294291.558434807</v>
      </c>
      <c r="M900" s="6">
        <f ca="1">_xlfn.NORM.INV(RAND(),AVERAGE(Assumptions!$D$14,Assumptions!$F$14),(Assumptions!$F$14-Assumptions!$D$14)/3.29)*44</f>
        <v>6686486.2554469584</v>
      </c>
      <c r="N900" s="9">
        <f ca="1">_xlfn.NORM.INV(RAND(),AVERAGE(Assumptions!$D$16,Assumptions!$F$16),(Assumptions!$F$16-Assumptions!$D$16)/3.29)*44</f>
        <v>5074823.3593908111</v>
      </c>
      <c r="O900" s="12">
        <f ca="1">_xlfn.NORM.INV(RAND(),AVERAGE(Assumptions!$D$15,Assumptions!$F$15),(Assumptions!$F$15-Assumptions!$D$15)/3.29)*44</f>
        <v>97100234.94806385</v>
      </c>
      <c r="P900" s="15">
        <f>Assumptions!$D$18</f>
        <v>14641750.345627395</v>
      </c>
      <c r="Q900" s="3">
        <f t="shared" ca="1" si="28"/>
        <v>37243958.445014864</v>
      </c>
      <c r="R900" s="6">
        <f t="shared" ca="1" si="29"/>
        <v>51885708.790642262</v>
      </c>
    </row>
    <row r="901" spans="1:18">
      <c r="A901" s="20">
        <v>900</v>
      </c>
      <c r="B901" s="3">
        <f ca="1">_xlfn.NORM.INV(RAND(),AVERAGE(Assumptions!$D$4,Assumptions!$F$4),(Assumptions!$F$4-Assumptions!$D$4)/3.29)*44</f>
        <v>1093806.1444895114</v>
      </c>
      <c r="C901" s="6">
        <f ca="1">_xlfn.NORM.INV(RAND(),AVERAGE(Assumptions!$D$5,Assumptions!$F$5),(Assumptions!$F$5-Assumptions!$D$5)/3.29)*44</f>
        <v>1786984.0501303703</v>
      </c>
      <c r="D901" s="9">
        <f ca="1">_xlfn.NORM.INV(RAND(),AVERAGE(Assumptions!$D$6,Assumptions!$F$6),(Assumptions!$F$6-Assumptions!$D$6)/3.29)*RANDBETWEEN(2,5)</f>
        <v>6150241.7729207398</v>
      </c>
      <c r="E901" s="12">
        <f ca="1">_xlfn.NORM.INV(RAND(),AVERAGE(Assumptions!$D$17,Assumptions!$F$17),(Assumptions!$F$17-Assumptions!$D$17)/3.29)*8</f>
        <v>940714.99037415837</v>
      </c>
      <c r="F901" s="15">
        <f ca="1">_xlfn.NORM.INV(RAND(),AVERAGE(Assumptions!$D$7,Assumptions!$F$7),(Assumptions!$F$7-Assumptions!$D$7)/3.29)*RANDBETWEEN(1,3)</f>
        <v>5348684.4938070029</v>
      </c>
      <c r="G901" s="3">
        <f ca="1">_xlfn.NORM.INV(RAND(),AVERAGE(Assumptions!$D$8,Assumptions!$F$8),(Assumptions!$F$8-Assumptions!$D$8)/3.29)*44</f>
        <v>1205665.4637428289</v>
      </c>
      <c r="H901" s="6">
        <f ca="1">_xlfn.NORM.INV(RAND(),AVERAGE(Assumptions!$D$9,Assumptions!$F$9),(Assumptions!$F$9-Assumptions!$D$9)/3.29)*21</f>
        <v>4251285.078916641</v>
      </c>
      <c r="I901" s="9">
        <f ca="1">_xlfn.NORM.INV(RAND(),AVERAGE(Assumptions!$D$10,Assumptions!$F$10),(Assumptions!$F$10-Assumptions!$D$10)/3.29)*21</f>
        <v>936686.09701141075</v>
      </c>
      <c r="J901" s="12">
        <f ca="1">NORMINV(RAND(),AVERAGE(Assumptions!$D$11,Assumptions!$F$11),(Assumptions!$F$11-Assumptions!$D$11)/3.29)*44</f>
        <v>3495838.9642900294</v>
      </c>
      <c r="K901" s="15">
        <f ca="1">_xlfn.NORM.INV(RAND(),AVERAGE(Assumptions!$D$12,Assumptions!$F$12),(Assumptions!$F$12-Assumptions!$D$12)/3.29)*44</f>
        <v>9971934.6153316237</v>
      </c>
      <c r="L901" s="3">
        <f ca="1">_xlfn.NORM.INV(RAND(),AVERAGE(Assumptions!$D$13,Assumptions!$F$13),(Assumptions!$F$13-Assumptions!$D$13)/3.29)*44</f>
        <v>12786239.937598832</v>
      </c>
      <c r="M901" s="6">
        <f ca="1">_xlfn.NORM.INV(RAND(),AVERAGE(Assumptions!$D$14,Assumptions!$F$14),(Assumptions!$F$14-Assumptions!$D$14)/3.29)*44</f>
        <v>5487720.587960748</v>
      </c>
      <c r="N901" s="9">
        <f ca="1">_xlfn.NORM.INV(RAND(),AVERAGE(Assumptions!$D$16,Assumptions!$F$16),(Assumptions!$F$16-Assumptions!$D$16)/3.29)*44</f>
        <v>12113745.602317085</v>
      </c>
      <c r="O901" s="12">
        <f ca="1">_xlfn.NORM.INV(RAND(),AVERAGE(Assumptions!$D$15,Assumptions!$F$15),(Assumptions!$F$15-Assumptions!$D$15)/3.29)*44</f>
        <v>102167633.76505728</v>
      </c>
      <c r="P901" s="15">
        <f>Assumptions!$D$18</f>
        <v>14641750.345627395</v>
      </c>
      <c r="Q901" s="3">
        <f t="shared" ca="1" si="28"/>
        <v>36598085.966166295</v>
      </c>
      <c r="R901" s="6">
        <f t="shared" ca="1" si="29"/>
        <v>51239836.311793692</v>
      </c>
    </row>
    <row r="902" spans="1:18">
      <c r="A902" s="20">
        <v>901</v>
      </c>
      <c r="B902" s="3">
        <f ca="1">_xlfn.NORM.INV(RAND(),AVERAGE(Assumptions!$D$4,Assumptions!$F$4),(Assumptions!$F$4-Assumptions!$D$4)/3.29)*44</f>
        <v>1289696.9568478526</v>
      </c>
      <c r="C902" s="6">
        <f ca="1">_xlfn.NORM.INV(RAND(),AVERAGE(Assumptions!$D$5,Assumptions!$F$5),(Assumptions!$F$5-Assumptions!$D$5)/3.29)*44</f>
        <v>1835986.5510353216</v>
      </c>
      <c r="D902" s="9">
        <f ca="1">_xlfn.NORM.INV(RAND(),AVERAGE(Assumptions!$D$6,Assumptions!$F$6),(Assumptions!$F$6-Assumptions!$D$6)/3.29)*RANDBETWEEN(2,5)</f>
        <v>1662460.2937585888</v>
      </c>
      <c r="E902" s="12">
        <f ca="1">_xlfn.NORM.INV(RAND(),AVERAGE(Assumptions!$D$17,Assumptions!$F$17),(Assumptions!$F$17-Assumptions!$D$17)/3.29)*8</f>
        <v>913993.22890121688</v>
      </c>
      <c r="F902" s="15">
        <f ca="1">_xlfn.NORM.INV(RAND(),AVERAGE(Assumptions!$D$7,Assumptions!$F$7),(Assumptions!$F$7-Assumptions!$D$7)/3.29)*RANDBETWEEN(1,3)</f>
        <v>3513734.855241972</v>
      </c>
      <c r="G902" s="3">
        <f ca="1">_xlfn.NORM.INV(RAND(),AVERAGE(Assumptions!$D$8,Assumptions!$F$8),(Assumptions!$F$8-Assumptions!$D$8)/3.29)*44</f>
        <v>1279441.7236728955</v>
      </c>
      <c r="H902" s="6">
        <f ca="1">_xlfn.NORM.INV(RAND(),AVERAGE(Assumptions!$D$9,Assumptions!$F$9),(Assumptions!$F$9-Assumptions!$D$9)/3.29)*21</f>
        <v>1585767.0757800192</v>
      </c>
      <c r="I902" s="9">
        <f ca="1">_xlfn.NORM.INV(RAND(),AVERAGE(Assumptions!$D$10,Assumptions!$F$10),(Assumptions!$F$10-Assumptions!$D$10)/3.29)*21</f>
        <v>1243297.0784114881</v>
      </c>
      <c r="J902" s="12">
        <f ca="1">NORMINV(RAND(),AVERAGE(Assumptions!$D$11,Assumptions!$F$11),(Assumptions!$F$11-Assumptions!$D$11)/3.29)*44</f>
        <v>3768628.7170131379</v>
      </c>
      <c r="K902" s="15">
        <f ca="1">_xlfn.NORM.INV(RAND(),AVERAGE(Assumptions!$D$12,Assumptions!$F$12),(Assumptions!$F$12-Assumptions!$D$12)/3.29)*44</f>
        <v>7510552.1652413625</v>
      </c>
      <c r="L902" s="3">
        <f ca="1">_xlfn.NORM.INV(RAND(),AVERAGE(Assumptions!$D$13,Assumptions!$F$13),(Assumptions!$F$13-Assumptions!$D$13)/3.29)*44</f>
        <v>15231834.641329702</v>
      </c>
      <c r="M902" s="6">
        <f ca="1">_xlfn.NORM.INV(RAND(),AVERAGE(Assumptions!$D$14,Assumptions!$F$14),(Assumptions!$F$14-Assumptions!$D$14)/3.29)*44</f>
        <v>8113675.2242572689</v>
      </c>
      <c r="N902" s="9">
        <f ca="1">_xlfn.NORM.INV(RAND(),AVERAGE(Assumptions!$D$16,Assumptions!$F$16),(Assumptions!$F$16-Assumptions!$D$16)/3.29)*44</f>
        <v>7203980.506597098</v>
      </c>
      <c r="O902" s="12">
        <f ca="1">_xlfn.NORM.INV(RAND(),AVERAGE(Assumptions!$D$15,Assumptions!$F$15),(Assumptions!$F$15-Assumptions!$D$15)/3.29)*44</f>
        <v>112652915.48168509</v>
      </c>
      <c r="P902" s="15">
        <f>Assumptions!$D$18</f>
        <v>14641750.345627395</v>
      </c>
      <c r="Q902" s="3">
        <f t="shared" ca="1" si="28"/>
        <v>57499866.463597171</v>
      </c>
      <c r="R902" s="6">
        <f t="shared" ca="1" si="29"/>
        <v>72141616.809224561</v>
      </c>
    </row>
    <row r="903" spans="1:18">
      <c r="A903" s="20">
        <v>902</v>
      </c>
      <c r="B903" s="3">
        <f ca="1">_xlfn.NORM.INV(RAND(),AVERAGE(Assumptions!$D$4,Assumptions!$F$4),(Assumptions!$F$4-Assumptions!$D$4)/3.29)*44</f>
        <v>1280233.2132449725</v>
      </c>
      <c r="C903" s="6">
        <f ca="1">_xlfn.NORM.INV(RAND(),AVERAGE(Assumptions!$D$5,Assumptions!$F$5),(Assumptions!$F$5-Assumptions!$D$5)/3.29)*44</f>
        <v>1683938.3587159468</v>
      </c>
      <c r="D903" s="9">
        <f ca="1">_xlfn.NORM.INV(RAND(),AVERAGE(Assumptions!$D$6,Assumptions!$F$6),(Assumptions!$F$6-Assumptions!$D$6)/3.29)*RANDBETWEEN(2,5)</f>
        <v>3202011.6305762231</v>
      </c>
      <c r="E903" s="12">
        <f ca="1">_xlfn.NORM.INV(RAND(),AVERAGE(Assumptions!$D$17,Assumptions!$F$17),(Assumptions!$F$17-Assumptions!$D$17)/3.29)*8</f>
        <v>967733.32946494094</v>
      </c>
      <c r="F903" s="15">
        <f ca="1">_xlfn.NORM.INV(RAND(),AVERAGE(Assumptions!$D$7,Assumptions!$F$7),(Assumptions!$F$7-Assumptions!$D$7)/3.29)*RANDBETWEEN(1,3)</f>
        <v>8075936.4900264172</v>
      </c>
      <c r="G903" s="3">
        <f ca="1">_xlfn.NORM.INV(RAND(),AVERAGE(Assumptions!$D$8,Assumptions!$F$8),(Assumptions!$F$8-Assumptions!$D$8)/3.29)*44</f>
        <v>1087187.0752787457</v>
      </c>
      <c r="H903" s="6">
        <f ca="1">_xlfn.NORM.INV(RAND(),AVERAGE(Assumptions!$D$9,Assumptions!$F$9),(Assumptions!$F$9-Assumptions!$D$9)/3.29)*21</f>
        <v>2912706.6138742692</v>
      </c>
      <c r="I903" s="9">
        <f ca="1">_xlfn.NORM.INV(RAND(),AVERAGE(Assumptions!$D$10,Assumptions!$F$10),(Assumptions!$F$10-Assumptions!$D$10)/3.29)*21</f>
        <v>758144.34013061272</v>
      </c>
      <c r="J903" s="12">
        <f ca="1">NORMINV(RAND(),AVERAGE(Assumptions!$D$11,Assumptions!$F$11),(Assumptions!$F$11-Assumptions!$D$11)/3.29)*44</f>
        <v>3030325.030986913</v>
      </c>
      <c r="K903" s="15">
        <f ca="1">_xlfn.NORM.INV(RAND(),AVERAGE(Assumptions!$D$12,Assumptions!$F$12),(Assumptions!$F$12-Assumptions!$D$12)/3.29)*44</f>
        <v>9275787.733844962</v>
      </c>
      <c r="L903" s="3">
        <f ca="1">_xlfn.NORM.INV(RAND(),AVERAGE(Assumptions!$D$13,Assumptions!$F$13),(Assumptions!$F$13-Assumptions!$D$13)/3.29)*44</f>
        <v>24831337.291338693</v>
      </c>
      <c r="M903" s="6">
        <f ca="1">_xlfn.NORM.INV(RAND(),AVERAGE(Assumptions!$D$14,Assumptions!$F$14),(Assumptions!$F$14-Assumptions!$D$14)/3.29)*44</f>
        <v>6899048.4588213786</v>
      </c>
      <c r="N903" s="9">
        <f ca="1">_xlfn.NORM.INV(RAND(),AVERAGE(Assumptions!$D$16,Assumptions!$F$16),(Assumptions!$F$16-Assumptions!$D$16)/3.29)*44</f>
        <v>7463388.9123292128</v>
      </c>
      <c r="O903" s="12">
        <f ca="1">_xlfn.NORM.INV(RAND(),AVERAGE(Assumptions!$D$15,Assumptions!$F$15),(Assumptions!$F$15-Assumptions!$D$15)/3.29)*44</f>
        <v>74599011.953257248</v>
      </c>
      <c r="P903" s="15">
        <f>Assumptions!$D$18</f>
        <v>14641750.345627395</v>
      </c>
      <c r="Q903" s="3">
        <f t="shared" ca="1" si="28"/>
        <v>3131233.4746239483</v>
      </c>
      <c r="R903" s="6">
        <f t="shared" ca="1" si="29"/>
        <v>17772983.820251346</v>
      </c>
    </row>
    <row r="904" spans="1:18">
      <c r="A904" s="20">
        <v>903</v>
      </c>
      <c r="B904" s="3">
        <f ca="1">_xlfn.NORM.INV(RAND(),AVERAGE(Assumptions!$D$4,Assumptions!$F$4),(Assumptions!$F$4-Assumptions!$D$4)/3.29)*44</f>
        <v>1127616.9408819149</v>
      </c>
      <c r="C904" s="6">
        <f ca="1">_xlfn.NORM.INV(RAND(),AVERAGE(Assumptions!$D$5,Assumptions!$F$5),(Assumptions!$F$5-Assumptions!$D$5)/3.29)*44</f>
        <v>1968328.2779175849</v>
      </c>
      <c r="D904" s="9">
        <f ca="1">_xlfn.NORM.INV(RAND(),AVERAGE(Assumptions!$D$6,Assumptions!$F$6),(Assumptions!$F$6-Assumptions!$D$6)/3.29)*RANDBETWEEN(2,5)</f>
        <v>2243883.319936791</v>
      </c>
      <c r="E904" s="12">
        <f ca="1">_xlfn.NORM.INV(RAND(),AVERAGE(Assumptions!$D$17,Assumptions!$F$17),(Assumptions!$F$17-Assumptions!$D$17)/3.29)*8</f>
        <v>899462.55938885873</v>
      </c>
      <c r="F904" s="15">
        <f ca="1">_xlfn.NORM.INV(RAND(),AVERAGE(Assumptions!$D$7,Assumptions!$F$7),(Assumptions!$F$7-Assumptions!$D$7)/3.29)*RANDBETWEEN(1,3)</f>
        <v>4063432.4193188976</v>
      </c>
      <c r="G904" s="3">
        <f ca="1">_xlfn.NORM.INV(RAND(),AVERAGE(Assumptions!$D$8,Assumptions!$F$8),(Assumptions!$F$8-Assumptions!$D$8)/3.29)*44</f>
        <v>1457845.0698533205</v>
      </c>
      <c r="H904" s="6">
        <f ca="1">_xlfn.NORM.INV(RAND(),AVERAGE(Assumptions!$D$9,Assumptions!$F$9),(Assumptions!$F$9-Assumptions!$D$9)/3.29)*21</f>
        <v>1408444.0794439646</v>
      </c>
      <c r="I904" s="9">
        <f ca="1">_xlfn.NORM.INV(RAND(),AVERAGE(Assumptions!$D$10,Assumptions!$F$10),(Assumptions!$F$10-Assumptions!$D$10)/3.29)*21</f>
        <v>1333246.4819273001</v>
      </c>
      <c r="J904" s="12">
        <f ca="1">NORMINV(RAND(),AVERAGE(Assumptions!$D$11,Assumptions!$F$11),(Assumptions!$F$11-Assumptions!$D$11)/3.29)*44</f>
        <v>3136143.2743527265</v>
      </c>
      <c r="K904" s="15">
        <f ca="1">_xlfn.NORM.INV(RAND(),AVERAGE(Assumptions!$D$12,Assumptions!$F$12),(Assumptions!$F$12-Assumptions!$D$12)/3.29)*44</f>
        <v>9784494.1004050896</v>
      </c>
      <c r="L904" s="3">
        <f ca="1">_xlfn.NORM.INV(RAND(),AVERAGE(Assumptions!$D$13,Assumptions!$F$13),(Assumptions!$F$13-Assumptions!$D$13)/3.29)*44</f>
        <v>10290666.420663485</v>
      </c>
      <c r="M904" s="6">
        <f ca="1">_xlfn.NORM.INV(RAND(),AVERAGE(Assumptions!$D$14,Assumptions!$F$14),(Assumptions!$F$14-Assumptions!$D$14)/3.29)*44</f>
        <v>7470442.6616157843</v>
      </c>
      <c r="N904" s="9">
        <f ca="1">_xlfn.NORM.INV(RAND(),AVERAGE(Assumptions!$D$16,Assumptions!$F$16),(Assumptions!$F$16-Assumptions!$D$16)/3.29)*44</f>
        <v>18234990.516460501</v>
      </c>
      <c r="O904" s="12">
        <f ca="1">_xlfn.NORM.INV(RAND(),AVERAGE(Assumptions!$D$15,Assumptions!$F$15),(Assumptions!$F$15-Assumptions!$D$15)/3.29)*44</f>
        <v>-15861361.292063909</v>
      </c>
      <c r="P904" s="15">
        <f>Assumptions!$D$18</f>
        <v>14641750.345627395</v>
      </c>
      <c r="Q904" s="3">
        <f t="shared" ca="1" si="28"/>
        <v>-79280357.414230123</v>
      </c>
      <c r="R904" s="6">
        <f t="shared" ca="1" si="29"/>
        <v>-64638607.068602726</v>
      </c>
    </row>
    <row r="905" spans="1:18">
      <c r="A905" s="20">
        <v>904</v>
      </c>
      <c r="B905" s="3">
        <f ca="1">_xlfn.NORM.INV(RAND(),AVERAGE(Assumptions!$D$4,Assumptions!$F$4),(Assumptions!$F$4-Assumptions!$D$4)/3.29)*44</f>
        <v>1195403.7704460726</v>
      </c>
      <c r="C905" s="6">
        <f ca="1">_xlfn.NORM.INV(RAND(),AVERAGE(Assumptions!$D$5,Assumptions!$F$5),(Assumptions!$F$5-Assumptions!$D$5)/3.29)*44</f>
        <v>1875489.9134373409</v>
      </c>
      <c r="D905" s="9">
        <f ca="1">_xlfn.NORM.INV(RAND(),AVERAGE(Assumptions!$D$6,Assumptions!$F$6),(Assumptions!$F$6-Assumptions!$D$6)/3.29)*RANDBETWEEN(2,5)</f>
        <v>2401561.572921494</v>
      </c>
      <c r="E905" s="12">
        <f ca="1">_xlfn.NORM.INV(RAND(),AVERAGE(Assumptions!$D$17,Assumptions!$F$17),(Assumptions!$F$17-Assumptions!$D$17)/3.29)*8</f>
        <v>1031010.7081239128</v>
      </c>
      <c r="F905" s="15">
        <f ca="1">_xlfn.NORM.INV(RAND(),AVERAGE(Assumptions!$D$7,Assumptions!$F$7),(Assumptions!$F$7-Assumptions!$D$7)/3.29)*RANDBETWEEN(1,3)</f>
        <v>9638652.0775163062</v>
      </c>
      <c r="G905" s="3">
        <f ca="1">_xlfn.NORM.INV(RAND(),AVERAGE(Assumptions!$D$8,Assumptions!$F$8),(Assumptions!$F$8-Assumptions!$D$8)/3.29)*44</f>
        <v>1431997.304863333</v>
      </c>
      <c r="H905" s="6">
        <f ca="1">_xlfn.NORM.INV(RAND(),AVERAGE(Assumptions!$D$9,Assumptions!$F$9),(Assumptions!$F$9-Assumptions!$D$9)/3.29)*21</f>
        <v>3986337.7053048206</v>
      </c>
      <c r="I905" s="9">
        <f ca="1">_xlfn.NORM.INV(RAND(),AVERAGE(Assumptions!$D$10,Assumptions!$F$10),(Assumptions!$F$10-Assumptions!$D$10)/3.29)*21</f>
        <v>842517.13924468087</v>
      </c>
      <c r="J905" s="12">
        <f ca="1">NORMINV(RAND(),AVERAGE(Assumptions!$D$11,Assumptions!$F$11),(Assumptions!$F$11-Assumptions!$D$11)/3.29)*44</f>
        <v>3114931.2806524942</v>
      </c>
      <c r="K905" s="15">
        <f ca="1">_xlfn.NORM.INV(RAND(),AVERAGE(Assumptions!$D$12,Assumptions!$F$12),(Assumptions!$F$12-Assumptions!$D$12)/3.29)*44</f>
        <v>10076146.613262581</v>
      </c>
      <c r="L905" s="3">
        <f ca="1">_xlfn.NORM.INV(RAND(),AVERAGE(Assumptions!$D$13,Assumptions!$F$13),(Assumptions!$F$13-Assumptions!$D$13)/3.29)*44</f>
        <v>9059771.8088724464</v>
      </c>
      <c r="M905" s="6">
        <f ca="1">_xlfn.NORM.INV(RAND(),AVERAGE(Assumptions!$D$14,Assumptions!$F$14),(Assumptions!$F$14-Assumptions!$D$14)/3.29)*44</f>
        <v>7611763.5606124057</v>
      </c>
      <c r="N905" s="9">
        <f ca="1">_xlfn.NORM.INV(RAND(),AVERAGE(Assumptions!$D$16,Assumptions!$F$16),(Assumptions!$F$16-Assumptions!$D$16)/3.29)*44</f>
        <v>12694965.685404092</v>
      </c>
      <c r="O905" s="12">
        <f ca="1">_xlfn.NORM.INV(RAND(),AVERAGE(Assumptions!$D$15,Assumptions!$F$15),(Assumptions!$F$15-Assumptions!$D$15)/3.29)*44</f>
        <v>83835859.842035681</v>
      </c>
      <c r="P905" s="15">
        <f>Assumptions!$D$18</f>
        <v>14641750.345627395</v>
      </c>
      <c r="Q905" s="3">
        <f t="shared" ca="1" si="28"/>
        <v>18875310.701373704</v>
      </c>
      <c r="R905" s="6">
        <f t="shared" ca="1" si="29"/>
        <v>33517061.047001101</v>
      </c>
    </row>
    <row r="906" spans="1:18">
      <c r="A906" s="20">
        <v>905</v>
      </c>
      <c r="B906" s="3">
        <f ca="1">_xlfn.NORM.INV(RAND(),AVERAGE(Assumptions!$D$4,Assumptions!$F$4),(Assumptions!$F$4-Assumptions!$D$4)/3.29)*44</f>
        <v>1225520.6895945314</v>
      </c>
      <c r="C906" s="6">
        <f ca="1">_xlfn.NORM.INV(RAND(),AVERAGE(Assumptions!$D$5,Assumptions!$F$5),(Assumptions!$F$5-Assumptions!$D$5)/3.29)*44</f>
        <v>1906163.9419751328</v>
      </c>
      <c r="D906" s="9">
        <f ca="1">_xlfn.NORM.INV(RAND(),AVERAGE(Assumptions!$D$6,Assumptions!$F$6),(Assumptions!$F$6-Assumptions!$D$6)/3.29)*RANDBETWEEN(2,5)</f>
        <v>6293071.9154624548</v>
      </c>
      <c r="E906" s="12">
        <f ca="1">_xlfn.NORM.INV(RAND(),AVERAGE(Assumptions!$D$17,Assumptions!$F$17),(Assumptions!$F$17-Assumptions!$D$17)/3.29)*8</f>
        <v>1070664.7138326422</v>
      </c>
      <c r="F906" s="15">
        <f ca="1">_xlfn.NORM.INV(RAND(),AVERAGE(Assumptions!$D$7,Assumptions!$F$7),(Assumptions!$F$7-Assumptions!$D$7)/3.29)*RANDBETWEEN(1,3)</f>
        <v>5210493.9987329263</v>
      </c>
      <c r="G906" s="3">
        <f ca="1">_xlfn.NORM.INV(RAND(),AVERAGE(Assumptions!$D$8,Assumptions!$F$8),(Assumptions!$F$8-Assumptions!$D$8)/3.29)*44</f>
        <v>1672124.3662353463</v>
      </c>
      <c r="H906" s="6">
        <f ca="1">_xlfn.NORM.INV(RAND(),AVERAGE(Assumptions!$D$9,Assumptions!$F$9),(Assumptions!$F$9-Assumptions!$D$9)/3.29)*21</f>
        <v>3702481.6666250783</v>
      </c>
      <c r="I906" s="9">
        <f ca="1">_xlfn.NORM.INV(RAND(),AVERAGE(Assumptions!$D$10,Assumptions!$F$10),(Assumptions!$F$10-Assumptions!$D$10)/3.29)*21</f>
        <v>1007803.6218355364</v>
      </c>
      <c r="J906" s="12">
        <f ca="1">NORMINV(RAND(),AVERAGE(Assumptions!$D$11,Assumptions!$F$11),(Assumptions!$F$11-Assumptions!$D$11)/3.29)*44</f>
        <v>6177896.8139225831</v>
      </c>
      <c r="K906" s="15">
        <f ca="1">_xlfn.NORM.INV(RAND(),AVERAGE(Assumptions!$D$12,Assumptions!$F$12),(Assumptions!$F$12-Assumptions!$D$12)/3.29)*44</f>
        <v>6986273.3923260169</v>
      </c>
      <c r="L906" s="3">
        <f ca="1">_xlfn.NORM.INV(RAND(),AVERAGE(Assumptions!$D$13,Assumptions!$F$13),(Assumptions!$F$13-Assumptions!$D$13)/3.29)*44</f>
        <v>8064455.1122059189</v>
      </c>
      <c r="M906" s="6">
        <f ca="1">_xlfn.NORM.INV(RAND(),AVERAGE(Assumptions!$D$14,Assumptions!$F$14),(Assumptions!$F$14-Assumptions!$D$14)/3.29)*44</f>
        <v>4456733.9011303633</v>
      </c>
      <c r="N906" s="9">
        <f ca="1">_xlfn.NORM.INV(RAND(),AVERAGE(Assumptions!$D$16,Assumptions!$F$16),(Assumptions!$F$16-Assumptions!$D$16)/3.29)*44</f>
        <v>13425721.923015768</v>
      </c>
      <c r="O906" s="12">
        <f ca="1">_xlfn.NORM.INV(RAND(),AVERAGE(Assumptions!$D$15,Assumptions!$F$15),(Assumptions!$F$15-Assumptions!$D$15)/3.29)*44</f>
        <v>26330102.753858842</v>
      </c>
      <c r="P906" s="15">
        <f>Assumptions!$D$18</f>
        <v>14641750.345627395</v>
      </c>
      <c r="Q906" s="3">
        <f t="shared" ca="1" si="28"/>
        <v>-34869303.303035446</v>
      </c>
      <c r="R906" s="6">
        <f t="shared" ca="1" si="29"/>
        <v>-20227552.957408048</v>
      </c>
    </row>
    <row r="907" spans="1:18">
      <c r="A907" s="20">
        <v>906</v>
      </c>
      <c r="B907" s="3">
        <f ca="1">_xlfn.NORM.INV(RAND(),AVERAGE(Assumptions!$D$4,Assumptions!$F$4),(Assumptions!$F$4-Assumptions!$D$4)/3.29)*44</f>
        <v>1249495.8910585782</v>
      </c>
      <c r="C907" s="6">
        <f ca="1">_xlfn.NORM.INV(RAND(),AVERAGE(Assumptions!$D$5,Assumptions!$F$5),(Assumptions!$F$5-Assumptions!$D$5)/3.29)*44</f>
        <v>1924904.0153621258</v>
      </c>
      <c r="D907" s="9">
        <f ca="1">_xlfn.NORM.INV(RAND(),AVERAGE(Assumptions!$D$6,Assumptions!$F$6),(Assumptions!$F$6-Assumptions!$D$6)/3.29)*RANDBETWEEN(2,5)</f>
        <v>7037605.8374433247</v>
      </c>
      <c r="E907" s="12">
        <f ca="1">_xlfn.NORM.INV(RAND(),AVERAGE(Assumptions!$D$17,Assumptions!$F$17),(Assumptions!$F$17-Assumptions!$D$17)/3.29)*8</f>
        <v>873092.1707237357</v>
      </c>
      <c r="F907" s="15">
        <f ca="1">_xlfn.NORM.INV(RAND(),AVERAGE(Assumptions!$D$7,Assumptions!$F$7),(Assumptions!$F$7-Assumptions!$D$7)/3.29)*RANDBETWEEN(1,3)</f>
        <v>4547640.9249218544</v>
      </c>
      <c r="G907" s="3">
        <f ca="1">_xlfn.NORM.INV(RAND(),AVERAGE(Assumptions!$D$8,Assumptions!$F$8),(Assumptions!$F$8-Assumptions!$D$8)/3.29)*44</f>
        <v>793319.70901264017</v>
      </c>
      <c r="H907" s="6">
        <f ca="1">_xlfn.NORM.INV(RAND(),AVERAGE(Assumptions!$D$9,Assumptions!$F$9),(Assumptions!$F$9-Assumptions!$D$9)/3.29)*21</f>
        <v>3488597.2202997087</v>
      </c>
      <c r="I907" s="9">
        <f ca="1">_xlfn.NORM.INV(RAND(),AVERAGE(Assumptions!$D$10,Assumptions!$F$10),(Assumptions!$F$10-Assumptions!$D$10)/3.29)*21</f>
        <v>1134644.5722735035</v>
      </c>
      <c r="J907" s="12">
        <f ca="1">NORMINV(RAND(),AVERAGE(Assumptions!$D$11,Assumptions!$F$11),(Assumptions!$F$11-Assumptions!$D$11)/3.29)*44</f>
        <v>3017556.8381633065</v>
      </c>
      <c r="K907" s="15">
        <f ca="1">_xlfn.NORM.INV(RAND(),AVERAGE(Assumptions!$D$12,Assumptions!$F$12),(Assumptions!$F$12-Assumptions!$D$12)/3.29)*44</f>
        <v>6716663.0374610815</v>
      </c>
      <c r="L907" s="3">
        <f ca="1">_xlfn.NORM.INV(RAND(),AVERAGE(Assumptions!$D$13,Assumptions!$F$13),(Assumptions!$F$13-Assumptions!$D$13)/3.29)*44</f>
        <v>13284608.174845953</v>
      </c>
      <c r="M907" s="6">
        <f ca="1">_xlfn.NORM.INV(RAND(),AVERAGE(Assumptions!$D$14,Assumptions!$F$14),(Assumptions!$F$14-Assumptions!$D$14)/3.29)*44</f>
        <v>5474800.9092561174</v>
      </c>
      <c r="N907" s="9">
        <f ca="1">_xlfn.NORM.INV(RAND(),AVERAGE(Assumptions!$D$16,Assumptions!$F$16),(Assumptions!$F$16-Assumptions!$D$16)/3.29)*44</f>
        <v>14405636.482846949</v>
      </c>
      <c r="O907" s="12">
        <f ca="1">_xlfn.NORM.INV(RAND(),AVERAGE(Assumptions!$D$15,Assumptions!$F$15),(Assumptions!$F$15-Assumptions!$D$15)/3.29)*44</f>
        <v>89239376.999760851</v>
      </c>
      <c r="P907" s="15">
        <f>Assumptions!$D$18</f>
        <v>14641750.345627395</v>
      </c>
      <c r="Q907" s="3">
        <f t="shared" ca="1" si="28"/>
        <v>25290811.216091976</v>
      </c>
      <c r="R907" s="6">
        <f t="shared" ca="1" si="29"/>
        <v>39932561.561719373</v>
      </c>
    </row>
    <row r="908" spans="1:18">
      <c r="A908" s="20">
        <v>907</v>
      </c>
      <c r="B908" s="3">
        <f ca="1">_xlfn.NORM.INV(RAND(),AVERAGE(Assumptions!$D$4,Assumptions!$F$4),(Assumptions!$F$4-Assumptions!$D$4)/3.29)*44</f>
        <v>1087161.0996429687</v>
      </c>
      <c r="C908" s="6">
        <f ca="1">_xlfn.NORM.INV(RAND(),AVERAGE(Assumptions!$D$5,Assumptions!$F$5),(Assumptions!$F$5-Assumptions!$D$5)/3.29)*44</f>
        <v>1815361.6074451075</v>
      </c>
      <c r="D908" s="9">
        <f ca="1">_xlfn.NORM.INV(RAND(),AVERAGE(Assumptions!$D$6,Assumptions!$F$6),(Assumptions!$F$6-Assumptions!$D$6)/3.29)*RANDBETWEEN(2,5)</f>
        <v>4038009.1314993519</v>
      </c>
      <c r="E908" s="12">
        <f ca="1">_xlfn.NORM.INV(RAND(),AVERAGE(Assumptions!$D$17,Assumptions!$F$17),(Assumptions!$F$17-Assumptions!$D$17)/3.29)*8</f>
        <v>1025106.020935527</v>
      </c>
      <c r="F908" s="15">
        <f ca="1">_xlfn.NORM.INV(RAND(),AVERAGE(Assumptions!$D$7,Assumptions!$F$7),(Assumptions!$F$7-Assumptions!$D$7)/3.29)*RANDBETWEEN(1,3)</f>
        <v>5501940.4364705281</v>
      </c>
      <c r="G908" s="3">
        <f ca="1">_xlfn.NORM.INV(RAND(),AVERAGE(Assumptions!$D$8,Assumptions!$F$8),(Assumptions!$F$8-Assumptions!$D$8)/3.29)*44</f>
        <v>1427869.4437812627</v>
      </c>
      <c r="H908" s="6">
        <f ca="1">_xlfn.NORM.INV(RAND(),AVERAGE(Assumptions!$D$9,Assumptions!$F$9),(Assumptions!$F$9-Assumptions!$D$9)/3.29)*21</f>
        <v>4530880.9896250321</v>
      </c>
      <c r="I908" s="9">
        <f ca="1">_xlfn.NORM.INV(RAND(),AVERAGE(Assumptions!$D$10,Assumptions!$F$10),(Assumptions!$F$10-Assumptions!$D$10)/3.29)*21</f>
        <v>728759.97542421194</v>
      </c>
      <c r="J908" s="12">
        <f ca="1">NORMINV(RAND(),AVERAGE(Assumptions!$D$11,Assumptions!$F$11),(Assumptions!$F$11-Assumptions!$D$11)/3.29)*44</f>
        <v>1156583.522922558</v>
      </c>
      <c r="K908" s="15">
        <f ca="1">_xlfn.NORM.INV(RAND(),AVERAGE(Assumptions!$D$12,Assumptions!$F$12),(Assumptions!$F$12-Assumptions!$D$12)/3.29)*44</f>
        <v>7201872.488301862</v>
      </c>
      <c r="L908" s="3">
        <f ca="1">_xlfn.NORM.INV(RAND(),AVERAGE(Assumptions!$D$13,Assumptions!$F$13),(Assumptions!$F$13-Assumptions!$D$13)/3.29)*44</f>
        <v>6832946.4951415192</v>
      </c>
      <c r="M908" s="6">
        <f ca="1">_xlfn.NORM.INV(RAND(),AVERAGE(Assumptions!$D$14,Assumptions!$F$14),(Assumptions!$F$14-Assumptions!$D$14)/3.29)*44</f>
        <v>4379793.9872039463</v>
      </c>
      <c r="N908" s="9">
        <f ca="1">_xlfn.NORM.INV(RAND(),AVERAGE(Assumptions!$D$16,Assumptions!$F$16),(Assumptions!$F$16-Assumptions!$D$16)/3.29)*44</f>
        <v>9259707.9887568951</v>
      </c>
      <c r="O908" s="12">
        <f ca="1">_xlfn.NORM.INV(RAND(),AVERAGE(Assumptions!$D$15,Assumptions!$F$15),(Assumptions!$F$15-Assumptions!$D$15)/3.29)*44</f>
        <v>121938450.9688237</v>
      </c>
      <c r="P908" s="15">
        <f>Assumptions!$D$18</f>
        <v>14641750.345627395</v>
      </c>
      <c r="Q908" s="3">
        <f t="shared" ca="1" si="28"/>
        <v>72952457.781672925</v>
      </c>
      <c r="R908" s="6">
        <f t="shared" ca="1" si="29"/>
        <v>87594208.127300322</v>
      </c>
    </row>
    <row r="909" spans="1:18">
      <c r="A909" s="20">
        <v>908</v>
      </c>
      <c r="B909" s="3">
        <f ca="1">_xlfn.NORM.INV(RAND(),AVERAGE(Assumptions!$D$4,Assumptions!$F$4),(Assumptions!$F$4-Assumptions!$D$4)/3.29)*44</f>
        <v>1265532.7760304525</v>
      </c>
      <c r="C909" s="6">
        <f ca="1">_xlfn.NORM.INV(RAND(),AVERAGE(Assumptions!$D$5,Assumptions!$F$5),(Assumptions!$F$5-Assumptions!$D$5)/3.29)*44</f>
        <v>1740783.2920802813</v>
      </c>
      <c r="D909" s="9">
        <f ca="1">_xlfn.NORM.INV(RAND(),AVERAGE(Assumptions!$D$6,Assumptions!$F$6),(Assumptions!$F$6-Assumptions!$D$6)/3.29)*RANDBETWEEN(2,5)</f>
        <v>3591350.1567421313</v>
      </c>
      <c r="E909" s="12">
        <f ca="1">_xlfn.NORM.INV(RAND(),AVERAGE(Assumptions!$D$17,Assumptions!$F$17),(Assumptions!$F$17-Assumptions!$D$17)/3.29)*8</f>
        <v>969186.83982214984</v>
      </c>
      <c r="F909" s="15">
        <f ca="1">_xlfn.NORM.INV(RAND(),AVERAGE(Assumptions!$D$7,Assumptions!$F$7),(Assumptions!$F$7-Assumptions!$D$7)/3.29)*RANDBETWEEN(1,3)</f>
        <v>5594788.5684682997</v>
      </c>
      <c r="G909" s="3">
        <f ca="1">_xlfn.NORM.INV(RAND(),AVERAGE(Assumptions!$D$8,Assumptions!$F$8),(Assumptions!$F$8-Assumptions!$D$8)/3.29)*44</f>
        <v>1009513.9457938322</v>
      </c>
      <c r="H909" s="6">
        <f ca="1">_xlfn.NORM.INV(RAND(),AVERAGE(Assumptions!$D$9,Assumptions!$F$9),(Assumptions!$F$9-Assumptions!$D$9)/3.29)*21</f>
        <v>3331729.6134150098</v>
      </c>
      <c r="I909" s="9">
        <f ca="1">_xlfn.NORM.INV(RAND(),AVERAGE(Assumptions!$D$10,Assumptions!$F$10),(Assumptions!$F$10-Assumptions!$D$10)/3.29)*21</f>
        <v>683475.25736708555</v>
      </c>
      <c r="J909" s="12">
        <f ca="1">NORMINV(RAND(),AVERAGE(Assumptions!$D$11,Assumptions!$F$11),(Assumptions!$F$11-Assumptions!$D$11)/3.29)*44</f>
        <v>3336206.192768354</v>
      </c>
      <c r="K909" s="15">
        <f ca="1">_xlfn.NORM.INV(RAND(),AVERAGE(Assumptions!$D$12,Assumptions!$F$12),(Assumptions!$F$12-Assumptions!$D$12)/3.29)*44</f>
        <v>8155210.9807699062</v>
      </c>
      <c r="L909" s="3">
        <f ca="1">_xlfn.NORM.INV(RAND(),AVERAGE(Assumptions!$D$13,Assumptions!$F$13),(Assumptions!$F$13-Assumptions!$D$13)/3.29)*44</f>
        <v>26686103.651633125</v>
      </c>
      <c r="M909" s="6">
        <f ca="1">_xlfn.NORM.INV(RAND(),AVERAGE(Assumptions!$D$14,Assumptions!$F$14),(Assumptions!$F$14-Assumptions!$D$14)/3.29)*44</f>
        <v>8098724.7388232853</v>
      </c>
      <c r="N909" s="9">
        <f ca="1">_xlfn.NORM.INV(RAND(),AVERAGE(Assumptions!$D$16,Assumptions!$F$16),(Assumptions!$F$16-Assumptions!$D$16)/3.29)*44</f>
        <v>12664118.468935</v>
      </c>
      <c r="O909" s="12">
        <f ca="1">_xlfn.NORM.INV(RAND(),AVERAGE(Assumptions!$D$15,Assumptions!$F$15),(Assumptions!$F$15-Assumptions!$D$15)/3.29)*44</f>
        <v>55262376.729971603</v>
      </c>
      <c r="P909" s="15">
        <f>Assumptions!$D$18</f>
        <v>14641750.345627395</v>
      </c>
      <c r="Q909" s="3">
        <f t="shared" ca="1" si="28"/>
        <v>-21864347.752677307</v>
      </c>
      <c r="R909" s="6">
        <f t="shared" ca="1" si="29"/>
        <v>-7222597.4070499111</v>
      </c>
    </row>
    <row r="910" spans="1:18">
      <c r="A910" s="20">
        <v>909</v>
      </c>
      <c r="B910" s="3">
        <f ca="1">_xlfn.NORM.INV(RAND(),AVERAGE(Assumptions!$D$4,Assumptions!$F$4),(Assumptions!$F$4-Assumptions!$D$4)/3.29)*44</f>
        <v>1197352.3586469535</v>
      </c>
      <c r="C910" s="6">
        <f ca="1">_xlfn.NORM.INV(RAND(),AVERAGE(Assumptions!$D$5,Assumptions!$F$5),(Assumptions!$F$5-Assumptions!$D$5)/3.29)*44</f>
        <v>1887170.4902648351</v>
      </c>
      <c r="D910" s="9">
        <f ca="1">_xlfn.NORM.INV(RAND(),AVERAGE(Assumptions!$D$6,Assumptions!$F$6),(Assumptions!$F$6-Assumptions!$D$6)/3.29)*RANDBETWEEN(2,5)</f>
        <v>4363819.6547285561</v>
      </c>
      <c r="E910" s="12">
        <f ca="1">_xlfn.NORM.INV(RAND(),AVERAGE(Assumptions!$D$17,Assumptions!$F$17),(Assumptions!$F$17-Assumptions!$D$17)/3.29)*8</f>
        <v>960379.448667672</v>
      </c>
      <c r="F910" s="15">
        <f ca="1">_xlfn.NORM.INV(RAND(),AVERAGE(Assumptions!$D$7,Assumptions!$F$7),(Assumptions!$F$7-Assumptions!$D$7)/3.29)*RANDBETWEEN(1,3)</f>
        <v>5288867.3999881586</v>
      </c>
      <c r="G910" s="3">
        <f ca="1">_xlfn.NORM.INV(RAND(),AVERAGE(Assumptions!$D$8,Assumptions!$F$8),(Assumptions!$F$8-Assumptions!$D$8)/3.29)*44</f>
        <v>1271568.4268415889</v>
      </c>
      <c r="H910" s="6">
        <f ca="1">_xlfn.NORM.INV(RAND(),AVERAGE(Assumptions!$D$9,Assumptions!$F$9),(Assumptions!$F$9-Assumptions!$D$9)/3.29)*21</f>
        <v>5937580.4833313813</v>
      </c>
      <c r="I910" s="9">
        <f ca="1">_xlfn.NORM.INV(RAND(),AVERAGE(Assumptions!$D$10,Assumptions!$F$10),(Assumptions!$F$10-Assumptions!$D$10)/3.29)*21</f>
        <v>873308.40722060343</v>
      </c>
      <c r="J910" s="12">
        <f ca="1">NORMINV(RAND(),AVERAGE(Assumptions!$D$11,Assumptions!$F$11),(Assumptions!$F$11-Assumptions!$D$11)/3.29)*44</f>
        <v>1269971.2839258527</v>
      </c>
      <c r="K910" s="15">
        <f ca="1">_xlfn.NORM.INV(RAND(),AVERAGE(Assumptions!$D$12,Assumptions!$F$12),(Assumptions!$F$12-Assumptions!$D$12)/3.29)*44</f>
        <v>10698543.356250582</v>
      </c>
      <c r="L910" s="3">
        <f ca="1">_xlfn.NORM.INV(RAND(),AVERAGE(Assumptions!$D$13,Assumptions!$F$13),(Assumptions!$F$13-Assumptions!$D$13)/3.29)*44</f>
        <v>7787367.369538825</v>
      </c>
      <c r="M910" s="6">
        <f ca="1">_xlfn.NORM.INV(RAND(),AVERAGE(Assumptions!$D$14,Assumptions!$F$14),(Assumptions!$F$14-Assumptions!$D$14)/3.29)*44</f>
        <v>4369834.8106996408</v>
      </c>
      <c r="N910" s="9">
        <f ca="1">_xlfn.NORM.INV(RAND(),AVERAGE(Assumptions!$D$16,Assumptions!$F$16),(Assumptions!$F$16-Assumptions!$D$16)/3.29)*44</f>
        <v>7461043.089355696</v>
      </c>
      <c r="O910" s="12">
        <f ca="1">_xlfn.NORM.INV(RAND(),AVERAGE(Assumptions!$D$15,Assumptions!$F$15),(Assumptions!$F$15-Assumptions!$D$15)/3.29)*44</f>
        <v>63715951.997161388</v>
      </c>
      <c r="P910" s="15">
        <f>Assumptions!$D$18</f>
        <v>14641750.345627395</v>
      </c>
      <c r="Q910" s="3">
        <f t="shared" ca="1" si="28"/>
        <v>10349145.417701051</v>
      </c>
      <c r="R910" s="6">
        <f t="shared" ca="1" si="29"/>
        <v>24990895.763328448</v>
      </c>
    </row>
    <row r="911" spans="1:18">
      <c r="A911" s="20">
        <v>910</v>
      </c>
      <c r="B911" s="3">
        <f ca="1">_xlfn.NORM.INV(RAND(),AVERAGE(Assumptions!$D$4,Assumptions!$F$4),(Assumptions!$F$4-Assumptions!$D$4)/3.29)*44</f>
        <v>1165711.0940166884</v>
      </c>
      <c r="C911" s="6">
        <f ca="1">_xlfn.NORM.INV(RAND(),AVERAGE(Assumptions!$D$5,Assumptions!$F$5),(Assumptions!$F$5-Assumptions!$D$5)/3.29)*44</f>
        <v>1716790.2065476542</v>
      </c>
      <c r="D911" s="9">
        <f ca="1">_xlfn.NORM.INV(RAND(),AVERAGE(Assumptions!$D$6,Assumptions!$F$6),(Assumptions!$F$6-Assumptions!$D$6)/3.29)*RANDBETWEEN(2,5)</f>
        <v>2345956.4333459092</v>
      </c>
      <c r="E911" s="12">
        <f ca="1">_xlfn.NORM.INV(RAND(),AVERAGE(Assumptions!$D$17,Assumptions!$F$17),(Assumptions!$F$17-Assumptions!$D$17)/3.29)*8</f>
        <v>754820.77925338969</v>
      </c>
      <c r="F911" s="15">
        <f ca="1">_xlfn.NORM.INV(RAND(),AVERAGE(Assumptions!$D$7,Assumptions!$F$7),(Assumptions!$F$7-Assumptions!$D$7)/3.29)*RANDBETWEEN(1,3)</f>
        <v>3202981.5593308145</v>
      </c>
      <c r="G911" s="3">
        <f ca="1">_xlfn.NORM.INV(RAND(),AVERAGE(Assumptions!$D$8,Assumptions!$F$8),(Assumptions!$F$8-Assumptions!$D$8)/3.29)*44</f>
        <v>1542353.1138219682</v>
      </c>
      <c r="H911" s="6">
        <f ca="1">_xlfn.NORM.INV(RAND(),AVERAGE(Assumptions!$D$9,Assumptions!$F$9),(Assumptions!$F$9-Assumptions!$D$9)/3.29)*21</f>
        <v>5648294.6509394385</v>
      </c>
      <c r="I911" s="9">
        <f ca="1">_xlfn.NORM.INV(RAND(),AVERAGE(Assumptions!$D$10,Assumptions!$F$10),(Assumptions!$F$10-Assumptions!$D$10)/3.29)*21</f>
        <v>770929.72678620194</v>
      </c>
      <c r="J911" s="12">
        <f ca="1">NORMINV(RAND(),AVERAGE(Assumptions!$D$11,Assumptions!$F$11),(Assumptions!$F$11-Assumptions!$D$11)/3.29)*44</f>
        <v>3594241.0927557521</v>
      </c>
      <c r="K911" s="15">
        <f ca="1">_xlfn.NORM.INV(RAND(),AVERAGE(Assumptions!$D$12,Assumptions!$F$12),(Assumptions!$F$12-Assumptions!$D$12)/3.29)*44</f>
        <v>8293313.3055407256</v>
      </c>
      <c r="L911" s="3">
        <f ca="1">_xlfn.NORM.INV(RAND(),AVERAGE(Assumptions!$D$13,Assumptions!$F$13),(Assumptions!$F$13-Assumptions!$D$13)/3.29)*44</f>
        <v>14468131.934312234</v>
      </c>
      <c r="M911" s="6">
        <f ca="1">_xlfn.NORM.INV(RAND(),AVERAGE(Assumptions!$D$14,Assumptions!$F$14),(Assumptions!$F$14-Assumptions!$D$14)/3.29)*44</f>
        <v>5573184.962843149</v>
      </c>
      <c r="N911" s="9">
        <f ca="1">_xlfn.NORM.INV(RAND(),AVERAGE(Assumptions!$D$16,Assumptions!$F$16),(Assumptions!$F$16-Assumptions!$D$16)/3.29)*44</f>
        <v>16486914.698186753</v>
      </c>
      <c r="O911" s="12">
        <f ca="1">_xlfn.NORM.INV(RAND(),AVERAGE(Assumptions!$D$15,Assumptions!$F$15),(Assumptions!$F$15-Assumptions!$D$15)/3.29)*44</f>
        <v>87609029.815929741</v>
      </c>
      <c r="P911" s="15">
        <f>Assumptions!$D$18</f>
        <v>14641750.345627395</v>
      </c>
      <c r="Q911" s="3">
        <f t="shared" ca="1" si="28"/>
        <v>22045406.258249059</v>
      </c>
      <c r="R911" s="6">
        <f t="shared" ca="1" si="29"/>
        <v>36687156.603876457</v>
      </c>
    </row>
    <row r="912" spans="1:18">
      <c r="A912" s="20">
        <v>911</v>
      </c>
      <c r="B912" s="3">
        <f ca="1">_xlfn.NORM.INV(RAND(),AVERAGE(Assumptions!$D$4,Assumptions!$F$4),(Assumptions!$F$4-Assumptions!$D$4)/3.29)*44</f>
        <v>1076648.6980940003</v>
      </c>
      <c r="C912" s="6">
        <f ca="1">_xlfn.NORM.INV(RAND(),AVERAGE(Assumptions!$D$5,Assumptions!$F$5),(Assumptions!$F$5-Assumptions!$D$5)/3.29)*44</f>
        <v>1812713.5359546361</v>
      </c>
      <c r="D912" s="9">
        <f ca="1">_xlfn.NORM.INV(RAND(),AVERAGE(Assumptions!$D$6,Assumptions!$F$6),(Assumptions!$F$6-Assumptions!$D$6)/3.29)*RANDBETWEEN(2,5)</f>
        <v>3707519.5013680663</v>
      </c>
      <c r="E912" s="12">
        <f ca="1">_xlfn.NORM.INV(RAND(),AVERAGE(Assumptions!$D$17,Assumptions!$F$17),(Assumptions!$F$17-Assumptions!$D$17)/3.29)*8</f>
        <v>900312.05285583355</v>
      </c>
      <c r="F912" s="15">
        <f ca="1">_xlfn.NORM.INV(RAND(),AVERAGE(Assumptions!$D$7,Assumptions!$F$7),(Assumptions!$F$7-Assumptions!$D$7)/3.29)*RANDBETWEEN(1,3)</f>
        <v>7092768.4855584409</v>
      </c>
      <c r="G912" s="3">
        <f ca="1">_xlfn.NORM.INV(RAND(),AVERAGE(Assumptions!$D$8,Assumptions!$F$8),(Assumptions!$F$8-Assumptions!$D$8)/3.29)*44</f>
        <v>1293385.4647320418</v>
      </c>
      <c r="H912" s="6">
        <f ca="1">_xlfn.NORM.INV(RAND(),AVERAGE(Assumptions!$D$9,Assumptions!$F$9),(Assumptions!$F$9-Assumptions!$D$9)/3.29)*21</f>
        <v>4328436.169671976</v>
      </c>
      <c r="I912" s="9">
        <f ca="1">_xlfn.NORM.INV(RAND(),AVERAGE(Assumptions!$D$10,Assumptions!$F$10),(Assumptions!$F$10-Assumptions!$D$10)/3.29)*21</f>
        <v>923467.38737517933</v>
      </c>
      <c r="J912" s="12">
        <f ca="1">NORMINV(RAND(),AVERAGE(Assumptions!$D$11,Assumptions!$F$11),(Assumptions!$F$11-Assumptions!$D$11)/3.29)*44</f>
        <v>1373959.8072664035</v>
      </c>
      <c r="K912" s="15">
        <f ca="1">_xlfn.NORM.INV(RAND(),AVERAGE(Assumptions!$D$12,Assumptions!$F$12),(Assumptions!$F$12-Assumptions!$D$12)/3.29)*44</f>
        <v>8450040.7241312582</v>
      </c>
      <c r="L912" s="3">
        <f ca="1">_xlfn.NORM.INV(RAND(),AVERAGE(Assumptions!$D$13,Assumptions!$F$13),(Assumptions!$F$13-Assumptions!$D$13)/3.29)*44</f>
        <v>9642583.1681442484</v>
      </c>
      <c r="M912" s="6">
        <f ca="1">_xlfn.NORM.INV(RAND(),AVERAGE(Assumptions!$D$14,Assumptions!$F$14),(Assumptions!$F$14-Assumptions!$D$14)/3.29)*44</f>
        <v>5951814.3606942017</v>
      </c>
      <c r="N912" s="9">
        <f ca="1">_xlfn.NORM.INV(RAND(),AVERAGE(Assumptions!$D$16,Assumptions!$F$16),(Assumptions!$F$16-Assumptions!$D$16)/3.29)*44</f>
        <v>14626766.937052593</v>
      </c>
      <c r="O912" s="12">
        <f ca="1">_xlfn.NORM.INV(RAND(),AVERAGE(Assumptions!$D$15,Assumptions!$F$15),(Assumptions!$F$15-Assumptions!$D$15)/3.29)*44</f>
        <v>59765234.248626411</v>
      </c>
      <c r="P912" s="15">
        <f>Assumptions!$D$18</f>
        <v>14641750.345627395</v>
      </c>
      <c r="Q912" s="3">
        <f t="shared" ca="1" si="28"/>
        <v>-1415182.0442724675</v>
      </c>
      <c r="R912" s="6">
        <f t="shared" ca="1" si="29"/>
        <v>13226568.301354928</v>
      </c>
    </row>
    <row r="913" spans="1:18">
      <c r="A913" s="20">
        <v>912</v>
      </c>
      <c r="B913" s="3">
        <f ca="1">_xlfn.NORM.INV(RAND(),AVERAGE(Assumptions!$D$4,Assumptions!$F$4),(Assumptions!$F$4-Assumptions!$D$4)/3.29)*44</f>
        <v>1122572.7162895987</v>
      </c>
      <c r="C913" s="6">
        <f ca="1">_xlfn.NORM.INV(RAND(),AVERAGE(Assumptions!$D$5,Assumptions!$F$5),(Assumptions!$F$5-Assumptions!$D$5)/3.29)*44</f>
        <v>2088383.1147610431</v>
      </c>
      <c r="D913" s="9">
        <f ca="1">_xlfn.NORM.INV(RAND(),AVERAGE(Assumptions!$D$6,Assumptions!$F$6),(Assumptions!$F$6-Assumptions!$D$6)/3.29)*RANDBETWEEN(2,5)</f>
        <v>4936332.7371671284</v>
      </c>
      <c r="E913" s="12">
        <f ca="1">_xlfn.NORM.INV(RAND(),AVERAGE(Assumptions!$D$17,Assumptions!$F$17),(Assumptions!$F$17-Assumptions!$D$17)/3.29)*8</f>
        <v>875100.65464336565</v>
      </c>
      <c r="F913" s="15">
        <f ca="1">_xlfn.NORM.INV(RAND(),AVERAGE(Assumptions!$D$7,Assumptions!$F$7),(Assumptions!$F$7-Assumptions!$D$7)/3.29)*RANDBETWEEN(1,3)</f>
        <v>4636397.0930879032</v>
      </c>
      <c r="G913" s="3">
        <f ca="1">_xlfn.NORM.INV(RAND(),AVERAGE(Assumptions!$D$8,Assumptions!$F$8),(Assumptions!$F$8-Assumptions!$D$8)/3.29)*44</f>
        <v>1096769.0977260543</v>
      </c>
      <c r="H913" s="6">
        <f ca="1">_xlfn.NORM.INV(RAND(),AVERAGE(Assumptions!$D$9,Assumptions!$F$9),(Assumptions!$F$9-Assumptions!$D$9)/3.29)*21</f>
        <v>4757490.1864412175</v>
      </c>
      <c r="I913" s="9">
        <f ca="1">_xlfn.NORM.INV(RAND(),AVERAGE(Assumptions!$D$10,Assumptions!$F$10),(Assumptions!$F$10-Assumptions!$D$10)/3.29)*21</f>
        <v>865816.28962600185</v>
      </c>
      <c r="J913" s="12">
        <f ca="1">NORMINV(RAND(),AVERAGE(Assumptions!$D$11,Assumptions!$F$11),(Assumptions!$F$11-Assumptions!$D$11)/3.29)*44</f>
        <v>3515171.4077876192</v>
      </c>
      <c r="K913" s="15">
        <f ca="1">_xlfn.NORM.INV(RAND(),AVERAGE(Assumptions!$D$12,Assumptions!$F$12),(Assumptions!$F$12-Assumptions!$D$12)/3.29)*44</f>
        <v>7161960.1373800011</v>
      </c>
      <c r="L913" s="3">
        <f ca="1">_xlfn.NORM.INV(RAND(),AVERAGE(Assumptions!$D$13,Assumptions!$F$13),(Assumptions!$F$13-Assumptions!$D$13)/3.29)*44</f>
        <v>7582584.8160062423</v>
      </c>
      <c r="M913" s="6">
        <f ca="1">_xlfn.NORM.INV(RAND(),AVERAGE(Assumptions!$D$14,Assumptions!$F$14),(Assumptions!$F$14-Assumptions!$D$14)/3.29)*44</f>
        <v>4889502.6866738135</v>
      </c>
      <c r="N913" s="9">
        <f ca="1">_xlfn.NORM.INV(RAND(),AVERAGE(Assumptions!$D$16,Assumptions!$F$16),(Assumptions!$F$16-Assumptions!$D$16)/3.29)*44</f>
        <v>12428099.043146206</v>
      </c>
      <c r="O913" s="12">
        <f ca="1">_xlfn.NORM.INV(RAND(),AVERAGE(Assumptions!$D$15,Assumptions!$F$15),(Assumptions!$F$15-Assumptions!$D$15)/3.29)*44</f>
        <v>59469604.048120081</v>
      </c>
      <c r="P913" s="15">
        <f>Assumptions!$D$18</f>
        <v>14641750.345627395</v>
      </c>
      <c r="Q913" s="3">
        <f t="shared" ca="1" si="28"/>
        <v>3513424.0673838928</v>
      </c>
      <c r="R913" s="6">
        <f t="shared" ca="1" si="29"/>
        <v>18155174.41301129</v>
      </c>
    </row>
    <row r="914" spans="1:18">
      <c r="A914" s="20">
        <v>913</v>
      </c>
      <c r="B914" s="3">
        <f ca="1">_xlfn.NORM.INV(RAND(),AVERAGE(Assumptions!$D$4,Assumptions!$F$4),(Assumptions!$F$4-Assumptions!$D$4)/3.29)*44</f>
        <v>1443242.119511839</v>
      </c>
      <c r="C914" s="6">
        <f ca="1">_xlfn.NORM.INV(RAND(),AVERAGE(Assumptions!$D$5,Assumptions!$F$5),(Assumptions!$F$5-Assumptions!$D$5)/3.29)*44</f>
        <v>1828577.2471018529</v>
      </c>
      <c r="D914" s="9">
        <f ca="1">_xlfn.NORM.INV(RAND(),AVERAGE(Assumptions!$D$6,Assumptions!$F$6),(Assumptions!$F$6-Assumptions!$D$6)/3.29)*RANDBETWEEN(2,5)</f>
        <v>2526533.8039544695</v>
      </c>
      <c r="E914" s="12">
        <f ca="1">_xlfn.NORM.INV(RAND(),AVERAGE(Assumptions!$D$17,Assumptions!$F$17),(Assumptions!$F$17-Assumptions!$D$17)/3.29)*8</f>
        <v>972831.28870535723</v>
      </c>
      <c r="F914" s="15">
        <f ca="1">_xlfn.NORM.INV(RAND(),AVERAGE(Assumptions!$D$7,Assumptions!$F$7),(Assumptions!$F$7-Assumptions!$D$7)/3.29)*RANDBETWEEN(1,3)</f>
        <v>8782028.1250159722</v>
      </c>
      <c r="G914" s="3">
        <f ca="1">_xlfn.NORM.INV(RAND(),AVERAGE(Assumptions!$D$8,Assumptions!$F$8),(Assumptions!$F$8-Assumptions!$D$8)/3.29)*44</f>
        <v>1110443.957689716</v>
      </c>
      <c r="H914" s="6">
        <f ca="1">_xlfn.NORM.INV(RAND(),AVERAGE(Assumptions!$D$9,Assumptions!$F$9),(Assumptions!$F$9-Assumptions!$D$9)/3.29)*21</f>
        <v>4944232.399352151</v>
      </c>
      <c r="I914" s="9">
        <f ca="1">_xlfn.NORM.INV(RAND(),AVERAGE(Assumptions!$D$10,Assumptions!$F$10),(Assumptions!$F$10-Assumptions!$D$10)/3.29)*21</f>
        <v>959383.47624772973</v>
      </c>
      <c r="J914" s="12">
        <f ca="1">NORMINV(RAND(),AVERAGE(Assumptions!$D$11,Assumptions!$F$11),(Assumptions!$F$11-Assumptions!$D$11)/3.29)*44</f>
        <v>5091328.8780968478</v>
      </c>
      <c r="K914" s="15">
        <f ca="1">_xlfn.NORM.INV(RAND(),AVERAGE(Assumptions!$D$12,Assumptions!$F$12),(Assumptions!$F$12-Assumptions!$D$12)/3.29)*44</f>
        <v>10196936.18668583</v>
      </c>
      <c r="L914" s="3">
        <f ca="1">_xlfn.NORM.INV(RAND(),AVERAGE(Assumptions!$D$13,Assumptions!$F$13),(Assumptions!$F$13-Assumptions!$D$13)/3.29)*44</f>
        <v>13954362.771615954</v>
      </c>
      <c r="M914" s="6">
        <f ca="1">_xlfn.NORM.INV(RAND(),AVERAGE(Assumptions!$D$14,Assumptions!$F$14),(Assumptions!$F$14-Assumptions!$D$14)/3.29)*44</f>
        <v>4712541.169872839</v>
      </c>
      <c r="N914" s="9">
        <f ca="1">_xlfn.NORM.INV(RAND(),AVERAGE(Assumptions!$D$16,Assumptions!$F$16),(Assumptions!$F$16-Assumptions!$D$16)/3.29)*44</f>
        <v>15238476.81731076</v>
      </c>
      <c r="O914" s="12">
        <f ca="1">_xlfn.NORM.INV(RAND(),AVERAGE(Assumptions!$D$15,Assumptions!$F$15),(Assumptions!$F$15-Assumptions!$D$15)/3.29)*44</f>
        <v>97742358.12486805</v>
      </c>
      <c r="P914" s="15">
        <f>Assumptions!$D$18</f>
        <v>14641750.345627395</v>
      </c>
      <c r="Q914" s="3">
        <f t="shared" ca="1" si="28"/>
        <v>25981439.883706719</v>
      </c>
      <c r="R914" s="6">
        <f t="shared" ca="1" si="29"/>
        <v>40623190.229334116</v>
      </c>
    </row>
    <row r="915" spans="1:18">
      <c r="A915" s="20">
        <v>914</v>
      </c>
      <c r="B915" s="3">
        <f ca="1">_xlfn.NORM.INV(RAND(),AVERAGE(Assumptions!$D$4,Assumptions!$F$4),(Assumptions!$F$4-Assumptions!$D$4)/3.29)*44</f>
        <v>1217494.1661034999</v>
      </c>
      <c r="C915" s="6">
        <f ca="1">_xlfn.NORM.INV(RAND(),AVERAGE(Assumptions!$D$5,Assumptions!$F$5),(Assumptions!$F$5-Assumptions!$D$5)/3.29)*44</f>
        <v>1784222.1707362791</v>
      </c>
      <c r="D915" s="9">
        <f ca="1">_xlfn.NORM.INV(RAND(),AVERAGE(Assumptions!$D$6,Assumptions!$F$6),(Assumptions!$F$6-Assumptions!$D$6)/3.29)*RANDBETWEEN(2,5)</f>
        <v>5190753.1229886105</v>
      </c>
      <c r="E915" s="12">
        <f ca="1">_xlfn.NORM.INV(RAND(),AVERAGE(Assumptions!$D$17,Assumptions!$F$17),(Assumptions!$F$17-Assumptions!$D$17)/3.29)*8</f>
        <v>928203.46508895629</v>
      </c>
      <c r="F915" s="15">
        <f ca="1">_xlfn.NORM.INV(RAND(),AVERAGE(Assumptions!$D$7,Assumptions!$F$7),(Assumptions!$F$7-Assumptions!$D$7)/3.29)*RANDBETWEEN(1,3)</f>
        <v>5826352.3483711146</v>
      </c>
      <c r="G915" s="3">
        <f ca="1">_xlfn.NORM.INV(RAND(),AVERAGE(Assumptions!$D$8,Assumptions!$F$8),(Assumptions!$F$8-Assumptions!$D$8)/3.29)*44</f>
        <v>1419566.2425720706</v>
      </c>
      <c r="H915" s="6">
        <f ca="1">_xlfn.NORM.INV(RAND(),AVERAGE(Assumptions!$D$9,Assumptions!$F$9),(Assumptions!$F$9-Assumptions!$D$9)/3.29)*21</f>
        <v>4472598.2933092359</v>
      </c>
      <c r="I915" s="9">
        <f ca="1">_xlfn.NORM.INV(RAND(),AVERAGE(Assumptions!$D$10,Assumptions!$F$10),(Assumptions!$F$10-Assumptions!$D$10)/3.29)*21</f>
        <v>1086529.0562637842</v>
      </c>
      <c r="J915" s="12">
        <f ca="1">NORMINV(RAND(),AVERAGE(Assumptions!$D$11,Assumptions!$F$11),(Assumptions!$F$11-Assumptions!$D$11)/3.29)*44</f>
        <v>2595894.2575584925</v>
      </c>
      <c r="K915" s="15">
        <f ca="1">_xlfn.NORM.INV(RAND(),AVERAGE(Assumptions!$D$12,Assumptions!$F$12),(Assumptions!$F$12-Assumptions!$D$12)/3.29)*44</f>
        <v>10368581.002332365</v>
      </c>
      <c r="L915" s="3">
        <f ca="1">_xlfn.NORM.INV(RAND(),AVERAGE(Assumptions!$D$13,Assumptions!$F$13),(Assumptions!$F$13-Assumptions!$D$13)/3.29)*44</f>
        <v>4349823.3108866066</v>
      </c>
      <c r="M915" s="6">
        <f ca="1">_xlfn.NORM.INV(RAND(),AVERAGE(Assumptions!$D$14,Assumptions!$F$14),(Assumptions!$F$14-Assumptions!$D$14)/3.29)*44</f>
        <v>7996604.1786246952</v>
      </c>
      <c r="N915" s="9">
        <f ca="1">_xlfn.NORM.INV(RAND(),AVERAGE(Assumptions!$D$16,Assumptions!$F$16),(Assumptions!$F$16-Assumptions!$D$16)/3.29)*44</f>
        <v>13688751.816451645</v>
      </c>
      <c r="O915" s="12">
        <f ca="1">_xlfn.NORM.INV(RAND(),AVERAGE(Assumptions!$D$15,Assumptions!$F$15),(Assumptions!$F$15-Assumptions!$D$15)/3.29)*44</f>
        <v>37604942.491621144</v>
      </c>
      <c r="P915" s="15">
        <f>Assumptions!$D$18</f>
        <v>14641750.345627395</v>
      </c>
      <c r="Q915" s="3">
        <f t="shared" ca="1" si="28"/>
        <v>-23320430.939666219</v>
      </c>
      <c r="R915" s="6">
        <f t="shared" ca="1" si="29"/>
        <v>-8678680.5940388236</v>
      </c>
    </row>
    <row r="916" spans="1:18">
      <c r="A916" s="20">
        <v>915</v>
      </c>
      <c r="B916" s="3">
        <f ca="1">_xlfn.NORM.INV(RAND(),AVERAGE(Assumptions!$D$4,Assumptions!$F$4),(Assumptions!$F$4-Assumptions!$D$4)/3.29)*44</f>
        <v>1172813.4403837111</v>
      </c>
      <c r="C916" s="6">
        <f ca="1">_xlfn.NORM.INV(RAND(),AVERAGE(Assumptions!$D$5,Assumptions!$F$5),(Assumptions!$F$5-Assumptions!$D$5)/3.29)*44</f>
        <v>2023432.7589003262</v>
      </c>
      <c r="D916" s="9">
        <f ca="1">_xlfn.NORM.INV(RAND(),AVERAGE(Assumptions!$D$6,Assumptions!$F$6),(Assumptions!$F$6-Assumptions!$D$6)/3.29)*RANDBETWEEN(2,5)</f>
        <v>6785193.6551200729</v>
      </c>
      <c r="E916" s="12">
        <f ca="1">_xlfn.NORM.INV(RAND(),AVERAGE(Assumptions!$D$17,Assumptions!$F$17),(Assumptions!$F$17-Assumptions!$D$17)/3.29)*8</f>
        <v>937694.85307892691</v>
      </c>
      <c r="F916" s="15">
        <f ca="1">_xlfn.NORM.INV(RAND(),AVERAGE(Assumptions!$D$7,Assumptions!$F$7),(Assumptions!$F$7-Assumptions!$D$7)/3.29)*RANDBETWEEN(1,3)</f>
        <v>2943536.1197884995</v>
      </c>
      <c r="G916" s="3">
        <f ca="1">_xlfn.NORM.INV(RAND(),AVERAGE(Assumptions!$D$8,Assumptions!$F$8),(Assumptions!$F$8-Assumptions!$D$8)/3.29)*44</f>
        <v>1483632.3652806876</v>
      </c>
      <c r="H916" s="6">
        <f ca="1">_xlfn.NORM.INV(RAND(),AVERAGE(Assumptions!$D$9,Assumptions!$F$9),(Assumptions!$F$9-Assumptions!$D$9)/3.29)*21</f>
        <v>5036354.4934694292</v>
      </c>
      <c r="I916" s="9">
        <f ca="1">_xlfn.NORM.INV(RAND(),AVERAGE(Assumptions!$D$10,Assumptions!$F$10),(Assumptions!$F$10-Assumptions!$D$10)/3.29)*21</f>
        <v>1112318.9340603687</v>
      </c>
      <c r="J916" s="12">
        <f ca="1">NORMINV(RAND(),AVERAGE(Assumptions!$D$11,Assumptions!$F$11),(Assumptions!$F$11-Assumptions!$D$11)/3.29)*44</f>
        <v>4334375.1186315678</v>
      </c>
      <c r="K916" s="15">
        <f ca="1">_xlfn.NORM.INV(RAND(),AVERAGE(Assumptions!$D$12,Assumptions!$F$12),(Assumptions!$F$12-Assumptions!$D$12)/3.29)*44</f>
        <v>8169413.4818470348</v>
      </c>
      <c r="L916" s="3">
        <f ca="1">_xlfn.NORM.INV(RAND(),AVERAGE(Assumptions!$D$13,Assumptions!$F$13),(Assumptions!$F$13-Assumptions!$D$13)/3.29)*44</f>
        <v>12774621.349743135</v>
      </c>
      <c r="M916" s="6">
        <f ca="1">_xlfn.NORM.INV(RAND(),AVERAGE(Assumptions!$D$14,Assumptions!$F$14),(Assumptions!$F$14-Assumptions!$D$14)/3.29)*44</f>
        <v>5810846.4021599377</v>
      </c>
      <c r="N916" s="9">
        <f ca="1">_xlfn.NORM.INV(RAND(),AVERAGE(Assumptions!$D$16,Assumptions!$F$16),(Assumptions!$F$16-Assumptions!$D$16)/3.29)*44</f>
        <v>11101445.594999673</v>
      </c>
      <c r="O916" s="12">
        <f ca="1">_xlfn.NORM.INV(RAND(),AVERAGE(Assumptions!$D$15,Assumptions!$F$15),(Assumptions!$F$15-Assumptions!$D$15)/3.29)*44</f>
        <v>153723489.71467879</v>
      </c>
      <c r="P916" s="15">
        <f>Assumptions!$D$18</f>
        <v>14641750.345627395</v>
      </c>
      <c r="Q916" s="3">
        <f t="shared" ca="1" si="28"/>
        <v>90037811.147215426</v>
      </c>
      <c r="R916" s="6">
        <f t="shared" ca="1" si="29"/>
        <v>104679561.49284282</v>
      </c>
    </row>
    <row r="917" spans="1:18">
      <c r="A917" s="20">
        <v>916</v>
      </c>
      <c r="B917" s="3">
        <f ca="1">_xlfn.NORM.INV(RAND(),AVERAGE(Assumptions!$D$4,Assumptions!$F$4),(Assumptions!$F$4-Assumptions!$D$4)/3.29)*44</f>
        <v>1136614.8465705758</v>
      </c>
      <c r="C917" s="6">
        <f ca="1">_xlfn.NORM.INV(RAND(),AVERAGE(Assumptions!$D$5,Assumptions!$F$5),(Assumptions!$F$5-Assumptions!$D$5)/3.29)*44</f>
        <v>2054870.0168097825</v>
      </c>
      <c r="D917" s="9">
        <f ca="1">_xlfn.NORM.INV(RAND(),AVERAGE(Assumptions!$D$6,Assumptions!$F$6),(Assumptions!$F$6-Assumptions!$D$6)/3.29)*RANDBETWEEN(2,5)</f>
        <v>4056037.9799669939</v>
      </c>
      <c r="E917" s="12">
        <f ca="1">_xlfn.NORM.INV(RAND(),AVERAGE(Assumptions!$D$17,Assumptions!$F$17),(Assumptions!$F$17-Assumptions!$D$17)/3.29)*8</f>
        <v>1008921.9382508035</v>
      </c>
      <c r="F917" s="15">
        <f ca="1">_xlfn.NORM.INV(RAND(),AVERAGE(Assumptions!$D$7,Assumptions!$F$7),(Assumptions!$F$7-Assumptions!$D$7)/3.29)*RANDBETWEEN(1,3)</f>
        <v>4631408.8117209226</v>
      </c>
      <c r="G917" s="3">
        <f ca="1">_xlfn.NORM.INV(RAND(),AVERAGE(Assumptions!$D$8,Assumptions!$F$8),(Assumptions!$F$8-Assumptions!$D$8)/3.29)*44</f>
        <v>1156897.5200444972</v>
      </c>
      <c r="H917" s="6">
        <f ca="1">_xlfn.NORM.INV(RAND(),AVERAGE(Assumptions!$D$9,Assumptions!$F$9),(Assumptions!$F$9-Assumptions!$D$9)/3.29)*21</f>
        <v>5156622.5745486123</v>
      </c>
      <c r="I917" s="9">
        <f ca="1">_xlfn.NORM.INV(RAND(),AVERAGE(Assumptions!$D$10,Assumptions!$F$10),(Assumptions!$F$10-Assumptions!$D$10)/3.29)*21</f>
        <v>1179807.1857485308</v>
      </c>
      <c r="J917" s="12">
        <f ca="1">NORMINV(RAND(),AVERAGE(Assumptions!$D$11,Assumptions!$F$11),(Assumptions!$F$11-Assumptions!$D$11)/3.29)*44</f>
        <v>3997775.5395447272</v>
      </c>
      <c r="K917" s="15">
        <f ca="1">_xlfn.NORM.INV(RAND(),AVERAGE(Assumptions!$D$12,Assumptions!$F$12),(Assumptions!$F$12-Assumptions!$D$12)/3.29)*44</f>
        <v>7989553.0301725129</v>
      </c>
      <c r="L917" s="3">
        <f ca="1">_xlfn.NORM.INV(RAND(),AVERAGE(Assumptions!$D$13,Assumptions!$F$13),(Assumptions!$F$13-Assumptions!$D$13)/3.29)*44</f>
        <v>16767813.656642452</v>
      </c>
      <c r="M917" s="6">
        <f ca="1">_xlfn.NORM.INV(RAND(),AVERAGE(Assumptions!$D$14,Assumptions!$F$14),(Assumptions!$F$14-Assumptions!$D$14)/3.29)*44</f>
        <v>6701088.9048033254</v>
      </c>
      <c r="N917" s="9">
        <f ca="1">_xlfn.NORM.INV(RAND(),AVERAGE(Assumptions!$D$16,Assumptions!$F$16),(Assumptions!$F$16-Assumptions!$D$16)/3.29)*44</f>
        <v>13953804.636081208</v>
      </c>
      <c r="O917" s="12">
        <f ca="1">_xlfn.NORM.INV(RAND(),AVERAGE(Assumptions!$D$15,Assumptions!$F$15),(Assumptions!$F$15-Assumptions!$D$15)/3.29)*44</f>
        <v>80617882.980933547</v>
      </c>
      <c r="P917" s="15">
        <f>Assumptions!$D$18</f>
        <v>14641750.345627395</v>
      </c>
      <c r="Q917" s="3">
        <f t="shared" ca="1" si="28"/>
        <v>10826666.340028584</v>
      </c>
      <c r="R917" s="6">
        <f t="shared" ca="1" si="29"/>
        <v>25468416.685655981</v>
      </c>
    </row>
    <row r="918" spans="1:18">
      <c r="A918" s="20">
        <v>917</v>
      </c>
      <c r="B918" s="3">
        <f ca="1">_xlfn.NORM.INV(RAND(),AVERAGE(Assumptions!$D$4,Assumptions!$F$4),(Assumptions!$F$4-Assumptions!$D$4)/3.29)*44</f>
        <v>1238717.4381829009</v>
      </c>
      <c r="C918" s="6">
        <f ca="1">_xlfn.NORM.INV(RAND(),AVERAGE(Assumptions!$D$5,Assumptions!$F$5),(Assumptions!$F$5-Assumptions!$D$5)/3.29)*44</f>
        <v>1780682.4533856371</v>
      </c>
      <c r="D918" s="9">
        <f ca="1">_xlfn.NORM.INV(RAND(),AVERAGE(Assumptions!$D$6,Assumptions!$F$6),(Assumptions!$F$6-Assumptions!$D$6)/3.29)*RANDBETWEEN(2,5)</f>
        <v>2438887.3872930715</v>
      </c>
      <c r="E918" s="12">
        <f ca="1">_xlfn.NORM.INV(RAND(),AVERAGE(Assumptions!$D$17,Assumptions!$F$17),(Assumptions!$F$17-Assumptions!$D$17)/3.29)*8</f>
        <v>1059081.8120752946</v>
      </c>
      <c r="F918" s="15">
        <f ca="1">_xlfn.NORM.INV(RAND(),AVERAGE(Assumptions!$D$7,Assumptions!$F$7),(Assumptions!$F$7-Assumptions!$D$7)/3.29)*RANDBETWEEN(1,3)</f>
        <v>2733927.4111869466</v>
      </c>
      <c r="G918" s="3">
        <f ca="1">_xlfn.NORM.INV(RAND(),AVERAGE(Assumptions!$D$8,Assumptions!$F$8),(Assumptions!$F$8-Assumptions!$D$8)/3.29)*44</f>
        <v>601192.72747058654</v>
      </c>
      <c r="H918" s="6">
        <f ca="1">_xlfn.NORM.INV(RAND(),AVERAGE(Assumptions!$D$9,Assumptions!$F$9),(Assumptions!$F$9-Assumptions!$D$9)/3.29)*21</f>
        <v>2234432.8644662839</v>
      </c>
      <c r="I918" s="9">
        <f ca="1">_xlfn.NORM.INV(RAND(),AVERAGE(Assumptions!$D$10,Assumptions!$F$10),(Assumptions!$F$10-Assumptions!$D$10)/3.29)*21</f>
        <v>1317470.0163416143</v>
      </c>
      <c r="J918" s="12">
        <f ca="1">NORMINV(RAND(),AVERAGE(Assumptions!$D$11,Assumptions!$F$11),(Assumptions!$F$11-Assumptions!$D$11)/3.29)*44</f>
        <v>5334567.6492429394</v>
      </c>
      <c r="K918" s="15">
        <f ca="1">_xlfn.NORM.INV(RAND(),AVERAGE(Assumptions!$D$12,Assumptions!$F$12),(Assumptions!$F$12-Assumptions!$D$12)/3.29)*44</f>
        <v>9026502.2128384262</v>
      </c>
      <c r="L918" s="3">
        <f ca="1">_xlfn.NORM.INV(RAND(),AVERAGE(Assumptions!$D$13,Assumptions!$F$13),(Assumptions!$F$13-Assumptions!$D$13)/3.29)*44</f>
        <v>10187856.853700252</v>
      </c>
      <c r="M918" s="6">
        <f ca="1">_xlfn.NORM.INV(RAND(),AVERAGE(Assumptions!$D$14,Assumptions!$F$14),(Assumptions!$F$14-Assumptions!$D$14)/3.29)*44</f>
        <v>6307659.5660114223</v>
      </c>
      <c r="N918" s="9">
        <f ca="1">_xlfn.NORM.INV(RAND(),AVERAGE(Assumptions!$D$16,Assumptions!$F$16),(Assumptions!$F$16-Assumptions!$D$16)/3.29)*44</f>
        <v>8828661.6043412872</v>
      </c>
      <c r="O918" s="12">
        <f ca="1">_xlfn.NORM.INV(RAND(),AVERAGE(Assumptions!$D$15,Assumptions!$F$15),(Assumptions!$F$15-Assumptions!$D$15)/3.29)*44</f>
        <v>74020956.627438873</v>
      </c>
      <c r="P918" s="15">
        <f>Assumptions!$D$18</f>
        <v>14641750.345627395</v>
      </c>
      <c r="Q918" s="3">
        <f t="shared" ca="1" si="28"/>
        <v>20931316.630902208</v>
      </c>
      <c r="R918" s="6">
        <f t="shared" ca="1" si="29"/>
        <v>35573066.976529606</v>
      </c>
    </row>
    <row r="919" spans="1:18">
      <c r="A919" s="20">
        <v>918</v>
      </c>
      <c r="B919" s="3">
        <f ca="1">_xlfn.NORM.INV(RAND(),AVERAGE(Assumptions!$D$4,Assumptions!$F$4),(Assumptions!$F$4-Assumptions!$D$4)/3.29)*44</f>
        <v>1166951.0748580787</v>
      </c>
      <c r="C919" s="6">
        <f ca="1">_xlfn.NORM.INV(RAND(),AVERAGE(Assumptions!$D$5,Assumptions!$F$5),(Assumptions!$F$5-Assumptions!$D$5)/3.29)*44</f>
        <v>1756042.4222503514</v>
      </c>
      <c r="D919" s="9">
        <f ca="1">_xlfn.NORM.INV(RAND(),AVERAGE(Assumptions!$D$6,Assumptions!$F$6),(Assumptions!$F$6-Assumptions!$D$6)/3.29)*RANDBETWEEN(2,5)</f>
        <v>4651015.1044207439</v>
      </c>
      <c r="E919" s="12">
        <f ca="1">_xlfn.NORM.INV(RAND(),AVERAGE(Assumptions!$D$17,Assumptions!$F$17),(Assumptions!$F$17-Assumptions!$D$17)/3.29)*8</f>
        <v>947216.87709805008</v>
      </c>
      <c r="F919" s="15">
        <f ca="1">_xlfn.NORM.INV(RAND(),AVERAGE(Assumptions!$D$7,Assumptions!$F$7),(Assumptions!$F$7-Assumptions!$D$7)/3.29)*RANDBETWEEN(1,3)</f>
        <v>3321261.9728806019</v>
      </c>
      <c r="G919" s="3">
        <f ca="1">_xlfn.NORM.INV(RAND(),AVERAGE(Assumptions!$D$8,Assumptions!$F$8),(Assumptions!$F$8-Assumptions!$D$8)/3.29)*44</f>
        <v>971956.73515657068</v>
      </c>
      <c r="H919" s="6">
        <f ca="1">_xlfn.NORM.INV(RAND(),AVERAGE(Assumptions!$D$9,Assumptions!$F$9),(Assumptions!$F$9-Assumptions!$D$9)/3.29)*21</f>
        <v>3753622.0154161765</v>
      </c>
      <c r="I919" s="9">
        <f ca="1">_xlfn.NORM.INV(RAND(),AVERAGE(Assumptions!$D$10,Assumptions!$F$10),(Assumptions!$F$10-Assumptions!$D$10)/3.29)*21</f>
        <v>556137.2445683633</v>
      </c>
      <c r="J919" s="12">
        <f ca="1">NORMINV(RAND(),AVERAGE(Assumptions!$D$11,Assumptions!$F$11),(Assumptions!$F$11-Assumptions!$D$11)/3.29)*44</f>
        <v>3573579.099587773</v>
      </c>
      <c r="K919" s="15">
        <f ca="1">_xlfn.NORM.INV(RAND(),AVERAGE(Assumptions!$D$12,Assumptions!$F$12),(Assumptions!$F$12-Assumptions!$D$12)/3.29)*44</f>
        <v>11268403.748244673</v>
      </c>
      <c r="L919" s="3">
        <f ca="1">_xlfn.NORM.INV(RAND(),AVERAGE(Assumptions!$D$13,Assumptions!$F$13),(Assumptions!$F$13-Assumptions!$D$13)/3.29)*44</f>
        <v>11792384.857255559</v>
      </c>
      <c r="M919" s="6">
        <f ca="1">_xlfn.NORM.INV(RAND(),AVERAGE(Assumptions!$D$14,Assumptions!$F$14),(Assumptions!$F$14-Assumptions!$D$14)/3.29)*44</f>
        <v>7963056.9065300338</v>
      </c>
      <c r="N919" s="9">
        <f ca="1">_xlfn.NORM.INV(RAND(),AVERAGE(Assumptions!$D$16,Assumptions!$F$16),(Assumptions!$F$16-Assumptions!$D$16)/3.29)*44</f>
        <v>11367247.944375077</v>
      </c>
      <c r="O919" s="12">
        <f ca="1">_xlfn.NORM.INV(RAND(),AVERAGE(Assumptions!$D$15,Assumptions!$F$15),(Assumptions!$F$15-Assumptions!$D$15)/3.29)*44</f>
        <v>80365657.191685811</v>
      </c>
      <c r="P919" s="15">
        <f>Assumptions!$D$18</f>
        <v>14641750.345627395</v>
      </c>
      <c r="Q919" s="3">
        <f t="shared" ca="1" si="28"/>
        <v>17276781.189043753</v>
      </c>
      <c r="R919" s="6">
        <f t="shared" ca="1" si="29"/>
        <v>31918531.53467115</v>
      </c>
    </row>
    <row r="920" spans="1:18">
      <c r="A920" s="20">
        <v>919</v>
      </c>
      <c r="B920" s="3">
        <f ca="1">_xlfn.NORM.INV(RAND(),AVERAGE(Assumptions!$D$4,Assumptions!$F$4),(Assumptions!$F$4-Assumptions!$D$4)/3.29)*44</f>
        <v>1239277.575151928</v>
      </c>
      <c r="C920" s="6">
        <f ca="1">_xlfn.NORM.INV(RAND(),AVERAGE(Assumptions!$D$5,Assumptions!$F$5),(Assumptions!$F$5-Assumptions!$D$5)/3.29)*44</f>
        <v>1856083.4324714537</v>
      </c>
      <c r="D920" s="9">
        <f ca="1">_xlfn.NORM.INV(RAND(),AVERAGE(Assumptions!$D$6,Assumptions!$F$6),(Assumptions!$F$6-Assumptions!$D$6)/3.29)*RANDBETWEEN(2,5)</f>
        <v>6673544.569871014</v>
      </c>
      <c r="E920" s="12">
        <f ca="1">_xlfn.NORM.INV(RAND(),AVERAGE(Assumptions!$D$17,Assumptions!$F$17),(Assumptions!$F$17-Assumptions!$D$17)/3.29)*8</f>
        <v>1041754.0303812684</v>
      </c>
      <c r="F920" s="15">
        <f ca="1">_xlfn.NORM.INV(RAND(),AVERAGE(Assumptions!$D$7,Assumptions!$F$7),(Assumptions!$F$7-Assumptions!$D$7)/3.29)*RANDBETWEEN(1,3)</f>
        <v>1498231.8950960997</v>
      </c>
      <c r="G920" s="3">
        <f ca="1">_xlfn.NORM.INV(RAND(),AVERAGE(Assumptions!$D$8,Assumptions!$F$8),(Assumptions!$F$8-Assumptions!$D$8)/3.29)*44</f>
        <v>1267336.5654712047</v>
      </c>
      <c r="H920" s="6">
        <f ca="1">_xlfn.NORM.INV(RAND(),AVERAGE(Assumptions!$D$9,Assumptions!$F$9),(Assumptions!$F$9-Assumptions!$D$9)/3.29)*21</f>
        <v>5268342.6236378886</v>
      </c>
      <c r="I920" s="9">
        <f ca="1">_xlfn.NORM.INV(RAND(),AVERAGE(Assumptions!$D$10,Assumptions!$F$10),(Assumptions!$F$10-Assumptions!$D$10)/3.29)*21</f>
        <v>1074106.8733443306</v>
      </c>
      <c r="J920" s="12">
        <f ca="1">NORMINV(RAND(),AVERAGE(Assumptions!$D$11,Assumptions!$F$11),(Assumptions!$F$11-Assumptions!$D$11)/3.29)*44</f>
        <v>6704553.458418427</v>
      </c>
      <c r="K920" s="15">
        <f ca="1">_xlfn.NORM.INV(RAND(),AVERAGE(Assumptions!$D$12,Assumptions!$F$12),(Assumptions!$F$12-Assumptions!$D$12)/3.29)*44</f>
        <v>7513249.6675641714</v>
      </c>
      <c r="L920" s="3">
        <f ca="1">_xlfn.NORM.INV(RAND(),AVERAGE(Assumptions!$D$13,Assumptions!$F$13),(Assumptions!$F$13-Assumptions!$D$13)/3.29)*44</f>
        <v>10516789.581511205</v>
      </c>
      <c r="M920" s="6">
        <f ca="1">_xlfn.NORM.INV(RAND(),AVERAGE(Assumptions!$D$14,Assumptions!$F$14),(Assumptions!$F$14-Assumptions!$D$14)/3.29)*44</f>
        <v>5756763.8022530461</v>
      </c>
      <c r="N920" s="9">
        <f ca="1">_xlfn.NORM.INV(RAND(),AVERAGE(Assumptions!$D$16,Assumptions!$F$16),(Assumptions!$F$16-Assumptions!$D$16)/3.29)*44</f>
        <v>11768655.595600924</v>
      </c>
      <c r="O920" s="12">
        <f ca="1">_xlfn.NORM.INV(RAND(),AVERAGE(Assumptions!$D$15,Assumptions!$F$15),(Assumptions!$F$15-Assumptions!$D$15)/3.29)*44</f>
        <v>209183026.98032513</v>
      </c>
      <c r="P920" s="15">
        <f>Assumptions!$D$18</f>
        <v>14641750.345627395</v>
      </c>
      <c r="Q920" s="3">
        <f t="shared" ca="1" si="28"/>
        <v>147004337.30955216</v>
      </c>
      <c r="R920" s="6">
        <f t="shared" ca="1" si="29"/>
        <v>161646087.65517956</v>
      </c>
    </row>
    <row r="921" spans="1:18">
      <c r="A921" s="20">
        <v>920</v>
      </c>
      <c r="B921" s="3">
        <f ca="1">_xlfn.NORM.INV(RAND(),AVERAGE(Assumptions!$D$4,Assumptions!$F$4),(Assumptions!$F$4-Assumptions!$D$4)/3.29)*44</f>
        <v>1250454.8645120882</v>
      </c>
      <c r="C921" s="6">
        <f ca="1">_xlfn.NORM.INV(RAND(),AVERAGE(Assumptions!$D$5,Assumptions!$F$5),(Assumptions!$F$5-Assumptions!$D$5)/3.29)*44</f>
        <v>1890761.042963915</v>
      </c>
      <c r="D921" s="9">
        <f ca="1">_xlfn.NORM.INV(RAND(),AVERAGE(Assumptions!$D$6,Assumptions!$F$6),(Assumptions!$F$6-Assumptions!$D$6)/3.29)*RANDBETWEEN(2,5)</f>
        <v>4658899.3382392013</v>
      </c>
      <c r="E921" s="12">
        <f ca="1">_xlfn.NORM.INV(RAND(),AVERAGE(Assumptions!$D$17,Assumptions!$F$17),(Assumptions!$F$17-Assumptions!$D$17)/3.29)*8</f>
        <v>848129.58706355665</v>
      </c>
      <c r="F921" s="15">
        <f ca="1">_xlfn.NORM.INV(RAND(),AVERAGE(Assumptions!$D$7,Assumptions!$F$7),(Assumptions!$F$7-Assumptions!$D$7)/3.29)*RANDBETWEEN(1,3)</f>
        <v>235857.45455445303</v>
      </c>
      <c r="G921" s="3">
        <f ca="1">_xlfn.NORM.INV(RAND(),AVERAGE(Assumptions!$D$8,Assumptions!$F$8),(Assumptions!$F$8-Assumptions!$D$8)/3.29)*44</f>
        <v>1394467.4769096051</v>
      </c>
      <c r="H921" s="6">
        <f ca="1">_xlfn.NORM.INV(RAND(),AVERAGE(Assumptions!$D$9,Assumptions!$F$9),(Assumptions!$F$9-Assumptions!$D$9)/3.29)*21</f>
        <v>2239981.068306603</v>
      </c>
      <c r="I921" s="9">
        <f ca="1">_xlfn.NORM.INV(RAND(),AVERAGE(Assumptions!$D$10,Assumptions!$F$10),(Assumptions!$F$10-Assumptions!$D$10)/3.29)*21</f>
        <v>1098004.4953520619</v>
      </c>
      <c r="J921" s="12">
        <f ca="1">NORMINV(RAND(),AVERAGE(Assumptions!$D$11,Assumptions!$F$11),(Assumptions!$F$11-Assumptions!$D$11)/3.29)*44</f>
        <v>2370403.4708560747</v>
      </c>
      <c r="K921" s="15">
        <f ca="1">_xlfn.NORM.INV(RAND(),AVERAGE(Assumptions!$D$12,Assumptions!$F$12),(Assumptions!$F$12-Assumptions!$D$12)/3.29)*44</f>
        <v>7377870.2605182333</v>
      </c>
      <c r="L921" s="3">
        <f ca="1">_xlfn.NORM.INV(RAND(),AVERAGE(Assumptions!$D$13,Assumptions!$F$13),(Assumptions!$F$13-Assumptions!$D$13)/3.29)*44</f>
        <v>13300680.112627875</v>
      </c>
      <c r="M921" s="6">
        <f ca="1">_xlfn.NORM.INV(RAND(),AVERAGE(Assumptions!$D$14,Assumptions!$F$14),(Assumptions!$F$14-Assumptions!$D$14)/3.29)*44</f>
        <v>5904275.2314821752</v>
      </c>
      <c r="N921" s="9">
        <f ca="1">_xlfn.NORM.INV(RAND(),AVERAGE(Assumptions!$D$16,Assumptions!$F$16),(Assumptions!$F$16-Assumptions!$D$16)/3.29)*44</f>
        <v>13518883.712546034</v>
      </c>
      <c r="O921" s="12">
        <f ca="1">_xlfn.NORM.INV(RAND(),AVERAGE(Assumptions!$D$15,Assumptions!$F$15),(Assumptions!$F$15-Assumptions!$D$15)/3.29)*44</f>
        <v>117644629.69279274</v>
      </c>
      <c r="P921" s="15">
        <f>Assumptions!$D$18</f>
        <v>14641750.345627395</v>
      </c>
      <c r="Q921" s="3">
        <f t="shared" ca="1" si="28"/>
        <v>61555961.57686086</v>
      </c>
      <c r="R921" s="6">
        <f t="shared" ca="1" si="29"/>
        <v>76197711.922488257</v>
      </c>
    </row>
    <row r="922" spans="1:18">
      <c r="A922" s="20">
        <v>921</v>
      </c>
      <c r="B922" s="3">
        <f ca="1">_xlfn.NORM.INV(RAND(),AVERAGE(Assumptions!$D$4,Assumptions!$F$4),(Assumptions!$F$4-Assumptions!$D$4)/3.29)*44</f>
        <v>1259456.4709216121</v>
      </c>
      <c r="C922" s="6">
        <f ca="1">_xlfn.NORM.INV(RAND(),AVERAGE(Assumptions!$D$5,Assumptions!$F$5),(Assumptions!$F$5-Assumptions!$D$5)/3.29)*44</f>
        <v>1815594.8968512174</v>
      </c>
      <c r="D922" s="9">
        <f ca="1">_xlfn.NORM.INV(RAND(),AVERAGE(Assumptions!$D$6,Assumptions!$F$6),(Assumptions!$F$6-Assumptions!$D$6)/3.29)*RANDBETWEEN(2,5)</f>
        <v>2610038.9357062578</v>
      </c>
      <c r="E922" s="12">
        <f ca="1">_xlfn.NORM.INV(RAND(),AVERAGE(Assumptions!$D$17,Assumptions!$F$17),(Assumptions!$F$17-Assumptions!$D$17)/3.29)*8</f>
        <v>844661.38767386391</v>
      </c>
      <c r="F922" s="15">
        <f ca="1">_xlfn.NORM.INV(RAND(),AVERAGE(Assumptions!$D$7,Assumptions!$F$7),(Assumptions!$F$7-Assumptions!$D$7)/3.29)*RANDBETWEEN(1,3)</f>
        <v>4730835.3208283307</v>
      </c>
      <c r="G922" s="3">
        <f ca="1">_xlfn.NORM.INV(RAND(),AVERAGE(Assumptions!$D$8,Assumptions!$F$8),(Assumptions!$F$8-Assumptions!$D$8)/3.29)*44</f>
        <v>755608.52043820173</v>
      </c>
      <c r="H922" s="6">
        <f ca="1">_xlfn.NORM.INV(RAND(),AVERAGE(Assumptions!$D$9,Assumptions!$F$9),(Assumptions!$F$9-Assumptions!$D$9)/3.29)*21</f>
        <v>4080766.0140485032</v>
      </c>
      <c r="I922" s="9">
        <f ca="1">_xlfn.NORM.INV(RAND(),AVERAGE(Assumptions!$D$10,Assumptions!$F$10),(Assumptions!$F$10-Assumptions!$D$10)/3.29)*21</f>
        <v>903351.82608727983</v>
      </c>
      <c r="J922" s="12">
        <f ca="1">NORMINV(RAND(),AVERAGE(Assumptions!$D$11,Assumptions!$F$11),(Assumptions!$F$11-Assumptions!$D$11)/3.29)*44</f>
        <v>2715749.481720347</v>
      </c>
      <c r="K922" s="15">
        <f ca="1">_xlfn.NORM.INV(RAND(),AVERAGE(Assumptions!$D$12,Assumptions!$F$12),(Assumptions!$F$12-Assumptions!$D$12)/3.29)*44</f>
        <v>5255104.424470217</v>
      </c>
      <c r="L922" s="3">
        <f ca="1">_xlfn.NORM.INV(RAND(),AVERAGE(Assumptions!$D$13,Assumptions!$F$13),(Assumptions!$F$13-Assumptions!$D$13)/3.29)*44</f>
        <v>9408241.7693764232</v>
      </c>
      <c r="M922" s="6">
        <f ca="1">_xlfn.NORM.INV(RAND(),AVERAGE(Assumptions!$D$14,Assumptions!$F$14),(Assumptions!$F$14-Assumptions!$D$14)/3.29)*44</f>
        <v>5239721.6095236447</v>
      </c>
      <c r="N922" s="9">
        <f ca="1">_xlfn.NORM.INV(RAND(),AVERAGE(Assumptions!$D$16,Assumptions!$F$16),(Assumptions!$F$16-Assumptions!$D$16)/3.29)*44</f>
        <v>15155193.684520144</v>
      </c>
      <c r="O922" s="12">
        <f ca="1">_xlfn.NORM.INV(RAND(),AVERAGE(Assumptions!$D$15,Assumptions!$F$15),(Assumptions!$F$15-Assumptions!$D$15)/3.29)*44</f>
        <v>124989997.47803301</v>
      </c>
      <c r="P922" s="15">
        <f>Assumptions!$D$18</f>
        <v>14641750.345627395</v>
      </c>
      <c r="Q922" s="3">
        <f t="shared" ca="1" si="28"/>
        <v>70215673.13586697</v>
      </c>
      <c r="R922" s="6">
        <f t="shared" ca="1" si="29"/>
        <v>84857423.481494367</v>
      </c>
    </row>
    <row r="923" spans="1:18">
      <c r="A923" s="20">
        <v>922</v>
      </c>
      <c r="B923" s="3">
        <f ca="1">_xlfn.NORM.INV(RAND(),AVERAGE(Assumptions!$D$4,Assumptions!$F$4),(Assumptions!$F$4-Assumptions!$D$4)/3.29)*44</f>
        <v>1133687.8534406279</v>
      </c>
      <c r="C923" s="6">
        <f ca="1">_xlfn.NORM.INV(RAND(),AVERAGE(Assumptions!$D$5,Assumptions!$F$5),(Assumptions!$F$5-Assumptions!$D$5)/3.29)*44</f>
        <v>1686440.7177713146</v>
      </c>
      <c r="D923" s="9">
        <f ca="1">_xlfn.NORM.INV(RAND(),AVERAGE(Assumptions!$D$6,Assumptions!$F$6),(Assumptions!$F$6-Assumptions!$D$6)/3.29)*RANDBETWEEN(2,5)</f>
        <v>3897351.0632224288</v>
      </c>
      <c r="E923" s="12">
        <f ca="1">_xlfn.NORM.INV(RAND(),AVERAGE(Assumptions!$D$17,Assumptions!$F$17),(Assumptions!$F$17-Assumptions!$D$17)/3.29)*8</f>
        <v>834749.7429838453</v>
      </c>
      <c r="F923" s="15">
        <f ca="1">_xlfn.NORM.INV(RAND(),AVERAGE(Assumptions!$D$7,Assumptions!$F$7),(Assumptions!$F$7-Assumptions!$D$7)/3.29)*RANDBETWEEN(1,3)</f>
        <v>4171493.3558679884</v>
      </c>
      <c r="G923" s="3">
        <f ca="1">_xlfn.NORM.INV(RAND(),AVERAGE(Assumptions!$D$8,Assumptions!$F$8),(Assumptions!$F$8-Assumptions!$D$8)/3.29)*44</f>
        <v>1400659.8837504075</v>
      </c>
      <c r="H923" s="6">
        <f ca="1">_xlfn.NORM.INV(RAND(),AVERAGE(Assumptions!$D$9,Assumptions!$F$9),(Assumptions!$F$9-Assumptions!$D$9)/3.29)*21</f>
        <v>3739532.538385496</v>
      </c>
      <c r="I923" s="9">
        <f ca="1">_xlfn.NORM.INV(RAND(),AVERAGE(Assumptions!$D$10,Assumptions!$F$10),(Assumptions!$F$10-Assumptions!$D$10)/3.29)*21</f>
        <v>601919.23981737229</v>
      </c>
      <c r="J923" s="12">
        <f ca="1">NORMINV(RAND(),AVERAGE(Assumptions!$D$11,Assumptions!$F$11),(Assumptions!$F$11-Assumptions!$D$11)/3.29)*44</f>
        <v>3197703.4162764242</v>
      </c>
      <c r="K923" s="15">
        <f ca="1">_xlfn.NORM.INV(RAND(),AVERAGE(Assumptions!$D$12,Assumptions!$F$12),(Assumptions!$F$12-Assumptions!$D$12)/3.29)*44</f>
        <v>6835947.7940077474</v>
      </c>
      <c r="L923" s="3">
        <f ca="1">_xlfn.NORM.INV(RAND(),AVERAGE(Assumptions!$D$13,Assumptions!$F$13),(Assumptions!$F$13-Assumptions!$D$13)/3.29)*44</f>
        <v>13193686.978371827</v>
      </c>
      <c r="M923" s="6">
        <f ca="1">_xlfn.NORM.INV(RAND(),AVERAGE(Assumptions!$D$14,Assumptions!$F$14),(Assumptions!$F$14-Assumptions!$D$14)/3.29)*44</f>
        <v>7538886.9378078775</v>
      </c>
      <c r="N923" s="9">
        <f ca="1">_xlfn.NORM.INV(RAND(),AVERAGE(Assumptions!$D$16,Assumptions!$F$16),(Assumptions!$F$16-Assumptions!$D$16)/3.29)*44</f>
        <v>8653621.8681516536</v>
      </c>
      <c r="O923" s="12">
        <f ca="1">_xlfn.NORM.INV(RAND(),AVERAGE(Assumptions!$D$15,Assumptions!$F$15),(Assumptions!$F$15-Assumptions!$D$15)/3.29)*44</f>
        <v>102062344.60779636</v>
      </c>
      <c r="P923" s="15">
        <f>Assumptions!$D$18</f>
        <v>14641750.345627395</v>
      </c>
      <c r="Q923" s="3">
        <f t="shared" ca="1" si="28"/>
        <v>45176663.217941344</v>
      </c>
      <c r="R923" s="6">
        <f t="shared" ca="1" si="29"/>
        <v>59818413.563568741</v>
      </c>
    </row>
    <row r="924" spans="1:18">
      <c r="A924" s="20">
        <v>923</v>
      </c>
      <c r="B924" s="3">
        <f ca="1">_xlfn.NORM.INV(RAND(),AVERAGE(Assumptions!$D$4,Assumptions!$F$4),(Assumptions!$F$4-Assumptions!$D$4)/3.29)*44</f>
        <v>1226356.2650501865</v>
      </c>
      <c r="C924" s="6">
        <f ca="1">_xlfn.NORM.INV(RAND(),AVERAGE(Assumptions!$D$5,Assumptions!$F$5),(Assumptions!$F$5-Assumptions!$D$5)/3.29)*44</f>
        <v>1996639.3199169803</v>
      </c>
      <c r="D924" s="9">
        <f ca="1">_xlfn.NORM.INV(RAND(),AVERAGE(Assumptions!$D$6,Assumptions!$F$6),(Assumptions!$F$6-Assumptions!$D$6)/3.29)*RANDBETWEEN(2,5)</f>
        <v>2818459.8151931521</v>
      </c>
      <c r="E924" s="12">
        <f ca="1">_xlfn.NORM.INV(RAND(),AVERAGE(Assumptions!$D$17,Assumptions!$F$17),(Assumptions!$F$17-Assumptions!$D$17)/3.29)*8</f>
        <v>809410.81439792784</v>
      </c>
      <c r="F924" s="15">
        <f ca="1">_xlfn.NORM.INV(RAND(),AVERAGE(Assumptions!$D$7,Assumptions!$F$7),(Assumptions!$F$7-Assumptions!$D$7)/3.29)*RANDBETWEEN(1,3)</f>
        <v>3054964.8348674611</v>
      </c>
      <c r="G924" s="3">
        <f ca="1">_xlfn.NORM.INV(RAND(),AVERAGE(Assumptions!$D$8,Assumptions!$F$8),(Assumptions!$F$8-Assumptions!$D$8)/3.29)*44</f>
        <v>926907.3222708411</v>
      </c>
      <c r="H924" s="6">
        <f ca="1">_xlfn.NORM.INV(RAND(),AVERAGE(Assumptions!$D$9,Assumptions!$F$9),(Assumptions!$F$9-Assumptions!$D$9)/3.29)*21</f>
        <v>5725857.8486966733</v>
      </c>
      <c r="I924" s="9">
        <f ca="1">_xlfn.NORM.INV(RAND(),AVERAGE(Assumptions!$D$10,Assumptions!$F$10),(Assumptions!$F$10-Assumptions!$D$10)/3.29)*21</f>
        <v>980725.89692447684</v>
      </c>
      <c r="J924" s="12">
        <f ca="1">NORMINV(RAND(),AVERAGE(Assumptions!$D$11,Assumptions!$F$11),(Assumptions!$F$11-Assumptions!$D$11)/3.29)*44</f>
        <v>3152252.7720531374</v>
      </c>
      <c r="K924" s="15">
        <f ca="1">_xlfn.NORM.INV(RAND(),AVERAGE(Assumptions!$D$12,Assumptions!$F$12),(Assumptions!$F$12-Assumptions!$D$12)/3.29)*44</f>
        <v>8008695.9619259499</v>
      </c>
      <c r="L924" s="3">
        <f ca="1">_xlfn.NORM.INV(RAND(),AVERAGE(Assumptions!$D$13,Assumptions!$F$13),(Assumptions!$F$13-Assumptions!$D$13)/3.29)*44</f>
        <v>17761281.028471034</v>
      </c>
      <c r="M924" s="6">
        <f ca="1">_xlfn.NORM.INV(RAND(),AVERAGE(Assumptions!$D$14,Assumptions!$F$14),(Assumptions!$F$14-Assumptions!$D$14)/3.29)*44</f>
        <v>5325515.4948896067</v>
      </c>
      <c r="N924" s="9">
        <f ca="1">_xlfn.NORM.INV(RAND(),AVERAGE(Assumptions!$D$16,Assumptions!$F$16),(Assumptions!$F$16-Assumptions!$D$16)/3.29)*44</f>
        <v>11561221.578336246</v>
      </c>
      <c r="O924" s="12">
        <f ca="1">_xlfn.NORM.INV(RAND(),AVERAGE(Assumptions!$D$15,Assumptions!$F$15),(Assumptions!$F$15-Assumptions!$D$15)/3.29)*44</f>
        <v>-18594179.549541187</v>
      </c>
      <c r="P924" s="15">
        <f>Assumptions!$D$18</f>
        <v>14641750.345627395</v>
      </c>
      <c r="Q924" s="3">
        <f t="shared" ca="1" si="28"/>
        <v>-81942468.502534866</v>
      </c>
      <c r="R924" s="6">
        <f t="shared" ca="1" si="29"/>
        <v>-67300718.156907469</v>
      </c>
    </row>
    <row r="925" spans="1:18">
      <c r="A925" s="20">
        <v>924</v>
      </c>
      <c r="B925" s="3">
        <f ca="1">_xlfn.NORM.INV(RAND(),AVERAGE(Assumptions!$D$4,Assumptions!$F$4),(Assumptions!$F$4-Assumptions!$D$4)/3.29)*44</f>
        <v>1195641.653247196</v>
      </c>
      <c r="C925" s="6">
        <f ca="1">_xlfn.NORM.INV(RAND(),AVERAGE(Assumptions!$D$5,Assumptions!$F$5),(Assumptions!$F$5-Assumptions!$D$5)/3.29)*44</f>
        <v>1819930.165352484</v>
      </c>
      <c r="D925" s="9">
        <f ca="1">_xlfn.NORM.INV(RAND(),AVERAGE(Assumptions!$D$6,Assumptions!$F$6),(Assumptions!$F$6-Assumptions!$D$6)/3.29)*RANDBETWEEN(2,5)</f>
        <v>2166389.8710287735</v>
      </c>
      <c r="E925" s="12">
        <f ca="1">_xlfn.NORM.INV(RAND(),AVERAGE(Assumptions!$D$17,Assumptions!$F$17),(Assumptions!$F$17-Assumptions!$D$17)/3.29)*8</f>
        <v>1048692.2457403347</v>
      </c>
      <c r="F925" s="15">
        <f ca="1">_xlfn.NORM.INV(RAND(),AVERAGE(Assumptions!$D$7,Assumptions!$F$7),(Assumptions!$F$7-Assumptions!$D$7)/3.29)*RANDBETWEEN(1,3)</f>
        <v>5209911.9365051445</v>
      </c>
      <c r="G925" s="3">
        <f ca="1">_xlfn.NORM.INV(RAND(),AVERAGE(Assumptions!$D$8,Assumptions!$F$8),(Assumptions!$F$8-Assumptions!$D$8)/3.29)*44</f>
        <v>1567602.3808156054</v>
      </c>
      <c r="H925" s="6">
        <f ca="1">_xlfn.NORM.INV(RAND(),AVERAGE(Assumptions!$D$9,Assumptions!$F$9),(Assumptions!$F$9-Assumptions!$D$9)/3.29)*21</f>
        <v>2567953.7034272486</v>
      </c>
      <c r="I925" s="9">
        <f ca="1">_xlfn.NORM.INV(RAND(),AVERAGE(Assumptions!$D$10,Assumptions!$F$10),(Assumptions!$F$10-Assumptions!$D$10)/3.29)*21</f>
        <v>1101328.0032188934</v>
      </c>
      <c r="J925" s="12">
        <f ca="1">NORMINV(RAND(),AVERAGE(Assumptions!$D$11,Assumptions!$F$11),(Assumptions!$F$11-Assumptions!$D$11)/3.29)*44</f>
        <v>2227240.575278705</v>
      </c>
      <c r="K925" s="15">
        <f ca="1">_xlfn.NORM.INV(RAND(),AVERAGE(Assumptions!$D$12,Assumptions!$F$12),(Assumptions!$F$12-Assumptions!$D$12)/3.29)*44</f>
        <v>8987063.2061237209</v>
      </c>
      <c r="L925" s="3">
        <f ca="1">_xlfn.NORM.INV(RAND(),AVERAGE(Assumptions!$D$13,Assumptions!$F$13),(Assumptions!$F$13-Assumptions!$D$13)/3.29)*44</f>
        <v>19974023.820176538</v>
      </c>
      <c r="M925" s="6">
        <f ca="1">_xlfn.NORM.INV(RAND(),AVERAGE(Assumptions!$D$14,Assumptions!$F$14),(Assumptions!$F$14-Assumptions!$D$14)/3.29)*44</f>
        <v>6981544.0128581263</v>
      </c>
      <c r="N925" s="9">
        <f ca="1">_xlfn.NORM.INV(RAND(),AVERAGE(Assumptions!$D$16,Assumptions!$F$16),(Assumptions!$F$16-Assumptions!$D$16)/3.29)*44</f>
        <v>7764051.3889172021</v>
      </c>
      <c r="O925" s="12">
        <f ca="1">_xlfn.NORM.INV(RAND(),AVERAGE(Assumptions!$D$15,Assumptions!$F$15),(Assumptions!$F$15-Assumptions!$D$15)/3.29)*44</f>
        <v>32203886.937502559</v>
      </c>
      <c r="P925" s="15">
        <f>Assumptions!$D$18</f>
        <v>14641750.345627395</v>
      </c>
      <c r="Q925" s="3">
        <f t="shared" ca="1" si="28"/>
        <v>-30407486.025187407</v>
      </c>
      <c r="R925" s="6">
        <f t="shared" ca="1" si="29"/>
        <v>-15765735.679560011</v>
      </c>
    </row>
    <row r="926" spans="1:18">
      <c r="A926" s="20">
        <v>925</v>
      </c>
      <c r="B926" s="3">
        <f ca="1">_xlfn.NORM.INV(RAND(),AVERAGE(Assumptions!$D$4,Assumptions!$F$4),(Assumptions!$F$4-Assumptions!$D$4)/3.29)*44</f>
        <v>1286394.4765767774</v>
      </c>
      <c r="C926" s="6">
        <f ca="1">_xlfn.NORM.INV(RAND(),AVERAGE(Assumptions!$D$5,Assumptions!$F$5),(Assumptions!$F$5-Assumptions!$D$5)/3.29)*44</f>
        <v>1711990.7871172575</v>
      </c>
      <c r="D926" s="9">
        <f ca="1">_xlfn.NORM.INV(RAND(),AVERAGE(Assumptions!$D$6,Assumptions!$F$6),(Assumptions!$F$6-Assumptions!$D$6)/3.29)*RANDBETWEEN(2,5)</f>
        <v>4042653.043544339</v>
      </c>
      <c r="E926" s="12">
        <f ca="1">_xlfn.NORM.INV(RAND(),AVERAGE(Assumptions!$D$17,Assumptions!$F$17),(Assumptions!$F$17-Assumptions!$D$17)/3.29)*8</f>
        <v>876966.49014236813</v>
      </c>
      <c r="F926" s="15">
        <f ca="1">_xlfn.NORM.INV(RAND(),AVERAGE(Assumptions!$D$7,Assumptions!$F$7),(Assumptions!$F$7-Assumptions!$D$7)/3.29)*RANDBETWEEN(1,3)</f>
        <v>5425736.5077141877</v>
      </c>
      <c r="G926" s="3">
        <f ca="1">_xlfn.NORM.INV(RAND(),AVERAGE(Assumptions!$D$8,Assumptions!$F$8),(Assumptions!$F$8-Assumptions!$D$8)/3.29)*44</f>
        <v>996065.51009493903</v>
      </c>
      <c r="H926" s="6">
        <f ca="1">_xlfn.NORM.INV(RAND(),AVERAGE(Assumptions!$D$9,Assumptions!$F$9),(Assumptions!$F$9-Assumptions!$D$9)/3.29)*21</f>
        <v>4428401.0333507871</v>
      </c>
      <c r="I926" s="9">
        <f ca="1">_xlfn.NORM.INV(RAND(),AVERAGE(Assumptions!$D$10,Assumptions!$F$10),(Assumptions!$F$10-Assumptions!$D$10)/3.29)*21</f>
        <v>842276.52629384527</v>
      </c>
      <c r="J926" s="12">
        <f ca="1">NORMINV(RAND(),AVERAGE(Assumptions!$D$11,Assumptions!$F$11),(Assumptions!$F$11-Assumptions!$D$11)/3.29)*44</f>
        <v>2872731.2248888565</v>
      </c>
      <c r="K926" s="15">
        <f ca="1">_xlfn.NORM.INV(RAND(),AVERAGE(Assumptions!$D$12,Assumptions!$F$12),(Assumptions!$F$12-Assumptions!$D$12)/3.29)*44</f>
        <v>5805828.6755279899</v>
      </c>
      <c r="L926" s="3">
        <f ca="1">_xlfn.NORM.INV(RAND(),AVERAGE(Assumptions!$D$13,Assumptions!$F$13),(Assumptions!$F$13-Assumptions!$D$13)/3.29)*44</f>
        <v>15289925.189651141</v>
      </c>
      <c r="M926" s="6">
        <f ca="1">_xlfn.NORM.INV(RAND(),AVERAGE(Assumptions!$D$14,Assumptions!$F$14),(Assumptions!$F$14-Assumptions!$D$14)/3.29)*44</f>
        <v>7646649.1772254324</v>
      </c>
      <c r="N926" s="9">
        <f ca="1">_xlfn.NORM.INV(RAND(),AVERAGE(Assumptions!$D$16,Assumptions!$F$16),(Assumptions!$F$16-Assumptions!$D$16)/3.29)*44</f>
        <v>7287093.5246032635</v>
      </c>
      <c r="O926" s="12">
        <f ca="1">_xlfn.NORM.INV(RAND(),AVERAGE(Assumptions!$D$15,Assumptions!$F$15),(Assumptions!$F$15-Assumptions!$D$15)/3.29)*44</f>
        <v>69722480.360369548</v>
      </c>
      <c r="P926" s="15">
        <f>Assumptions!$D$18</f>
        <v>14641750.345627395</v>
      </c>
      <c r="Q926" s="3">
        <f t="shared" ca="1" si="28"/>
        <v>11209768.193638362</v>
      </c>
      <c r="R926" s="6">
        <f t="shared" ca="1" si="29"/>
        <v>25851518.539265759</v>
      </c>
    </row>
    <row r="927" spans="1:18">
      <c r="A927" s="20">
        <v>926</v>
      </c>
      <c r="B927" s="3">
        <f ca="1">_xlfn.NORM.INV(RAND(),AVERAGE(Assumptions!$D$4,Assumptions!$F$4),(Assumptions!$F$4-Assumptions!$D$4)/3.29)*44</f>
        <v>1177292.4129094838</v>
      </c>
      <c r="C927" s="6">
        <f ca="1">_xlfn.NORM.INV(RAND(),AVERAGE(Assumptions!$D$5,Assumptions!$F$5),(Assumptions!$F$5-Assumptions!$D$5)/3.29)*44</f>
        <v>1960601.8071059517</v>
      </c>
      <c r="D927" s="9">
        <f ca="1">_xlfn.NORM.INV(RAND(),AVERAGE(Assumptions!$D$6,Assumptions!$F$6),(Assumptions!$F$6-Assumptions!$D$6)/3.29)*RANDBETWEEN(2,5)</f>
        <v>5330695.9554656418</v>
      </c>
      <c r="E927" s="12">
        <f ca="1">_xlfn.NORM.INV(RAND(),AVERAGE(Assumptions!$D$17,Assumptions!$F$17),(Assumptions!$F$17-Assumptions!$D$17)/3.29)*8</f>
        <v>1027013.894581452</v>
      </c>
      <c r="F927" s="15">
        <f ca="1">_xlfn.NORM.INV(RAND(),AVERAGE(Assumptions!$D$7,Assumptions!$F$7),(Assumptions!$F$7-Assumptions!$D$7)/3.29)*RANDBETWEEN(1,3)</f>
        <v>5938427.8525650036</v>
      </c>
      <c r="G927" s="3">
        <f ca="1">_xlfn.NORM.INV(RAND(),AVERAGE(Assumptions!$D$8,Assumptions!$F$8),(Assumptions!$F$8-Assumptions!$D$8)/3.29)*44</f>
        <v>937244.53122109547</v>
      </c>
      <c r="H927" s="6">
        <f ca="1">_xlfn.NORM.INV(RAND(),AVERAGE(Assumptions!$D$9,Assumptions!$F$9),(Assumptions!$F$9-Assumptions!$D$9)/3.29)*21</f>
        <v>5652177.6296930891</v>
      </c>
      <c r="I927" s="9">
        <f ca="1">_xlfn.NORM.INV(RAND(),AVERAGE(Assumptions!$D$10,Assumptions!$F$10),(Assumptions!$F$10-Assumptions!$D$10)/3.29)*21</f>
        <v>829564.82938536082</v>
      </c>
      <c r="J927" s="12">
        <f ca="1">NORMINV(RAND(),AVERAGE(Assumptions!$D$11,Assumptions!$F$11),(Assumptions!$F$11-Assumptions!$D$11)/3.29)*44</f>
        <v>3841119.4202768775</v>
      </c>
      <c r="K927" s="15">
        <f ca="1">_xlfn.NORM.INV(RAND(),AVERAGE(Assumptions!$D$12,Assumptions!$F$12),(Assumptions!$F$12-Assumptions!$D$12)/3.29)*44</f>
        <v>9764839.5917750392</v>
      </c>
      <c r="L927" s="3">
        <f ca="1">_xlfn.NORM.INV(RAND(),AVERAGE(Assumptions!$D$13,Assumptions!$F$13),(Assumptions!$F$13-Assumptions!$D$13)/3.29)*44</f>
        <v>8361153.7631766945</v>
      </c>
      <c r="M927" s="6">
        <f ca="1">_xlfn.NORM.INV(RAND(),AVERAGE(Assumptions!$D$14,Assumptions!$F$14),(Assumptions!$F$14-Assumptions!$D$14)/3.29)*44</f>
        <v>6374451.4179463098</v>
      </c>
      <c r="N927" s="9">
        <f ca="1">_xlfn.NORM.INV(RAND(),AVERAGE(Assumptions!$D$16,Assumptions!$F$16),(Assumptions!$F$16-Assumptions!$D$16)/3.29)*44</f>
        <v>5360912.4698490677</v>
      </c>
      <c r="O927" s="12">
        <f ca="1">_xlfn.NORM.INV(RAND(),AVERAGE(Assumptions!$D$15,Assumptions!$F$15),(Assumptions!$F$15-Assumptions!$D$15)/3.29)*44</f>
        <v>124585648.90882608</v>
      </c>
      <c r="P927" s="15">
        <f>Assumptions!$D$18</f>
        <v>14641750.345627395</v>
      </c>
      <c r="Q927" s="3">
        <f t="shared" ca="1" si="28"/>
        <v>68030153.332875013</v>
      </c>
      <c r="R927" s="6">
        <f t="shared" ca="1" si="29"/>
        <v>82671903.678502411</v>
      </c>
    </row>
    <row r="928" spans="1:18">
      <c r="A928" s="20">
        <v>927</v>
      </c>
      <c r="B928" s="3">
        <f ca="1">_xlfn.NORM.INV(RAND(),AVERAGE(Assumptions!$D$4,Assumptions!$F$4),(Assumptions!$F$4-Assumptions!$D$4)/3.29)*44</f>
        <v>1181992.0315881514</v>
      </c>
      <c r="C928" s="6">
        <f ca="1">_xlfn.NORM.INV(RAND(),AVERAGE(Assumptions!$D$5,Assumptions!$F$5),(Assumptions!$F$5-Assumptions!$D$5)/3.29)*44</f>
        <v>1785828.5555510733</v>
      </c>
      <c r="D928" s="9">
        <f ca="1">_xlfn.NORM.INV(RAND(),AVERAGE(Assumptions!$D$6,Assumptions!$F$6),(Assumptions!$F$6-Assumptions!$D$6)/3.29)*RANDBETWEEN(2,5)</f>
        <v>8140602.6386253424</v>
      </c>
      <c r="E928" s="12">
        <f ca="1">_xlfn.NORM.INV(RAND(),AVERAGE(Assumptions!$D$17,Assumptions!$F$17),(Assumptions!$F$17-Assumptions!$D$17)/3.29)*8</f>
        <v>940507.95775444864</v>
      </c>
      <c r="F928" s="15">
        <f ca="1">_xlfn.NORM.INV(RAND(),AVERAGE(Assumptions!$D$7,Assumptions!$F$7),(Assumptions!$F$7-Assumptions!$D$7)/3.29)*RANDBETWEEN(1,3)</f>
        <v>5246333.9142309204</v>
      </c>
      <c r="G928" s="3">
        <f ca="1">_xlfn.NORM.INV(RAND(),AVERAGE(Assumptions!$D$8,Assumptions!$F$8),(Assumptions!$F$8-Assumptions!$D$8)/3.29)*44</f>
        <v>1088332.4456966792</v>
      </c>
      <c r="H928" s="6">
        <f ca="1">_xlfn.NORM.INV(RAND(),AVERAGE(Assumptions!$D$9,Assumptions!$F$9),(Assumptions!$F$9-Assumptions!$D$9)/3.29)*21</f>
        <v>4897752.8863188596</v>
      </c>
      <c r="I928" s="9">
        <f ca="1">_xlfn.NORM.INV(RAND(),AVERAGE(Assumptions!$D$10,Assumptions!$F$10),(Assumptions!$F$10-Assumptions!$D$10)/3.29)*21</f>
        <v>1095920.8576935732</v>
      </c>
      <c r="J928" s="12">
        <f ca="1">NORMINV(RAND(),AVERAGE(Assumptions!$D$11,Assumptions!$F$11),(Assumptions!$F$11-Assumptions!$D$11)/3.29)*44</f>
        <v>3099239.5820700969</v>
      </c>
      <c r="K928" s="15">
        <f ca="1">_xlfn.NORM.INV(RAND(),AVERAGE(Assumptions!$D$12,Assumptions!$F$12),(Assumptions!$F$12-Assumptions!$D$12)/3.29)*44</f>
        <v>6938910.6305592544</v>
      </c>
      <c r="L928" s="3">
        <f ca="1">_xlfn.NORM.INV(RAND(),AVERAGE(Assumptions!$D$13,Assumptions!$F$13),(Assumptions!$F$13-Assumptions!$D$13)/3.29)*44</f>
        <v>22875302.376645643</v>
      </c>
      <c r="M928" s="6">
        <f ca="1">_xlfn.NORM.INV(RAND(),AVERAGE(Assumptions!$D$14,Assumptions!$F$14),(Assumptions!$F$14-Assumptions!$D$14)/3.29)*44</f>
        <v>6064862.5863781273</v>
      </c>
      <c r="N928" s="9">
        <f ca="1">_xlfn.NORM.INV(RAND(),AVERAGE(Assumptions!$D$16,Assumptions!$F$16),(Assumptions!$F$16-Assumptions!$D$16)/3.29)*44</f>
        <v>13452616.544656722</v>
      </c>
      <c r="O928" s="12">
        <f ca="1">_xlfn.NORM.INV(RAND(),AVERAGE(Assumptions!$D$15,Assumptions!$F$15),(Assumptions!$F$15-Assumptions!$D$15)/3.29)*44</f>
        <v>72559332.988725245</v>
      </c>
      <c r="P928" s="15">
        <f>Assumptions!$D$18</f>
        <v>14641750.345627395</v>
      </c>
      <c r="Q928" s="3">
        <f t="shared" ca="1" si="28"/>
        <v>-4248870.0190436393</v>
      </c>
      <c r="R928" s="6">
        <f t="shared" ca="1" si="29"/>
        <v>10392880.326583756</v>
      </c>
    </row>
    <row r="929" spans="1:18">
      <c r="A929" s="20">
        <v>928</v>
      </c>
      <c r="B929" s="3">
        <f ca="1">_xlfn.NORM.INV(RAND(),AVERAGE(Assumptions!$D$4,Assumptions!$F$4),(Assumptions!$F$4-Assumptions!$D$4)/3.29)*44</f>
        <v>1306156.0231385408</v>
      </c>
      <c r="C929" s="6">
        <f ca="1">_xlfn.NORM.INV(RAND(),AVERAGE(Assumptions!$D$5,Assumptions!$F$5),(Assumptions!$F$5-Assumptions!$D$5)/3.29)*44</f>
        <v>1532350.3426411904</v>
      </c>
      <c r="D929" s="9">
        <f ca="1">_xlfn.NORM.INV(RAND(),AVERAGE(Assumptions!$D$6,Assumptions!$F$6),(Assumptions!$F$6-Assumptions!$D$6)/3.29)*RANDBETWEEN(2,5)</f>
        <v>6341330.9381612567</v>
      </c>
      <c r="E929" s="12">
        <f ca="1">_xlfn.NORM.INV(RAND(),AVERAGE(Assumptions!$D$17,Assumptions!$F$17),(Assumptions!$F$17-Assumptions!$D$17)/3.29)*8</f>
        <v>911139.62635278271</v>
      </c>
      <c r="F929" s="15">
        <f ca="1">_xlfn.NORM.INV(RAND(),AVERAGE(Assumptions!$D$7,Assumptions!$F$7),(Assumptions!$F$7-Assumptions!$D$7)/3.29)*RANDBETWEEN(1,3)</f>
        <v>2738853.5950174755</v>
      </c>
      <c r="G929" s="3">
        <f ca="1">_xlfn.NORM.INV(RAND(),AVERAGE(Assumptions!$D$8,Assumptions!$F$8),(Assumptions!$F$8-Assumptions!$D$8)/3.29)*44</f>
        <v>1574921.3018094031</v>
      </c>
      <c r="H929" s="6">
        <f ca="1">_xlfn.NORM.INV(RAND(),AVERAGE(Assumptions!$D$9,Assumptions!$F$9),(Assumptions!$F$9-Assumptions!$D$9)/3.29)*21</f>
        <v>5232362.3978539417</v>
      </c>
      <c r="I929" s="9">
        <f ca="1">_xlfn.NORM.INV(RAND(),AVERAGE(Assumptions!$D$10,Assumptions!$F$10),(Assumptions!$F$10-Assumptions!$D$10)/3.29)*21</f>
        <v>702663.12170228758</v>
      </c>
      <c r="J929" s="12">
        <f ca="1">NORMINV(RAND(),AVERAGE(Assumptions!$D$11,Assumptions!$F$11),(Assumptions!$F$11-Assumptions!$D$11)/3.29)*44</f>
        <v>2711738.140735575</v>
      </c>
      <c r="K929" s="15">
        <f ca="1">_xlfn.NORM.INV(RAND(),AVERAGE(Assumptions!$D$12,Assumptions!$F$12),(Assumptions!$F$12-Assumptions!$D$12)/3.29)*44</f>
        <v>6588994.0385693507</v>
      </c>
      <c r="L929" s="3">
        <f ca="1">_xlfn.NORM.INV(RAND(),AVERAGE(Assumptions!$D$13,Assumptions!$F$13),(Assumptions!$F$13-Assumptions!$D$13)/3.29)*44</f>
        <v>9020964.798925709</v>
      </c>
      <c r="M929" s="6">
        <f ca="1">_xlfn.NORM.INV(RAND(),AVERAGE(Assumptions!$D$14,Assumptions!$F$14),(Assumptions!$F$14-Assumptions!$D$14)/3.29)*44</f>
        <v>6501847.9602802638</v>
      </c>
      <c r="N929" s="9">
        <f ca="1">_xlfn.NORM.INV(RAND(),AVERAGE(Assumptions!$D$16,Assumptions!$F$16),(Assumptions!$F$16-Assumptions!$D$16)/3.29)*44</f>
        <v>7210300.0401253803</v>
      </c>
      <c r="O929" s="12">
        <f ca="1">_xlfn.NORM.INV(RAND(),AVERAGE(Assumptions!$D$15,Assumptions!$F$15),(Assumptions!$F$15-Assumptions!$D$15)/3.29)*44</f>
        <v>134268719.81676203</v>
      </c>
      <c r="P929" s="15">
        <f>Assumptions!$D$18</f>
        <v>14641750.345627395</v>
      </c>
      <c r="Q929" s="3">
        <f t="shared" ca="1" si="28"/>
        <v>81895097.491448879</v>
      </c>
      <c r="R929" s="6">
        <f t="shared" ca="1" si="29"/>
        <v>96536847.837076277</v>
      </c>
    </row>
    <row r="930" spans="1:18">
      <c r="A930" s="20">
        <v>929</v>
      </c>
      <c r="B930" s="3">
        <f ca="1">_xlfn.NORM.INV(RAND(),AVERAGE(Assumptions!$D$4,Assumptions!$F$4),(Assumptions!$F$4-Assumptions!$D$4)/3.29)*44</f>
        <v>1215897.6165168702</v>
      </c>
      <c r="C930" s="6">
        <f ca="1">_xlfn.NORM.INV(RAND(),AVERAGE(Assumptions!$D$5,Assumptions!$F$5),(Assumptions!$F$5-Assumptions!$D$5)/3.29)*44</f>
        <v>1874428.0997709399</v>
      </c>
      <c r="D930" s="9">
        <f ca="1">_xlfn.NORM.INV(RAND(),AVERAGE(Assumptions!$D$6,Assumptions!$F$6),(Assumptions!$F$6-Assumptions!$D$6)/3.29)*RANDBETWEEN(2,5)</f>
        <v>3539793.6323947106</v>
      </c>
      <c r="E930" s="12">
        <f ca="1">_xlfn.NORM.INV(RAND(),AVERAGE(Assumptions!$D$17,Assumptions!$F$17),(Assumptions!$F$17-Assumptions!$D$17)/3.29)*8</f>
        <v>900952.74516968883</v>
      </c>
      <c r="F930" s="15">
        <f ca="1">_xlfn.NORM.INV(RAND(),AVERAGE(Assumptions!$D$7,Assumptions!$F$7),(Assumptions!$F$7-Assumptions!$D$7)/3.29)*RANDBETWEEN(1,3)</f>
        <v>8022210.6153993001</v>
      </c>
      <c r="G930" s="3">
        <f ca="1">_xlfn.NORM.INV(RAND(),AVERAGE(Assumptions!$D$8,Assumptions!$F$8),(Assumptions!$F$8-Assumptions!$D$8)/3.29)*44</f>
        <v>1381499.5639358605</v>
      </c>
      <c r="H930" s="6">
        <f ca="1">_xlfn.NORM.INV(RAND(),AVERAGE(Assumptions!$D$9,Assumptions!$F$9),(Assumptions!$F$9-Assumptions!$D$9)/3.29)*21</f>
        <v>4337294.0633849688</v>
      </c>
      <c r="I930" s="9">
        <f ca="1">_xlfn.NORM.INV(RAND(),AVERAGE(Assumptions!$D$10,Assumptions!$F$10),(Assumptions!$F$10-Assumptions!$D$10)/3.29)*21</f>
        <v>1061103.5169342957</v>
      </c>
      <c r="J930" s="12">
        <f ca="1">NORMINV(RAND(),AVERAGE(Assumptions!$D$11,Assumptions!$F$11),(Assumptions!$F$11-Assumptions!$D$11)/3.29)*44</f>
        <v>2791160.7475493685</v>
      </c>
      <c r="K930" s="15">
        <f ca="1">_xlfn.NORM.INV(RAND(),AVERAGE(Assumptions!$D$12,Assumptions!$F$12),(Assumptions!$F$12-Assumptions!$D$12)/3.29)*44</f>
        <v>9908403.5935959518</v>
      </c>
      <c r="L930" s="3">
        <f ca="1">_xlfn.NORM.INV(RAND(),AVERAGE(Assumptions!$D$13,Assumptions!$F$13),(Assumptions!$F$13-Assumptions!$D$13)/3.29)*44</f>
        <v>7099670.4395479225</v>
      </c>
      <c r="M930" s="6">
        <f ca="1">_xlfn.NORM.INV(RAND(),AVERAGE(Assumptions!$D$14,Assumptions!$F$14),(Assumptions!$F$14-Assumptions!$D$14)/3.29)*44</f>
        <v>3649414.3745103944</v>
      </c>
      <c r="N930" s="9">
        <f ca="1">_xlfn.NORM.INV(RAND(),AVERAGE(Assumptions!$D$16,Assumptions!$F$16),(Assumptions!$F$16-Assumptions!$D$16)/3.29)*44</f>
        <v>12042460.781437026</v>
      </c>
      <c r="O930" s="12">
        <f ca="1">_xlfn.NORM.INV(RAND(),AVERAGE(Assumptions!$D$15,Assumptions!$F$15),(Assumptions!$F$15-Assumptions!$D$15)/3.29)*44</f>
        <v>108397478.04037428</v>
      </c>
      <c r="P930" s="15">
        <f>Assumptions!$D$18</f>
        <v>14641750.345627395</v>
      </c>
      <c r="Q930" s="3">
        <f t="shared" ca="1" si="28"/>
        <v>50573188.250226982</v>
      </c>
      <c r="R930" s="6">
        <f t="shared" ca="1" si="29"/>
        <v>65214938.595854379</v>
      </c>
    </row>
    <row r="931" spans="1:18">
      <c r="A931" s="20">
        <v>930</v>
      </c>
      <c r="B931" s="3">
        <f ca="1">_xlfn.NORM.INV(RAND(),AVERAGE(Assumptions!$D$4,Assumptions!$F$4),(Assumptions!$F$4-Assumptions!$D$4)/3.29)*44</f>
        <v>1302618.2415797543</v>
      </c>
      <c r="C931" s="6">
        <f ca="1">_xlfn.NORM.INV(RAND(),AVERAGE(Assumptions!$D$5,Assumptions!$F$5),(Assumptions!$F$5-Assumptions!$D$5)/3.29)*44</f>
        <v>1752898.788375611</v>
      </c>
      <c r="D931" s="9">
        <f ca="1">_xlfn.NORM.INV(RAND(),AVERAGE(Assumptions!$D$6,Assumptions!$F$6),(Assumptions!$F$6-Assumptions!$D$6)/3.29)*RANDBETWEEN(2,5)</f>
        <v>4478694.5217461959</v>
      </c>
      <c r="E931" s="12">
        <f ca="1">_xlfn.NORM.INV(RAND(),AVERAGE(Assumptions!$D$17,Assumptions!$F$17),(Assumptions!$F$17-Assumptions!$D$17)/3.29)*8</f>
        <v>1154328.3335031043</v>
      </c>
      <c r="F931" s="15">
        <f ca="1">_xlfn.NORM.INV(RAND(),AVERAGE(Assumptions!$D$7,Assumptions!$F$7),(Assumptions!$F$7-Assumptions!$D$7)/3.29)*RANDBETWEEN(1,3)</f>
        <v>6810416.3961459333</v>
      </c>
      <c r="G931" s="3">
        <f ca="1">_xlfn.NORM.INV(RAND(),AVERAGE(Assumptions!$D$8,Assumptions!$F$8),(Assumptions!$F$8-Assumptions!$D$8)/3.29)*44</f>
        <v>1083153.6703838152</v>
      </c>
      <c r="H931" s="6">
        <f ca="1">_xlfn.NORM.INV(RAND(),AVERAGE(Assumptions!$D$9,Assumptions!$F$9),(Assumptions!$F$9-Assumptions!$D$9)/3.29)*21</f>
        <v>4106008.3304472798</v>
      </c>
      <c r="I931" s="9">
        <f ca="1">_xlfn.NORM.INV(RAND(),AVERAGE(Assumptions!$D$10,Assumptions!$F$10),(Assumptions!$F$10-Assumptions!$D$10)/3.29)*21</f>
        <v>721981.89400399406</v>
      </c>
      <c r="J931" s="12">
        <f ca="1">NORMINV(RAND(),AVERAGE(Assumptions!$D$11,Assumptions!$F$11),(Assumptions!$F$11-Assumptions!$D$11)/3.29)*44</f>
        <v>1934097.1162261567</v>
      </c>
      <c r="K931" s="15">
        <f ca="1">_xlfn.NORM.INV(RAND(),AVERAGE(Assumptions!$D$12,Assumptions!$F$12),(Assumptions!$F$12-Assumptions!$D$12)/3.29)*44</f>
        <v>8867016.711175682</v>
      </c>
      <c r="L931" s="3">
        <f ca="1">_xlfn.NORM.INV(RAND(),AVERAGE(Assumptions!$D$13,Assumptions!$F$13),(Assumptions!$F$13-Assumptions!$D$13)/3.29)*44</f>
        <v>19173607.19061555</v>
      </c>
      <c r="M931" s="6">
        <f ca="1">_xlfn.NORM.INV(RAND(),AVERAGE(Assumptions!$D$14,Assumptions!$F$14),(Assumptions!$F$14-Assumptions!$D$14)/3.29)*44</f>
        <v>5136954.0265511591</v>
      </c>
      <c r="N931" s="9">
        <f ca="1">_xlfn.NORM.INV(RAND(),AVERAGE(Assumptions!$D$16,Assumptions!$F$16),(Assumptions!$F$16-Assumptions!$D$16)/3.29)*44</f>
        <v>5222498.3631327059</v>
      </c>
      <c r="O931" s="12">
        <f ca="1">_xlfn.NORM.INV(RAND(),AVERAGE(Assumptions!$D$15,Assumptions!$F$15),(Assumptions!$F$15-Assumptions!$D$15)/3.29)*44</f>
        <v>143032687.91352481</v>
      </c>
      <c r="P931" s="15">
        <f>Assumptions!$D$18</f>
        <v>14641750.345627395</v>
      </c>
      <c r="Q931" s="3">
        <f t="shared" ca="1" si="28"/>
        <v>81288414.32963787</v>
      </c>
      <c r="R931" s="6">
        <f t="shared" ca="1" si="29"/>
        <v>95930164.675265267</v>
      </c>
    </row>
    <row r="932" spans="1:18">
      <c r="A932" s="20">
        <v>931</v>
      </c>
      <c r="B932" s="3">
        <f ca="1">_xlfn.NORM.INV(RAND(),AVERAGE(Assumptions!$D$4,Assumptions!$F$4),(Assumptions!$F$4-Assumptions!$D$4)/3.29)*44</f>
        <v>1165698.9369119864</v>
      </c>
      <c r="C932" s="6">
        <f ca="1">_xlfn.NORM.INV(RAND(),AVERAGE(Assumptions!$D$5,Assumptions!$F$5),(Assumptions!$F$5-Assumptions!$D$5)/3.29)*44</f>
        <v>2019436.1014202761</v>
      </c>
      <c r="D932" s="9">
        <f ca="1">_xlfn.NORM.INV(RAND(),AVERAGE(Assumptions!$D$6,Assumptions!$F$6),(Assumptions!$F$6-Assumptions!$D$6)/3.29)*RANDBETWEEN(2,5)</f>
        <v>1170826.0393030678</v>
      </c>
      <c r="E932" s="12">
        <f ca="1">_xlfn.NORM.INV(RAND(),AVERAGE(Assumptions!$D$17,Assumptions!$F$17),(Assumptions!$F$17-Assumptions!$D$17)/3.29)*8</f>
        <v>905090.2417461864</v>
      </c>
      <c r="F932" s="15">
        <f ca="1">_xlfn.NORM.INV(RAND(),AVERAGE(Assumptions!$D$7,Assumptions!$F$7),(Assumptions!$F$7-Assumptions!$D$7)/3.29)*RANDBETWEEN(1,3)</f>
        <v>9337855.1111090146</v>
      </c>
      <c r="G932" s="3">
        <f ca="1">_xlfn.NORM.INV(RAND(),AVERAGE(Assumptions!$D$8,Assumptions!$F$8),(Assumptions!$F$8-Assumptions!$D$8)/3.29)*44</f>
        <v>1079049.9243701776</v>
      </c>
      <c r="H932" s="6">
        <f ca="1">_xlfn.NORM.INV(RAND(),AVERAGE(Assumptions!$D$9,Assumptions!$F$9),(Assumptions!$F$9-Assumptions!$D$9)/3.29)*21</f>
        <v>3082190.4410709385</v>
      </c>
      <c r="I932" s="9">
        <f ca="1">_xlfn.NORM.INV(RAND(),AVERAGE(Assumptions!$D$10,Assumptions!$F$10),(Assumptions!$F$10-Assumptions!$D$10)/3.29)*21</f>
        <v>979619.74809681135</v>
      </c>
      <c r="J932" s="12">
        <f ca="1">NORMINV(RAND(),AVERAGE(Assumptions!$D$11,Assumptions!$F$11),(Assumptions!$F$11-Assumptions!$D$11)/3.29)*44</f>
        <v>4539227.2634343952</v>
      </c>
      <c r="K932" s="15">
        <f ca="1">_xlfn.NORM.INV(RAND(),AVERAGE(Assumptions!$D$12,Assumptions!$F$12),(Assumptions!$F$12-Assumptions!$D$12)/3.29)*44</f>
        <v>7069634.8920305707</v>
      </c>
      <c r="L932" s="3">
        <f ca="1">_xlfn.NORM.INV(RAND(),AVERAGE(Assumptions!$D$13,Assumptions!$F$13),(Assumptions!$F$13-Assumptions!$D$13)/3.29)*44</f>
        <v>20872136.859201659</v>
      </c>
      <c r="M932" s="6">
        <f ca="1">_xlfn.NORM.INV(RAND(),AVERAGE(Assumptions!$D$14,Assumptions!$F$14),(Assumptions!$F$14-Assumptions!$D$14)/3.29)*44</f>
        <v>6448873.1115454976</v>
      </c>
      <c r="N932" s="9">
        <f ca="1">_xlfn.NORM.INV(RAND(),AVERAGE(Assumptions!$D$16,Assumptions!$F$16),(Assumptions!$F$16-Assumptions!$D$16)/3.29)*44</f>
        <v>8960130.8750624415</v>
      </c>
      <c r="O932" s="12">
        <f ca="1">_xlfn.NORM.INV(RAND(),AVERAGE(Assumptions!$D$15,Assumptions!$F$15),(Assumptions!$F$15-Assumptions!$D$15)/3.29)*44</f>
        <v>78303643.393101856</v>
      </c>
      <c r="P932" s="15">
        <f>Assumptions!$D$18</f>
        <v>14641750.345627395</v>
      </c>
      <c r="Q932" s="3">
        <f t="shared" ca="1" si="28"/>
        <v>10673873.847798839</v>
      </c>
      <c r="R932" s="6">
        <f t="shared" ca="1" si="29"/>
        <v>25315624.193426237</v>
      </c>
    </row>
    <row r="933" spans="1:18">
      <c r="A933" s="20">
        <v>932</v>
      </c>
      <c r="B933" s="3">
        <f ca="1">_xlfn.NORM.INV(RAND(),AVERAGE(Assumptions!$D$4,Assumptions!$F$4),(Assumptions!$F$4-Assumptions!$D$4)/3.29)*44</f>
        <v>1108349.1082277473</v>
      </c>
      <c r="C933" s="6">
        <f ca="1">_xlfn.NORM.INV(RAND(),AVERAGE(Assumptions!$D$5,Assumptions!$F$5),(Assumptions!$F$5-Assumptions!$D$5)/3.29)*44</f>
        <v>2135570.9732639156</v>
      </c>
      <c r="D933" s="9">
        <f ca="1">_xlfn.NORM.INV(RAND(),AVERAGE(Assumptions!$D$6,Assumptions!$F$6),(Assumptions!$F$6-Assumptions!$D$6)/3.29)*RANDBETWEEN(2,5)</f>
        <v>2763218.6512516066</v>
      </c>
      <c r="E933" s="12">
        <f ca="1">_xlfn.NORM.INV(RAND(),AVERAGE(Assumptions!$D$17,Assumptions!$F$17),(Assumptions!$F$17-Assumptions!$D$17)/3.29)*8</f>
        <v>974731.37344339385</v>
      </c>
      <c r="F933" s="15">
        <f ca="1">_xlfn.NORM.INV(RAND(),AVERAGE(Assumptions!$D$7,Assumptions!$F$7),(Assumptions!$F$7-Assumptions!$D$7)/3.29)*RANDBETWEEN(1,3)</f>
        <v>2845557.5954196178</v>
      </c>
      <c r="G933" s="3">
        <f ca="1">_xlfn.NORM.INV(RAND(),AVERAGE(Assumptions!$D$8,Assumptions!$F$8),(Assumptions!$F$8-Assumptions!$D$8)/3.29)*44</f>
        <v>852814.62865738501</v>
      </c>
      <c r="H933" s="6">
        <f ca="1">_xlfn.NORM.INV(RAND(),AVERAGE(Assumptions!$D$9,Assumptions!$F$9),(Assumptions!$F$9-Assumptions!$D$9)/3.29)*21</f>
        <v>4393838.2311829925</v>
      </c>
      <c r="I933" s="9">
        <f ca="1">_xlfn.NORM.INV(RAND(),AVERAGE(Assumptions!$D$10,Assumptions!$F$10),(Assumptions!$F$10-Assumptions!$D$10)/3.29)*21</f>
        <v>1024238.098488413</v>
      </c>
      <c r="J933" s="12">
        <f ca="1">NORMINV(RAND(),AVERAGE(Assumptions!$D$11,Assumptions!$F$11),(Assumptions!$F$11-Assumptions!$D$11)/3.29)*44</f>
        <v>4937973.0896650907</v>
      </c>
      <c r="K933" s="15">
        <f ca="1">_xlfn.NORM.INV(RAND(),AVERAGE(Assumptions!$D$12,Assumptions!$F$12),(Assumptions!$F$12-Assumptions!$D$12)/3.29)*44</f>
        <v>8423407.7256850619</v>
      </c>
      <c r="L933" s="3">
        <f ca="1">_xlfn.NORM.INV(RAND(),AVERAGE(Assumptions!$D$13,Assumptions!$F$13),(Assumptions!$F$13-Assumptions!$D$13)/3.29)*44</f>
        <v>12132597.313177641</v>
      </c>
      <c r="M933" s="6">
        <f ca="1">_xlfn.NORM.INV(RAND(),AVERAGE(Assumptions!$D$14,Assumptions!$F$14),(Assumptions!$F$14-Assumptions!$D$14)/3.29)*44</f>
        <v>7132191.3910635374</v>
      </c>
      <c r="N933" s="9">
        <f ca="1">_xlfn.NORM.INV(RAND(),AVERAGE(Assumptions!$D$16,Assumptions!$F$16),(Assumptions!$F$16-Assumptions!$D$16)/3.29)*44</f>
        <v>7764711.138570508</v>
      </c>
      <c r="O933" s="12">
        <f ca="1">_xlfn.NORM.INV(RAND(),AVERAGE(Assumptions!$D$15,Assumptions!$F$15),(Assumptions!$F$15-Assumptions!$D$15)/3.29)*44</f>
        <v>118601448.83402067</v>
      </c>
      <c r="P933" s="15">
        <f>Assumptions!$D$18</f>
        <v>14641750.345627395</v>
      </c>
      <c r="Q933" s="3">
        <f t="shared" ca="1" si="28"/>
        <v>62112249.515923761</v>
      </c>
      <c r="R933" s="6">
        <f t="shared" ca="1" si="29"/>
        <v>76753999.861551151</v>
      </c>
    </row>
    <row r="934" spans="1:18">
      <c r="A934" s="20">
        <v>933</v>
      </c>
      <c r="B934" s="3">
        <f ca="1">_xlfn.NORM.INV(RAND(),AVERAGE(Assumptions!$D$4,Assumptions!$F$4),(Assumptions!$F$4-Assumptions!$D$4)/3.29)*44</f>
        <v>1194282.1883688227</v>
      </c>
      <c r="C934" s="6">
        <f ca="1">_xlfn.NORM.INV(RAND(),AVERAGE(Assumptions!$D$5,Assumptions!$F$5),(Assumptions!$F$5-Assumptions!$D$5)/3.29)*44</f>
        <v>1585090.6595563134</v>
      </c>
      <c r="D934" s="9">
        <f ca="1">_xlfn.NORM.INV(RAND(),AVERAGE(Assumptions!$D$6,Assumptions!$F$6),(Assumptions!$F$6-Assumptions!$D$6)/3.29)*RANDBETWEEN(2,5)</f>
        <v>2862325.1564573757</v>
      </c>
      <c r="E934" s="12">
        <f ca="1">_xlfn.NORM.INV(RAND(),AVERAGE(Assumptions!$D$17,Assumptions!$F$17),(Assumptions!$F$17-Assumptions!$D$17)/3.29)*8</f>
        <v>847087.72971278755</v>
      </c>
      <c r="F934" s="15">
        <f ca="1">_xlfn.NORM.INV(RAND(),AVERAGE(Assumptions!$D$7,Assumptions!$F$7),(Assumptions!$F$7-Assumptions!$D$7)/3.29)*RANDBETWEEN(1,3)</f>
        <v>7624190.8105253661</v>
      </c>
      <c r="G934" s="3">
        <f ca="1">_xlfn.NORM.INV(RAND(),AVERAGE(Assumptions!$D$8,Assumptions!$F$8),(Assumptions!$F$8-Assumptions!$D$8)/3.29)*44</f>
        <v>1063310.8974638442</v>
      </c>
      <c r="H934" s="6">
        <f ca="1">_xlfn.NORM.INV(RAND(),AVERAGE(Assumptions!$D$9,Assumptions!$F$9),(Assumptions!$F$9-Assumptions!$D$9)/3.29)*21</f>
        <v>5344762.2269723089</v>
      </c>
      <c r="I934" s="9">
        <f ca="1">_xlfn.NORM.INV(RAND(),AVERAGE(Assumptions!$D$10,Assumptions!$F$10),(Assumptions!$F$10-Assumptions!$D$10)/3.29)*21</f>
        <v>875898.28075318178</v>
      </c>
      <c r="J934" s="12">
        <f ca="1">NORMINV(RAND(),AVERAGE(Assumptions!$D$11,Assumptions!$F$11),(Assumptions!$F$11-Assumptions!$D$11)/3.29)*44</f>
        <v>2476133.4089978128</v>
      </c>
      <c r="K934" s="15">
        <f ca="1">_xlfn.NORM.INV(RAND(),AVERAGE(Assumptions!$D$12,Assumptions!$F$12),(Assumptions!$F$12-Assumptions!$D$12)/3.29)*44</f>
        <v>10044222.620596001</v>
      </c>
      <c r="L934" s="3">
        <f ca="1">_xlfn.NORM.INV(RAND(),AVERAGE(Assumptions!$D$13,Assumptions!$F$13),(Assumptions!$F$13-Assumptions!$D$13)/3.29)*44</f>
        <v>6909065.3773182491</v>
      </c>
      <c r="M934" s="6">
        <f ca="1">_xlfn.NORM.INV(RAND(),AVERAGE(Assumptions!$D$14,Assumptions!$F$14),(Assumptions!$F$14-Assumptions!$D$14)/3.29)*44</f>
        <v>5171684.8546059942</v>
      </c>
      <c r="N934" s="9">
        <f ca="1">_xlfn.NORM.INV(RAND(),AVERAGE(Assumptions!$D$16,Assumptions!$F$16),(Assumptions!$F$16-Assumptions!$D$16)/3.29)*44</f>
        <v>8821986.0709298234</v>
      </c>
      <c r="O934" s="12">
        <f ca="1">_xlfn.NORM.INV(RAND(),AVERAGE(Assumptions!$D$15,Assumptions!$F$15),(Assumptions!$F$15-Assumptions!$D$15)/3.29)*44</f>
        <v>56962158.765029185</v>
      </c>
      <c r="P934" s="15">
        <f>Assumptions!$D$18</f>
        <v>14641750.345627395</v>
      </c>
      <c r="Q934" s="3">
        <f t="shared" ca="1" si="28"/>
        <v>2142118.4827713072</v>
      </c>
      <c r="R934" s="6">
        <f t="shared" ca="1" si="29"/>
        <v>16783868.828398705</v>
      </c>
    </row>
    <row r="935" spans="1:18">
      <c r="A935" s="20">
        <v>934</v>
      </c>
      <c r="B935" s="3">
        <f ca="1">_xlfn.NORM.INV(RAND(),AVERAGE(Assumptions!$D$4,Assumptions!$F$4),(Assumptions!$F$4-Assumptions!$D$4)/3.29)*44</f>
        <v>1180563.9651412747</v>
      </c>
      <c r="C935" s="6">
        <f ca="1">_xlfn.NORM.INV(RAND(),AVERAGE(Assumptions!$D$5,Assumptions!$F$5),(Assumptions!$F$5-Assumptions!$D$5)/3.29)*44</f>
        <v>1842700.0711773783</v>
      </c>
      <c r="D935" s="9">
        <f ca="1">_xlfn.NORM.INV(RAND(),AVERAGE(Assumptions!$D$6,Assumptions!$F$6),(Assumptions!$F$6-Assumptions!$D$6)/3.29)*RANDBETWEEN(2,5)</f>
        <v>6324734.316208424</v>
      </c>
      <c r="E935" s="12">
        <f ca="1">_xlfn.NORM.INV(RAND(),AVERAGE(Assumptions!$D$17,Assumptions!$F$17),(Assumptions!$F$17-Assumptions!$D$17)/3.29)*8</f>
        <v>904806.42260472965</v>
      </c>
      <c r="F935" s="15">
        <f ca="1">_xlfn.NORM.INV(RAND(),AVERAGE(Assumptions!$D$7,Assumptions!$F$7),(Assumptions!$F$7-Assumptions!$D$7)/3.29)*RANDBETWEEN(1,3)</f>
        <v>2643640.4727036841</v>
      </c>
      <c r="G935" s="3">
        <f ca="1">_xlfn.NORM.INV(RAND(),AVERAGE(Assumptions!$D$8,Assumptions!$F$8),(Assumptions!$F$8-Assumptions!$D$8)/3.29)*44</f>
        <v>1165634.2724977378</v>
      </c>
      <c r="H935" s="6">
        <f ca="1">_xlfn.NORM.INV(RAND(),AVERAGE(Assumptions!$D$9,Assumptions!$F$9),(Assumptions!$F$9-Assumptions!$D$9)/3.29)*21</f>
        <v>5065631.2722692993</v>
      </c>
      <c r="I935" s="9">
        <f ca="1">_xlfn.NORM.INV(RAND(),AVERAGE(Assumptions!$D$10,Assumptions!$F$10),(Assumptions!$F$10-Assumptions!$D$10)/3.29)*21</f>
        <v>748458.02857988421</v>
      </c>
      <c r="J935" s="12">
        <f ca="1">NORMINV(RAND(),AVERAGE(Assumptions!$D$11,Assumptions!$F$11),(Assumptions!$F$11-Assumptions!$D$11)/3.29)*44</f>
        <v>3205304.3750576107</v>
      </c>
      <c r="K935" s="15">
        <f ca="1">_xlfn.NORM.INV(RAND(),AVERAGE(Assumptions!$D$12,Assumptions!$F$12),(Assumptions!$F$12-Assumptions!$D$12)/3.29)*44</f>
        <v>9812125.3685730845</v>
      </c>
      <c r="L935" s="3">
        <f ca="1">_xlfn.NORM.INV(RAND(),AVERAGE(Assumptions!$D$13,Assumptions!$F$13),(Assumptions!$F$13-Assumptions!$D$13)/3.29)*44</f>
        <v>11662712.120810134</v>
      </c>
      <c r="M935" s="6">
        <f ca="1">_xlfn.NORM.INV(RAND(),AVERAGE(Assumptions!$D$14,Assumptions!$F$14),(Assumptions!$F$14-Assumptions!$D$14)/3.29)*44</f>
        <v>5927521.4224087466</v>
      </c>
      <c r="N935" s="9">
        <f ca="1">_xlfn.NORM.INV(RAND(),AVERAGE(Assumptions!$D$16,Assumptions!$F$16),(Assumptions!$F$16-Assumptions!$D$16)/3.29)*44</f>
        <v>4658768.9775836235</v>
      </c>
      <c r="O935" s="12">
        <f ca="1">_xlfn.NORM.INV(RAND(),AVERAGE(Assumptions!$D$15,Assumptions!$F$15),(Assumptions!$F$15-Assumptions!$D$15)/3.29)*44</f>
        <v>173020637.7006475</v>
      </c>
      <c r="P935" s="15">
        <f>Assumptions!$D$18</f>
        <v>14641750.345627395</v>
      </c>
      <c r="Q935" s="3">
        <f t="shared" ca="1" si="28"/>
        <v>117878036.6150319</v>
      </c>
      <c r="R935" s="6">
        <f t="shared" ca="1" si="29"/>
        <v>132519786.9606593</v>
      </c>
    </row>
    <row r="936" spans="1:18">
      <c r="A936" s="20">
        <v>935</v>
      </c>
      <c r="B936" s="3">
        <f ca="1">_xlfn.NORM.INV(RAND(),AVERAGE(Assumptions!$D$4,Assumptions!$F$4),(Assumptions!$F$4-Assumptions!$D$4)/3.29)*44</f>
        <v>1332807.9941358394</v>
      </c>
      <c r="C936" s="6">
        <f ca="1">_xlfn.NORM.INV(RAND(),AVERAGE(Assumptions!$D$5,Assumptions!$F$5),(Assumptions!$F$5-Assumptions!$D$5)/3.29)*44</f>
        <v>1831584.2867191408</v>
      </c>
      <c r="D936" s="9">
        <f ca="1">_xlfn.NORM.INV(RAND(),AVERAGE(Assumptions!$D$6,Assumptions!$F$6),(Assumptions!$F$6-Assumptions!$D$6)/3.29)*RANDBETWEEN(2,5)</f>
        <v>2804760.4270020649</v>
      </c>
      <c r="E936" s="12">
        <f ca="1">_xlfn.NORM.INV(RAND(),AVERAGE(Assumptions!$D$17,Assumptions!$F$17),(Assumptions!$F$17-Assumptions!$D$17)/3.29)*8</f>
        <v>957282.79043604131</v>
      </c>
      <c r="F936" s="15">
        <f ca="1">_xlfn.NORM.INV(RAND(),AVERAGE(Assumptions!$D$7,Assumptions!$F$7),(Assumptions!$F$7-Assumptions!$D$7)/3.29)*RANDBETWEEN(1,3)</f>
        <v>3059513.298149311</v>
      </c>
      <c r="G936" s="3">
        <f ca="1">_xlfn.NORM.INV(RAND(),AVERAGE(Assumptions!$D$8,Assumptions!$F$8),(Assumptions!$F$8-Assumptions!$D$8)/3.29)*44</f>
        <v>1677235.910623831</v>
      </c>
      <c r="H936" s="6">
        <f ca="1">_xlfn.NORM.INV(RAND(),AVERAGE(Assumptions!$D$9,Assumptions!$F$9),(Assumptions!$F$9-Assumptions!$D$9)/3.29)*21</f>
        <v>4417091.8839124059</v>
      </c>
      <c r="I936" s="9">
        <f ca="1">_xlfn.NORM.INV(RAND(),AVERAGE(Assumptions!$D$10,Assumptions!$F$10),(Assumptions!$F$10-Assumptions!$D$10)/3.29)*21</f>
        <v>1124989.0923219933</v>
      </c>
      <c r="J936" s="12">
        <f ca="1">NORMINV(RAND(),AVERAGE(Assumptions!$D$11,Assumptions!$F$11),(Assumptions!$F$11-Assumptions!$D$11)/3.29)*44</f>
        <v>4762555.5997271482</v>
      </c>
      <c r="K936" s="15">
        <f ca="1">_xlfn.NORM.INV(RAND(),AVERAGE(Assumptions!$D$12,Assumptions!$F$12),(Assumptions!$F$12-Assumptions!$D$12)/3.29)*44</f>
        <v>10068919.964813914</v>
      </c>
      <c r="L936" s="3">
        <f ca="1">_xlfn.NORM.INV(RAND(),AVERAGE(Assumptions!$D$13,Assumptions!$F$13),(Assumptions!$F$13-Assumptions!$D$13)/3.29)*44</f>
        <v>4246960.3621295402</v>
      </c>
      <c r="M936" s="6">
        <f ca="1">_xlfn.NORM.INV(RAND(),AVERAGE(Assumptions!$D$14,Assumptions!$F$14),(Assumptions!$F$14-Assumptions!$D$14)/3.29)*44</f>
        <v>4671270.7594857402</v>
      </c>
      <c r="N936" s="9">
        <f ca="1">_xlfn.NORM.INV(RAND(),AVERAGE(Assumptions!$D$16,Assumptions!$F$16),(Assumptions!$F$16-Assumptions!$D$16)/3.29)*44</f>
        <v>22014809.282328852</v>
      </c>
      <c r="O936" s="12">
        <f ca="1">_xlfn.NORM.INV(RAND(),AVERAGE(Assumptions!$D$15,Assumptions!$F$15),(Assumptions!$F$15-Assumptions!$D$15)/3.29)*44</f>
        <v>43240019.844028287</v>
      </c>
      <c r="P936" s="15">
        <f>Assumptions!$D$18</f>
        <v>14641750.345627395</v>
      </c>
      <c r="Q936" s="3">
        <f t="shared" ca="1" si="28"/>
        <v>-19729761.807757542</v>
      </c>
      <c r="R936" s="6">
        <f t="shared" ca="1" si="29"/>
        <v>-5088011.4621301461</v>
      </c>
    </row>
    <row r="937" spans="1:18">
      <c r="A937" s="20">
        <v>936</v>
      </c>
      <c r="B937" s="3">
        <f ca="1">_xlfn.NORM.INV(RAND(),AVERAGE(Assumptions!$D$4,Assumptions!$F$4),(Assumptions!$F$4-Assumptions!$D$4)/3.29)*44</f>
        <v>1244791.9135105291</v>
      </c>
      <c r="C937" s="6">
        <f ca="1">_xlfn.NORM.INV(RAND(),AVERAGE(Assumptions!$D$5,Assumptions!$F$5),(Assumptions!$F$5-Assumptions!$D$5)/3.29)*44</f>
        <v>1959316.7123928901</v>
      </c>
      <c r="D937" s="9">
        <f ca="1">_xlfn.NORM.INV(RAND(),AVERAGE(Assumptions!$D$6,Assumptions!$F$6),(Assumptions!$F$6-Assumptions!$D$6)/3.29)*RANDBETWEEN(2,5)</f>
        <v>312631.30448944028</v>
      </c>
      <c r="E937" s="12">
        <f ca="1">_xlfn.NORM.INV(RAND(),AVERAGE(Assumptions!$D$17,Assumptions!$F$17),(Assumptions!$F$17-Assumptions!$D$17)/3.29)*8</f>
        <v>1087584.2827586038</v>
      </c>
      <c r="F937" s="15">
        <f ca="1">_xlfn.NORM.INV(RAND(),AVERAGE(Assumptions!$D$7,Assumptions!$F$7),(Assumptions!$F$7-Assumptions!$D$7)/3.29)*RANDBETWEEN(1,3)</f>
        <v>2835325.0210561114</v>
      </c>
      <c r="G937" s="3">
        <f ca="1">_xlfn.NORM.INV(RAND(),AVERAGE(Assumptions!$D$8,Assumptions!$F$8),(Assumptions!$F$8-Assumptions!$D$8)/3.29)*44</f>
        <v>1033183.4383916084</v>
      </c>
      <c r="H937" s="6">
        <f ca="1">_xlfn.NORM.INV(RAND(),AVERAGE(Assumptions!$D$9,Assumptions!$F$9),(Assumptions!$F$9-Assumptions!$D$9)/3.29)*21</f>
        <v>4838898.467227811</v>
      </c>
      <c r="I937" s="9">
        <f ca="1">_xlfn.NORM.INV(RAND(),AVERAGE(Assumptions!$D$10,Assumptions!$F$10),(Assumptions!$F$10-Assumptions!$D$10)/3.29)*21</f>
        <v>551084.42803427915</v>
      </c>
      <c r="J937" s="12">
        <f ca="1">NORMINV(RAND(),AVERAGE(Assumptions!$D$11,Assumptions!$F$11),(Assumptions!$F$11-Assumptions!$D$11)/3.29)*44</f>
        <v>4821739.4963273872</v>
      </c>
      <c r="K937" s="15">
        <f ca="1">_xlfn.NORM.INV(RAND(),AVERAGE(Assumptions!$D$12,Assumptions!$F$12),(Assumptions!$F$12-Assumptions!$D$12)/3.29)*44</f>
        <v>8162694.742458215</v>
      </c>
      <c r="L937" s="3">
        <f ca="1">_xlfn.NORM.INV(RAND(),AVERAGE(Assumptions!$D$13,Assumptions!$F$13),(Assumptions!$F$13-Assumptions!$D$13)/3.29)*44</f>
        <v>9784619.4268970191</v>
      </c>
      <c r="M937" s="6">
        <f ca="1">_xlfn.NORM.INV(RAND(),AVERAGE(Assumptions!$D$14,Assumptions!$F$14),(Assumptions!$F$14-Assumptions!$D$14)/3.29)*44</f>
        <v>7323391.1641617641</v>
      </c>
      <c r="N937" s="9">
        <f ca="1">_xlfn.NORM.INV(RAND(),AVERAGE(Assumptions!$D$16,Assumptions!$F$16),(Assumptions!$F$16-Assumptions!$D$16)/3.29)*44</f>
        <v>6281433.7019994278</v>
      </c>
      <c r="O937" s="12">
        <f ca="1">_xlfn.NORM.INV(RAND(),AVERAGE(Assumptions!$D$15,Assumptions!$F$15),(Assumptions!$F$15-Assumptions!$D$15)/3.29)*44</f>
        <v>139384706.59626964</v>
      </c>
      <c r="P937" s="15">
        <f>Assumptions!$D$18</f>
        <v>14641750.345627395</v>
      </c>
      <c r="Q937" s="3">
        <f t="shared" ca="1" si="28"/>
        <v>89148012.496564552</v>
      </c>
      <c r="R937" s="6">
        <f t="shared" ca="1" si="29"/>
        <v>103789762.84219195</v>
      </c>
    </row>
    <row r="938" spans="1:18">
      <c r="A938" s="20">
        <v>937</v>
      </c>
      <c r="B938" s="3">
        <f ca="1">_xlfn.NORM.INV(RAND(),AVERAGE(Assumptions!$D$4,Assumptions!$F$4),(Assumptions!$F$4-Assumptions!$D$4)/3.29)*44</f>
        <v>1289315.1070199204</v>
      </c>
      <c r="C938" s="6">
        <f ca="1">_xlfn.NORM.INV(RAND(),AVERAGE(Assumptions!$D$5,Assumptions!$F$5),(Assumptions!$F$5-Assumptions!$D$5)/3.29)*44</f>
        <v>1958836.9801752868</v>
      </c>
      <c r="D938" s="9">
        <f ca="1">_xlfn.NORM.INV(RAND(),AVERAGE(Assumptions!$D$6,Assumptions!$F$6),(Assumptions!$F$6-Assumptions!$D$6)/3.29)*RANDBETWEEN(2,5)</f>
        <v>9819134.2394866385</v>
      </c>
      <c r="E938" s="12">
        <f ca="1">_xlfn.NORM.INV(RAND(),AVERAGE(Assumptions!$D$17,Assumptions!$F$17),(Assumptions!$F$17-Assumptions!$D$17)/3.29)*8</f>
        <v>1161956.1349946584</v>
      </c>
      <c r="F938" s="15">
        <f ca="1">_xlfn.NORM.INV(RAND(),AVERAGE(Assumptions!$D$7,Assumptions!$F$7),(Assumptions!$F$7-Assumptions!$D$7)/3.29)*RANDBETWEEN(1,3)</f>
        <v>8817617.7806617245</v>
      </c>
      <c r="G938" s="3">
        <f ca="1">_xlfn.NORM.INV(RAND(),AVERAGE(Assumptions!$D$8,Assumptions!$F$8),(Assumptions!$F$8-Assumptions!$D$8)/3.29)*44</f>
        <v>1104796.7057430949</v>
      </c>
      <c r="H938" s="6">
        <f ca="1">_xlfn.NORM.INV(RAND(),AVERAGE(Assumptions!$D$9,Assumptions!$F$9),(Assumptions!$F$9-Assumptions!$D$9)/3.29)*21</f>
        <v>6316366.5743638352</v>
      </c>
      <c r="I938" s="9">
        <f ca="1">_xlfn.NORM.INV(RAND(),AVERAGE(Assumptions!$D$10,Assumptions!$F$10),(Assumptions!$F$10-Assumptions!$D$10)/3.29)*21</f>
        <v>720954.13379698817</v>
      </c>
      <c r="J938" s="12">
        <f ca="1">NORMINV(RAND(),AVERAGE(Assumptions!$D$11,Assumptions!$F$11),(Assumptions!$F$11-Assumptions!$D$11)/3.29)*44</f>
        <v>4027029.7342922338</v>
      </c>
      <c r="K938" s="15">
        <f ca="1">_xlfn.NORM.INV(RAND(),AVERAGE(Assumptions!$D$12,Assumptions!$F$12),(Assumptions!$F$12-Assumptions!$D$12)/3.29)*44</f>
        <v>8387063.590449214</v>
      </c>
      <c r="L938" s="3">
        <f ca="1">_xlfn.NORM.INV(RAND(),AVERAGE(Assumptions!$D$13,Assumptions!$F$13),(Assumptions!$F$13-Assumptions!$D$13)/3.29)*44</f>
        <v>9091232.9823062867</v>
      </c>
      <c r="M938" s="6">
        <f ca="1">_xlfn.NORM.INV(RAND(),AVERAGE(Assumptions!$D$14,Assumptions!$F$14),(Assumptions!$F$14-Assumptions!$D$14)/3.29)*44</f>
        <v>6332476.5698839985</v>
      </c>
      <c r="N938" s="9">
        <f ca="1">_xlfn.NORM.INV(RAND(),AVERAGE(Assumptions!$D$16,Assumptions!$F$16),(Assumptions!$F$16-Assumptions!$D$16)/3.29)*44</f>
        <v>18235515.674915586</v>
      </c>
      <c r="O938" s="12">
        <f ca="1">_xlfn.NORM.INV(RAND(),AVERAGE(Assumptions!$D$15,Assumptions!$F$15),(Assumptions!$F$15-Assumptions!$D$15)/3.29)*44</f>
        <v>62559850.759564631</v>
      </c>
      <c r="P938" s="15">
        <f>Assumptions!$D$18</f>
        <v>14641750.345627395</v>
      </c>
      <c r="Q938" s="3">
        <f t="shared" ca="1" si="28"/>
        <v>-14702445.448524825</v>
      </c>
      <c r="R938" s="6">
        <f t="shared" ca="1" si="29"/>
        <v>-60695.102897429839</v>
      </c>
    </row>
    <row r="939" spans="1:18">
      <c r="A939" s="20">
        <v>938</v>
      </c>
      <c r="B939" s="3">
        <f ca="1">_xlfn.NORM.INV(RAND(),AVERAGE(Assumptions!$D$4,Assumptions!$F$4),(Assumptions!$F$4-Assumptions!$D$4)/3.29)*44</f>
        <v>1179652.6056072006</v>
      </c>
      <c r="C939" s="6">
        <f ca="1">_xlfn.NORM.INV(RAND(),AVERAGE(Assumptions!$D$5,Assumptions!$F$5),(Assumptions!$F$5-Assumptions!$D$5)/3.29)*44</f>
        <v>1869078.4427948503</v>
      </c>
      <c r="D939" s="9">
        <f ca="1">_xlfn.NORM.INV(RAND(),AVERAGE(Assumptions!$D$6,Assumptions!$F$6),(Assumptions!$F$6-Assumptions!$D$6)/3.29)*RANDBETWEEN(2,5)</f>
        <v>5928172.705962644</v>
      </c>
      <c r="E939" s="12">
        <f ca="1">_xlfn.NORM.INV(RAND(),AVERAGE(Assumptions!$D$17,Assumptions!$F$17),(Assumptions!$F$17-Assumptions!$D$17)/3.29)*8</f>
        <v>801040.87022217736</v>
      </c>
      <c r="F939" s="15">
        <f ca="1">_xlfn.NORM.INV(RAND(),AVERAGE(Assumptions!$D$7,Assumptions!$F$7),(Assumptions!$F$7-Assumptions!$D$7)/3.29)*RANDBETWEEN(1,3)</f>
        <v>5968490.8787622219</v>
      </c>
      <c r="G939" s="3">
        <f ca="1">_xlfn.NORM.INV(RAND(),AVERAGE(Assumptions!$D$8,Assumptions!$F$8),(Assumptions!$F$8-Assumptions!$D$8)/3.29)*44</f>
        <v>643210.04851873848</v>
      </c>
      <c r="H939" s="6">
        <f ca="1">_xlfn.NORM.INV(RAND(),AVERAGE(Assumptions!$D$9,Assumptions!$F$9),(Assumptions!$F$9-Assumptions!$D$9)/3.29)*21</f>
        <v>3584757.4112196122</v>
      </c>
      <c r="I939" s="9">
        <f ca="1">_xlfn.NORM.INV(RAND(),AVERAGE(Assumptions!$D$10,Assumptions!$F$10),(Assumptions!$F$10-Assumptions!$D$10)/3.29)*21</f>
        <v>57393.370416417871</v>
      </c>
      <c r="J939" s="12">
        <f ca="1">NORMINV(RAND(),AVERAGE(Assumptions!$D$11,Assumptions!$F$11),(Assumptions!$F$11-Assumptions!$D$11)/3.29)*44</f>
        <v>5127923.843500237</v>
      </c>
      <c r="K939" s="15">
        <f ca="1">_xlfn.NORM.INV(RAND(),AVERAGE(Assumptions!$D$12,Assumptions!$F$12),(Assumptions!$F$12-Assumptions!$D$12)/3.29)*44</f>
        <v>10993456.863217227</v>
      </c>
      <c r="L939" s="3">
        <f ca="1">_xlfn.NORM.INV(RAND(),AVERAGE(Assumptions!$D$13,Assumptions!$F$13),(Assumptions!$F$13-Assumptions!$D$13)/3.29)*44</f>
        <v>17195623.926028609</v>
      </c>
      <c r="M939" s="6">
        <f ca="1">_xlfn.NORM.INV(RAND(),AVERAGE(Assumptions!$D$14,Assumptions!$F$14),(Assumptions!$F$14-Assumptions!$D$14)/3.29)*44</f>
        <v>6443477.0379301868</v>
      </c>
      <c r="N939" s="9">
        <f ca="1">_xlfn.NORM.INV(RAND(),AVERAGE(Assumptions!$D$16,Assumptions!$F$16),(Assumptions!$F$16-Assumptions!$D$16)/3.29)*44</f>
        <v>14902046.180185456</v>
      </c>
      <c r="O939" s="12">
        <f ca="1">_xlfn.NORM.INV(RAND(),AVERAGE(Assumptions!$D$15,Assumptions!$F$15),(Assumptions!$F$15-Assumptions!$D$15)/3.29)*44</f>
        <v>70859325.429635853</v>
      </c>
      <c r="P939" s="15">
        <f>Assumptions!$D$18</f>
        <v>14641750.345627395</v>
      </c>
      <c r="Q939" s="3">
        <f t="shared" ca="1" si="28"/>
        <v>-3834998.7547297329</v>
      </c>
      <c r="R939" s="6">
        <f t="shared" ca="1" si="29"/>
        <v>10806751.590897663</v>
      </c>
    </row>
    <row r="940" spans="1:18">
      <c r="A940" s="20">
        <v>939</v>
      </c>
      <c r="B940" s="3">
        <f ca="1">_xlfn.NORM.INV(RAND(),AVERAGE(Assumptions!$D$4,Assumptions!$F$4),(Assumptions!$F$4-Assumptions!$D$4)/3.29)*44</f>
        <v>1146860.0056014212</v>
      </c>
      <c r="C940" s="6">
        <f ca="1">_xlfn.NORM.INV(RAND(),AVERAGE(Assumptions!$D$5,Assumptions!$F$5),(Assumptions!$F$5-Assumptions!$D$5)/3.29)*44</f>
        <v>1838673.822067016</v>
      </c>
      <c r="D940" s="9">
        <f ca="1">_xlfn.NORM.INV(RAND(),AVERAGE(Assumptions!$D$6,Assumptions!$F$6),(Assumptions!$F$6-Assumptions!$D$6)/3.29)*RANDBETWEEN(2,5)</f>
        <v>2265738.2344014375</v>
      </c>
      <c r="E940" s="12">
        <f ca="1">_xlfn.NORM.INV(RAND(),AVERAGE(Assumptions!$D$17,Assumptions!$F$17),(Assumptions!$F$17-Assumptions!$D$17)/3.29)*8</f>
        <v>933142.49195186957</v>
      </c>
      <c r="F940" s="15">
        <f ca="1">_xlfn.NORM.INV(RAND(),AVERAGE(Assumptions!$D$7,Assumptions!$F$7),(Assumptions!$F$7-Assumptions!$D$7)/3.29)*RANDBETWEEN(1,3)</f>
        <v>6446285.9233160131</v>
      </c>
      <c r="G940" s="3">
        <f ca="1">_xlfn.NORM.INV(RAND(),AVERAGE(Assumptions!$D$8,Assumptions!$F$8),(Assumptions!$F$8-Assumptions!$D$8)/3.29)*44</f>
        <v>969987.37134243199</v>
      </c>
      <c r="H940" s="6">
        <f ca="1">_xlfn.NORM.INV(RAND(),AVERAGE(Assumptions!$D$9,Assumptions!$F$9),(Assumptions!$F$9-Assumptions!$D$9)/3.29)*21</f>
        <v>2123778.9914860767</v>
      </c>
      <c r="I940" s="9">
        <f ca="1">_xlfn.NORM.INV(RAND(),AVERAGE(Assumptions!$D$10,Assumptions!$F$10),(Assumptions!$F$10-Assumptions!$D$10)/3.29)*21</f>
        <v>936584.3212335204</v>
      </c>
      <c r="J940" s="12">
        <f ca="1">NORMINV(RAND(),AVERAGE(Assumptions!$D$11,Assumptions!$F$11),(Assumptions!$F$11-Assumptions!$D$11)/3.29)*44</f>
        <v>2885433.5000026668</v>
      </c>
      <c r="K940" s="15">
        <f ca="1">_xlfn.NORM.INV(RAND(),AVERAGE(Assumptions!$D$12,Assumptions!$F$12),(Assumptions!$F$12-Assumptions!$D$12)/3.29)*44</f>
        <v>7191332.3678502543</v>
      </c>
      <c r="L940" s="3">
        <f ca="1">_xlfn.NORM.INV(RAND(),AVERAGE(Assumptions!$D$13,Assumptions!$F$13),(Assumptions!$F$13-Assumptions!$D$13)/3.29)*44</f>
        <v>11933430.902957831</v>
      </c>
      <c r="M940" s="6">
        <f ca="1">_xlfn.NORM.INV(RAND(),AVERAGE(Assumptions!$D$14,Assumptions!$F$14),(Assumptions!$F$14-Assumptions!$D$14)/3.29)*44</f>
        <v>5987155.5198598625</v>
      </c>
      <c r="N940" s="9">
        <f ca="1">_xlfn.NORM.INV(RAND(),AVERAGE(Assumptions!$D$16,Assumptions!$F$16),(Assumptions!$F$16-Assumptions!$D$16)/3.29)*44</f>
        <v>16409624.515834454</v>
      </c>
      <c r="O940" s="12">
        <f ca="1">_xlfn.NORM.INV(RAND(),AVERAGE(Assumptions!$D$15,Assumptions!$F$15),(Assumptions!$F$15-Assumptions!$D$15)/3.29)*44</f>
        <v>90496979.196993381</v>
      </c>
      <c r="P940" s="15">
        <f>Assumptions!$D$18</f>
        <v>14641750.345627395</v>
      </c>
      <c r="Q940" s="3">
        <f t="shared" ca="1" si="28"/>
        <v>29428951.22908853</v>
      </c>
      <c r="R940" s="6">
        <f t="shared" ca="1" si="29"/>
        <v>44070701.574715927</v>
      </c>
    </row>
    <row r="941" spans="1:18">
      <c r="A941" s="20">
        <v>940</v>
      </c>
      <c r="B941" s="3">
        <f ca="1">_xlfn.NORM.INV(RAND(),AVERAGE(Assumptions!$D$4,Assumptions!$F$4),(Assumptions!$F$4-Assumptions!$D$4)/3.29)*44</f>
        <v>1223097.529723953</v>
      </c>
      <c r="C941" s="6">
        <f ca="1">_xlfn.NORM.INV(RAND(),AVERAGE(Assumptions!$D$5,Assumptions!$F$5),(Assumptions!$F$5-Assumptions!$D$5)/3.29)*44</f>
        <v>2035351.5231338085</v>
      </c>
      <c r="D941" s="9">
        <f ca="1">_xlfn.NORM.INV(RAND(),AVERAGE(Assumptions!$D$6,Assumptions!$F$6),(Assumptions!$F$6-Assumptions!$D$6)/3.29)*RANDBETWEEN(2,5)</f>
        <v>3601859.540167402</v>
      </c>
      <c r="E941" s="12">
        <f ca="1">_xlfn.NORM.INV(RAND(),AVERAGE(Assumptions!$D$17,Assumptions!$F$17),(Assumptions!$F$17-Assumptions!$D$17)/3.29)*8</f>
        <v>1085959.0410431286</v>
      </c>
      <c r="F941" s="15">
        <f ca="1">_xlfn.NORM.INV(RAND(),AVERAGE(Assumptions!$D$7,Assumptions!$F$7),(Assumptions!$F$7-Assumptions!$D$7)/3.29)*RANDBETWEEN(1,3)</f>
        <v>8255724.6335641406</v>
      </c>
      <c r="G941" s="3">
        <f ca="1">_xlfn.NORM.INV(RAND(),AVERAGE(Assumptions!$D$8,Assumptions!$F$8),(Assumptions!$F$8-Assumptions!$D$8)/3.29)*44</f>
        <v>1035368.7362131032</v>
      </c>
      <c r="H941" s="6">
        <f ca="1">_xlfn.NORM.INV(RAND(),AVERAGE(Assumptions!$D$9,Assumptions!$F$9),(Assumptions!$F$9-Assumptions!$D$9)/3.29)*21</f>
        <v>4575294.4753554398</v>
      </c>
      <c r="I941" s="9">
        <f ca="1">_xlfn.NORM.INV(RAND(),AVERAGE(Assumptions!$D$10,Assumptions!$F$10),(Assumptions!$F$10-Assumptions!$D$10)/3.29)*21</f>
        <v>538839.93165162927</v>
      </c>
      <c r="J941" s="12">
        <f ca="1">NORMINV(RAND(),AVERAGE(Assumptions!$D$11,Assumptions!$F$11),(Assumptions!$F$11-Assumptions!$D$11)/3.29)*44</f>
        <v>4681623.6198079195</v>
      </c>
      <c r="K941" s="15">
        <f ca="1">_xlfn.NORM.INV(RAND(),AVERAGE(Assumptions!$D$12,Assumptions!$F$12),(Assumptions!$F$12-Assumptions!$D$12)/3.29)*44</f>
        <v>8255364.6970697241</v>
      </c>
      <c r="L941" s="3">
        <f ca="1">_xlfn.NORM.INV(RAND(),AVERAGE(Assumptions!$D$13,Assumptions!$F$13),(Assumptions!$F$13-Assumptions!$D$13)/3.29)*44</f>
        <v>20881262.660453811</v>
      </c>
      <c r="M941" s="6">
        <f ca="1">_xlfn.NORM.INV(RAND(),AVERAGE(Assumptions!$D$14,Assumptions!$F$14),(Assumptions!$F$14-Assumptions!$D$14)/3.29)*44</f>
        <v>5734803.0436757877</v>
      </c>
      <c r="N941" s="9">
        <f ca="1">_xlfn.NORM.INV(RAND(),AVERAGE(Assumptions!$D$16,Assumptions!$F$16),(Assumptions!$F$16-Assumptions!$D$16)/3.29)*44</f>
        <v>7973369.0085958866</v>
      </c>
      <c r="O941" s="12">
        <f ca="1">_xlfn.NORM.INV(RAND(),AVERAGE(Assumptions!$D$15,Assumptions!$F$15),(Assumptions!$F$15-Assumptions!$D$15)/3.29)*44</f>
        <v>204623027.9223682</v>
      </c>
      <c r="P941" s="15">
        <f>Assumptions!$D$18</f>
        <v>14641750.345627395</v>
      </c>
      <c r="Q941" s="3">
        <f t="shared" ca="1" si="28"/>
        <v>134745109.48191246</v>
      </c>
      <c r="R941" s="6">
        <f t="shared" ca="1" si="29"/>
        <v>149386859.82753986</v>
      </c>
    </row>
    <row r="942" spans="1:18">
      <c r="A942" s="20">
        <v>941</v>
      </c>
      <c r="B942" s="3">
        <f ca="1">_xlfn.NORM.INV(RAND(),AVERAGE(Assumptions!$D$4,Assumptions!$F$4),(Assumptions!$F$4-Assumptions!$D$4)/3.29)*44</f>
        <v>1304954.9720883004</v>
      </c>
      <c r="C942" s="6">
        <f ca="1">_xlfn.NORM.INV(RAND(),AVERAGE(Assumptions!$D$5,Assumptions!$F$5),(Assumptions!$F$5-Assumptions!$D$5)/3.29)*44</f>
        <v>1718195.3115962034</v>
      </c>
      <c r="D942" s="9">
        <f ca="1">_xlfn.NORM.INV(RAND(),AVERAGE(Assumptions!$D$6,Assumptions!$F$6),(Assumptions!$F$6-Assumptions!$D$6)/3.29)*RANDBETWEEN(2,5)</f>
        <v>1505998.2911898433</v>
      </c>
      <c r="E942" s="12">
        <f ca="1">_xlfn.NORM.INV(RAND(),AVERAGE(Assumptions!$D$17,Assumptions!$F$17),(Assumptions!$F$17-Assumptions!$D$17)/3.29)*8</f>
        <v>1016737.4395590966</v>
      </c>
      <c r="F942" s="15">
        <f ca="1">_xlfn.NORM.INV(RAND(),AVERAGE(Assumptions!$D$7,Assumptions!$F$7),(Assumptions!$F$7-Assumptions!$D$7)/3.29)*RANDBETWEEN(1,3)</f>
        <v>6610558.7730593076</v>
      </c>
      <c r="G942" s="3">
        <f ca="1">_xlfn.NORM.INV(RAND(),AVERAGE(Assumptions!$D$8,Assumptions!$F$8),(Assumptions!$F$8-Assumptions!$D$8)/3.29)*44</f>
        <v>1375233.0148159023</v>
      </c>
      <c r="H942" s="6">
        <f ca="1">_xlfn.NORM.INV(RAND(),AVERAGE(Assumptions!$D$9,Assumptions!$F$9),(Assumptions!$F$9-Assumptions!$D$9)/3.29)*21</f>
        <v>5698058.0960221048</v>
      </c>
      <c r="I942" s="9">
        <f ca="1">_xlfn.NORM.INV(RAND(),AVERAGE(Assumptions!$D$10,Assumptions!$F$10),(Assumptions!$F$10-Assumptions!$D$10)/3.29)*21</f>
        <v>1203064.6144531721</v>
      </c>
      <c r="J942" s="12">
        <f ca="1">NORMINV(RAND(),AVERAGE(Assumptions!$D$11,Assumptions!$F$11),(Assumptions!$F$11-Assumptions!$D$11)/3.29)*44</f>
        <v>6429842.9140610257</v>
      </c>
      <c r="K942" s="15">
        <f ca="1">_xlfn.NORM.INV(RAND(),AVERAGE(Assumptions!$D$12,Assumptions!$F$12),(Assumptions!$F$12-Assumptions!$D$12)/3.29)*44</f>
        <v>9844275.0416869968</v>
      </c>
      <c r="L942" s="3">
        <f ca="1">_xlfn.NORM.INV(RAND(),AVERAGE(Assumptions!$D$13,Assumptions!$F$13),(Assumptions!$F$13-Assumptions!$D$13)/3.29)*44</f>
        <v>12085772.632476499</v>
      </c>
      <c r="M942" s="6">
        <f ca="1">_xlfn.NORM.INV(RAND(),AVERAGE(Assumptions!$D$14,Assumptions!$F$14),(Assumptions!$F$14-Assumptions!$D$14)/3.29)*44</f>
        <v>5694304.8494929336</v>
      </c>
      <c r="N942" s="9">
        <f ca="1">_xlfn.NORM.INV(RAND(),AVERAGE(Assumptions!$D$16,Assumptions!$F$16),(Assumptions!$F$16-Assumptions!$D$16)/3.29)*44</f>
        <v>8036977.248409464</v>
      </c>
      <c r="O942" s="12">
        <f ca="1">_xlfn.NORM.INV(RAND(),AVERAGE(Assumptions!$D$15,Assumptions!$F$15),(Assumptions!$F$15-Assumptions!$D$15)/3.29)*44</f>
        <v>86829855.999654412</v>
      </c>
      <c r="P942" s="15">
        <f>Assumptions!$D$18</f>
        <v>14641750.345627395</v>
      </c>
      <c r="Q942" s="3">
        <f t="shared" ca="1" si="28"/>
        <v>24305882.800743572</v>
      </c>
      <c r="R942" s="6">
        <f t="shared" ca="1" si="29"/>
        <v>38947633.14637097</v>
      </c>
    </row>
    <row r="943" spans="1:18">
      <c r="A943" s="20">
        <v>942</v>
      </c>
      <c r="B943" s="3">
        <f ca="1">_xlfn.NORM.INV(RAND(),AVERAGE(Assumptions!$D$4,Assumptions!$F$4),(Assumptions!$F$4-Assumptions!$D$4)/3.29)*44</f>
        <v>1234516.1241052828</v>
      </c>
      <c r="C943" s="6">
        <f ca="1">_xlfn.NORM.INV(RAND(),AVERAGE(Assumptions!$D$5,Assumptions!$F$5),(Assumptions!$F$5-Assumptions!$D$5)/3.29)*44</f>
        <v>1845610.8519849707</v>
      </c>
      <c r="D943" s="9">
        <f ca="1">_xlfn.NORM.INV(RAND(),AVERAGE(Assumptions!$D$6,Assumptions!$F$6),(Assumptions!$F$6-Assumptions!$D$6)/3.29)*RANDBETWEEN(2,5)</f>
        <v>10669306.593852704</v>
      </c>
      <c r="E943" s="12">
        <f ca="1">_xlfn.NORM.INV(RAND(),AVERAGE(Assumptions!$D$17,Assumptions!$F$17),(Assumptions!$F$17-Assumptions!$D$17)/3.29)*8</f>
        <v>1074914.1643280331</v>
      </c>
      <c r="F943" s="15">
        <f ca="1">_xlfn.NORM.INV(RAND(),AVERAGE(Assumptions!$D$7,Assumptions!$F$7),(Assumptions!$F$7-Assumptions!$D$7)/3.29)*RANDBETWEEN(1,3)</f>
        <v>2315233.8685451895</v>
      </c>
      <c r="G943" s="3">
        <f ca="1">_xlfn.NORM.INV(RAND(),AVERAGE(Assumptions!$D$8,Assumptions!$F$8),(Assumptions!$F$8-Assumptions!$D$8)/3.29)*44</f>
        <v>930832.65201792156</v>
      </c>
      <c r="H943" s="6">
        <f ca="1">_xlfn.NORM.INV(RAND(),AVERAGE(Assumptions!$D$9,Assumptions!$F$9),(Assumptions!$F$9-Assumptions!$D$9)/3.29)*21</f>
        <v>2916878.4583316175</v>
      </c>
      <c r="I943" s="9">
        <f ca="1">_xlfn.NORM.INV(RAND(),AVERAGE(Assumptions!$D$10,Assumptions!$F$10),(Assumptions!$F$10-Assumptions!$D$10)/3.29)*21</f>
        <v>828672.78183935652</v>
      </c>
      <c r="J943" s="12">
        <f ca="1">NORMINV(RAND(),AVERAGE(Assumptions!$D$11,Assumptions!$F$11),(Assumptions!$F$11-Assumptions!$D$11)/3.29)*44</f>
        <v>3116221.9436702193</v>
      </c>
      <c r="K943" s="15">
        <f ca="1">_xlfn.NORM.INV(RAND(),AVERAGE(Assumptions!$D$12,Assumptions!$F$12),(Assumptions!$F$12-Assumptions!$D$12)/3.29)*44</f>
        <v>6945128.0329542868</v>
      </c>
      <c r="L943" s="3">
        <f ca="1">_xlfn.NORM.INV(RAND(),AVERAGE(Assumptions!$D$13,Assumptions!$F$13),(Assumptions!$F$13-Assumptions!$D$13)/3.29)*44</f>
        <v>8346966.027678635</v>
      </c>
      <c r="M943" s="6">
        <f ca="1">_xlfn.NORM.INV(RAND(),AVERAGE(Assumptions!$D$14,Assumptions!$F$14),(Assumptions!$F$14-Assumptions!$D$14)/3.29)*44</f>
        <v>5515370.0565637313</v>
      </c>
      <c r="N943" s="9">
        <f ca="1">_xlfn.NORM.INV(RAND(),AVERAGE(Assumptions!$D$16,Assumptions!$F$16),(Assumptions!$F$16-Assumptions!$D$16)/3.29)*44</f>
        <v>2054620.8090714198</v>
      </c>
      <c r="O943" s="12">
        <f ca="1">_xlfn.NORM.INV(RAND(),AVERAGE(Assumptions!$D$15,Assumptions!$F$15),(Assumptions!$F$15-Assumptions!$D$15)/3.29)*44</f>
        <v>158994859.38474986</v>
      </c>
      <c r="P943" s="15">
        <f>Assumptions!$D$18</f>
        <v>14641750.345627395</v>
      </c>
      <c r="Q943" s="3">
        <f t="shared" ca="1" si="28"/>
        <v>111200587.01980647</v>
      </c>
      <c r="R943" s="6">
        <f t="shared" ca="1" si="29"/>
        <v>125842337.36543387</v>
      </c>
    </row>
    <row r="944" spans="1:18">
      <c r="A944" s="20">
        <v>943</v>
      </c>
      <c r="B944" s="3">
        <f ca="1">_xlfn.NORM.INV(RAND(),AVERAGE(Assumptions!$D$4,Assumptions!$F$4),(Assumptions!$F$4-Assumptions!$D$4)/3.29)*44</f>
        <v>1142339.5735113816</v>
      </c>
      <c r="C944" s="6">
        <f ca="1">_xlfn.NORM.INV(RAND(),AVERAGE(Assumptions!$D$5,Assumptions!$F$5),(Assumptions!$F$5-Assumptions!$D$5)/3.29)*44</f>
        <v>1869327.2412230601</v>
      </c>
      <c r="D944" s="9">
        <f ca="1">_xlfn.NORM.INV(RAND(),AVERAGE(Assumptions!$D$6,Assumptions!$F$6),(Assumptions!$F$6-Assumptions!$D$6)/3.29)*RANDBETWEEN(2,5)</f>
        <v>3605610.2926966418</v>
      </c>
      <c r="E944" s="12">
        <f ca="1">_xlfn.NORM.INV(RAND(),AVERAGE(Assumptions!$D$17,Assumptions!$F$17),(Assumptions!$F$17-Assumptions!$D$17)/3.29)*8</f>
        <v>895384.45999591355</v>
      </c>
      <c r="F944" s="15">
        <f ca="1">_xlfn.NORM.INV(RAND(),AVERAGE(Assumptions!$D$7,Assumptions!$F$7),(Assumptions!$F$7-Assumptions!$D$7)/3.29)*RANDBETWEEN(1,3)</f>
        <v>3655207.4584271712</v>
      </c>
      <c r="G944" s="3">
        <f ca="1">_xlfn.NORM.INV(RAND(),AVERAGE(Assumptions!$D$8,Assumptions!$F$8),(Assumptions!$F$8-Assumptions!$D$8)/3.29)*44</f>
        <v>1072622.3027410801</v>
      </c>
      <c r="H944" s="6">
        <f ca="1">_xlfn.NORM.INV(RAND(),AVERAGE(Assumptions!$D$9,Assumptions!$F$9),(Assumptions!$F$9-Assumptions!$D$9)/3.29)*21</f>
        <v>3411544.3307013344</v>
      </c>
      <c r="I944" s="9">
        <f ca="1">_xlfn.NORM.INV(RAND(),AVERAGE(Assumptions!$D$10,Assumptions!$F$10),(Assumptions!$F$10-Assumptions!$D$10)/3.29)*21</f>
        <v>829723.42700387607</v>
      </c>
      <c r="J944" s="12">
        <f ca="1">NORMINV(RAND(),AVERAGE(Assumptions!$D$11,Assumptions!$F$11),(Assumptions!$F$11-Assumptions!$D$11)/3.29)*44</f>
        <v>1363702.6062370038</v>
      </c>
      <c r="K944" s="15">
        <f ca="1">_xlfn.NORM.INV(RAND(),AVERAGE(Assumptions!$D$12,Assumptions!$F$12),(Assumptions!$F$12-Assumptions!$D$12)/3.29)*44</f>
        <v>8079882.6761082942</v>
      </c>
      <c r="L944" s="3">
        <f ca="1">_xlfn.NORM.INV(RAND(),AVERAGE(Assumptions!$D$13,Assumptions!$F$13),(Assumptions!$F$13-Assumptions!$D$13)/3.29)*44</f>
        <v>22774792.452240158</v>
      </c>
      <c r="M944" s="6">
        <f ca="1">_xlfn.NORM.INV(RAND(),AVERAGE(Assumptions!$D$14,Assumptions!$F$14),(Assumptions!$F$14-Assumptions!$D$14)/3.29)*44</f>
        <v>6810804.5089695193</v>
      </c>
      <c r="N944" s="9">
        <f ca="1">_xlfn.NORM.INV(RAND(),AVERAGE(Assumptions!$D$16,Assumptions!$F$16),(Assumptions!$F$16-Assumptions!$D$16)/3.29)*44</f>
        <v>8810817.9830312207</v>
      </c>
      <c r="O944" s="12">
        <f ca="1">_xlfn.NORM.INV(RAND(),AVERAGE(Assumptions!$D$15,Assumptions!$F$15),(Assumptions!$F$15-Assumptions!$D$15)/3.29)*44</f>
        <v>167149679.37157091</v>
      </c>
      <c r="P944" s="15">
        <f>Assumptions!$D$18</f>
        <v>14641750.345627395</v>
      </c>
      <c r="Q944" s="3">
        <f t="shared" ca="1" si="28"/>
        <v>102827920.05868426</v>
      </c>
      <c r="R944" s="6">
        <f t="shared" ca="1" si="29"/>
        <v>117469670.40431166</v>
      </c>
    </row>
    <row r="945" spans="1:18">
      <c r="A945" s="20">
        <v>944</v>
      </c>
      <c r="B945" s="3">
        <f ca="1">_xlfn.NORM.INV(RAND(),AVERAGE(Assumptions!$D$4,Assumptions!$F$4),(Assumptions!$F$4-Assumptions!$D$4)/3.29)*44</f>
        <v>1200882.8312350898</v>
      </c>
      <c r="C945" s="6">
        <f ca="1">_xlfn.NORM.INV(RAND(),AVERAGE(Assumptions!$D$5,Assumptions!$F$5),(Assumptions!$F$5-Assumptions!$D$5)/3.29)*44</f>
        <v>1535398.6343054757</v>
      </c>
      <c r="D945" s="9">
        <f ca="1">_xlfn.NORM.INV(RAND(),AVERAGE(Assumptions!$D$6,Assumptions!$F$6),(Assumptions!$F$6-Assumptions!$D$6)/3.29)*RANDBETWEEN(2,5)</f>
        <v>4550193.8717549844</v>
      </c>
      <c r="E945" s="12">
        <f ca="1">_xlfn.NORM.INV(RAND(),AVERAGE(Assumptions!$D$17,Assumptions!$F$17),(Assumptions!$F$17-Assumptions!$D$17)/3.29)*8</f>
        <v>1053972.8649420901</v>
      </c>
      <c r="F945" s="15">
        <f ca="1">_xlfn.NORM.INV(RAND(),AVERAGE(Assumptions!$D$7,Assumptions!$F$7),(Assumptions!$F$7-Assumptions!$D$7)/3.29)*RANDBETWEEN(1,3)</f>
        <v>5787944.5559003698</v>
      </c>
      <c r="G945" s="3">
        <f ca="1">_xlfn.NORM.INV(RAND(),AVERAGE(Assumptions!$D$8,Assumptions!$F$8),(Assumptions!$F$8-Assumptions!$D$8)/3.29)*44</f>
        <v>1026071.6903586955</v>
      </c>
      <c r="H945" s="6">
        <f ca="1">_xlfn.NORM.INV(RAND(),AVERAGE(Assumptions!$D$9,Assumptions!$F$9),(Assumptions!$F$9-Assumptions!$D$9)/3.29)*21</f>
        <v>4995448.3138171583</v>
      </c>
      <c r="I945" s="9">
        <f ca="1">_xlfn.NORM.INV(RAND(),AVERAGE(Assumptions!$D$10,Assumptions!$F$10),(Assumptions!$F$10-Assumptions!$D$10)/3.29)*21</f>
        <v>1108898.3986894106</v>
      </c>
      <c r="J945" s="12">
        <f ca="1">NORMINV(RAND(),AVERAGE(Assumptions!$D$11,Assumptions!$F$11),(Assumptions!$F$11-Assumptions!$D$11)/3.29)*44</f>
        <v>1909123.0556146393</v>
      </c>
      <c r="K945" s="15">
        <f ca="1">_xlfn.NORM.INV(RAND(),AVERAGE(Assumptions!$D$12,Assumptions!$F$12),(Assumptions!$F$12-Assumptions!$D$12)/3.29)*44</f>
        <v>8985319.9462700281</v>
      </c>
      <c r="L945" s="3">
        <f ca="1">_xlfn.NORM.INV(RAND(),AVERAGE(Assumptions!$D$13,Assumptions!$F$13),(Assumptions!$F$13-Assumptions!$D$13)/3.29)*44</f>
        <v>6766280.152620405</v>
      </c>
      <c r="M945" s="6">
        <f ca="1">_xlfn.NORM.INV(RAND(),AVERAGE(Assumptions!$D$14,Assumptions!$F$14),(Assumptions!$F$14-Assumptions!$D$14)/3.29)*44</f>
        <v>7179763.4980720757</v>
      </c>
      <c r="N945" s="9">
        <f ca="1">_xlfn.NORM.INV(RAND(),AVERAGE(Assumptions!$D$16,Assumptions!$F$16),(Assumptions!$F$16-Assumptions!$D$16)/3.29)*44</f>
        <v>6473300.011264693</v>
      </c>
      <c r="O945" s="12">
        <f ca="1">_xlfn.NORM.INV(RAND(),AVERAGE(Assumptions!$D$15,Assumptions!$F$15),(Assumptions!$F$15-Assumptions!$D$15)/3.29)*44</f>
        <v>141056853.62063858</v>
      </c>
      <c r="P945" s="15">
        <f>Assumptions!$D$18</f>
        <v>14641750.345627395</v>
      </c>
      <c r="Q945" s="3">
        <f t="shared" ca="1" si="28"/>
        <v>88484255.795793474</v>
      </c>
      <c r="R945" s="6">
        <f t="shared" ca="1" si="29"/>
        <v>103126006.14142087</v>
      </c>
    </row>
    <row r="946" spans="1:18">
      <c r="A946" s="20">
        <v>945</v>
      </c>
      <c r="B946" s="3">
        <f ca="1">_xlfn.NORM.INV(RAND(),AVERAGE(Assumptions!$D$4,Assumptions!$F$4),(Assumptions!$F$4-Assumptions!$D$4)/3.29)*44</f>
        <v>1161780.0926014886</v>
      </c>
      <c r="C946" s="6">
        <f ca="1">_xlfn.NORM.INV(RAND(),AVERAGE(Assumptions!$D$5,Assumptions!$F$5),(Assumptions!$F$5-Assumptions!$D$5)/3.29)*44</f>
        <v>1870488.5773799422</v>
      </c>
      <c r="D946" s="9">
        <f ca="1">_xlfn.NORM.INV(RAND(),AVERAGE(Assumptions!$D$6,Assumptions!$F$6),(Assumptions!$F$6-Assumptions!$D$6)/3.29)*RANDBETWEEN(2,5)</f>
        <v>5860943.6474670023</v>
      </c>
      <c r="E946" s="12">
        <f ca="1">_xlfn.NORM.INV(RAND(),AVERAGE(Assumptions!$D$17,Assumptions!$F$17),(Assumptions!$F$17-Assumptions!$D$17)/3.29)*8</f>
        <v>979855.81158604496</v>
      </c>
      <c r="F946" s="15">
        <f ca="1">_xlfn.NORM.INV(RAND(),AVERAGE(Assumptions!$D$7,Assumptions!$F$7),(Assumptions!$F$7-Assumptions!$D$7)/3.29)*RANDBETWEEN(1,3)</f>
        <v>2669293.0239120168</v>
      </c>
      <c r="G946" s="3">
        <f ca="1">_xlfn.NORM.INV(RAND(),AVERAGE(Assumptions!$D$8,Assumptions!$F$8),(Assumptions!$F$8-Assumptions!$D$8)/3.29)*44</f>
        <v>1096982.1829186215</v>
      </c>
      <c r="H946" s="6">
        <f ca="1">_xlfn.NORM.INV(RAND(),AVERAGE(Assumptions!$D$9,Assumptions!$F$9),(Assumptions!$F$9-Assumptions!$D$9)/3.29)*21</f>
        <v>4825527.813756899</v>
      </c>
      <c r="I946" s="9">
        <f ca="1">_xlfn.NORM.INV(RAND(),AVERAGE(Assumptions!$D$10,Assumptions!$F$10),(Assumptions!$F$10-Assumptions!$D$10)/3.29)*21</f>
        <v>707121.56365839357</v>
      </c>
      <c r="J946" s="12">
        <f ca="1">NORMINV(RAND(),AVERAGE(Assumptions!$D$11,Assumptions!$F$11),(Assumptions!$F$11-Assumptions!$D$11)/3.29)*44</f>
        <v>1818116.1419065609</v>
      </c>
      <c r="K946" s="15">
        <f ca="1">_xlfn.NORM.INV(RAND(),AVERAGE(Assumptions!$D$12,Assumptions!$F$12),(Assumptions!$F$12-Assumptions!$D$12)/3.29)*44</f>
        <v>7906529.899690819</v>
      </c>
      <c r="L946" s="3">
        <f ca="1">_xlfn.NORM.INV(RAND(),AVERAGE(Assumptions!$D$13,Assumptions!$F$13),(Assumptions!$F$13-Assumptions!$D$13)/3.29)*44</f>
        <v>22353944.249448601</v>
      </c>
      <c r="M946" s="6">
        <f ca="1">_xlfn.NORM.INV(RAND(),AVERAGE(Assumptions!$D$14,Assumptions!$F$14),(Assumptions!$F$14-Assumptions!$D$14)/3.29)*44</f>
        <v>5840359.7582357172</v>
      </c>
      <c r="N946" s="9">
        <f ca="1">_xlfn.NORM.INV(RAND(),AVERAGE(Assumptions!$D$16,Assumptions!$F$16),(Assumptions!$F$16-Assumptions!$D$16)/3.29)*44</f>
        <v>5299890.6233736342</v>
      </c>
      <c r="O946" s="12">
        <f ca="1">_xlfn.NORM.INV(RAND(),AVERAGE(Assumptions!$D$15,Assumptions!$F$15),(Assumptions!$F$15-Assumptions!$D$15)/3.29)*44</f>
        <v>117337384.48581406</v>
      </c>
      <c r="P946" s="15">
        <f>Assumptions!$D$18</f>
        <v>14641750.345627395</v>
      </c>
      <c r="Q946" s="3">
        <f t="shared" ca="1" si="28"/>
        <v>54946551.099878326</v>
      </c>
      <c r="R946" s="6">
        <f t="shared" ca="1" si="29"/>
        <v>69588301.445505723</v>
      </c>
    </row>
    <row r="947" spans="1:18">
      <c r="A947" s="20">
        <v>946</v>
      </c>
      <c r="B947" s="3">
        <f ca="1">_xlfn.NORM.INV(RAND(),AVERAGE(Assumptions!$D$4,Assumptions!$F$4),(Assumptions!$F$4-Assumptions!$D$4)/3.29)*44</f>
        <v>1176960.1485214678</v>
      </c>
      <c r="C947" s="6">
        <f ca="1">_xlfn.NORM.INV(RAND(),AVERAGE(Assumptions!$D$5,Assumptions!$F$5),(Assumptions!$F$5-Assumptions!$D$5)/3.29)*44</f>
        <v>1815975.4490404024</v>
      </c>
      <c r="D947" s="9">
        <f ca="1">_xlfn.NORM.INV(RAND(),AVERAGE(Assumptions!$D$6,Assumptions!$F$6),(Assumptions!$F$6-Assumptions!$D$6)/3.29)*RANDBETWEEN(2,5)</f>
        <v>2169680.9874028168</v>
      </c>
      <c r="E947" s="12">
        <f ca="1">_xlfn.NORM.INV(RAND(),AVERAGE(Assumptions!$D$17,Assumptions!$F$17),(Assumptions!$F$17-Assumptions!$D$17)/3.29)*8</f>
        <v>947779.60645563435</v>
      </c>
      <c r="F947" s="15">
        <f ca="1">_xlfn.NORM.INV(RAND(),AVERAGE(Assumptions!$D$7,Assumptions!$F$7),(Assumptions!$F$7-Assumptions!$D$7)/3.29)*RANDBETWEEN(1,3)</f>
        <v>4174362.4403081043</v>
      </c>
      <c r="G947" s="3">
        <f ca="1">_xlfn.NORM.INV(RAND(),AVERAGE(Assumptions!$D$8,Assumptions!$F$8),(Assumptions!$F$8-Assumptions!$D$8)/3.29)*44</f>
        <v>1421731.0311578901</v>
      </c>
      <c r="H947" s="6">
        <f ca="1">_xlfn.NORM.INV(RAND(),AVERAGE(Assumptions!$D$9,Assumptions!$F$9),(Assumptions!$F$9-Assumptions!$D$9)/3.29)*21</f>
        <v>1157855.2655042764</v>
      </c>
      <c r="I947" s="9">
        <f ca="1">_xlfn.NORM.INV(RAND(),AVERAGE(Assumptions!$D$10,Assumptions!$F$10),(Assumptions!$F$10-Assumptions!$D$10)/3.29)*21</f>
        <v>1303107.5157321498</v>
      </c>
      <c r="J947" s="12">
        <f ca="1">NORMINV(RAND(),AVERAGE(Assumptions!$D$11,Assumptions!$F$11),(Assumptions!$F$11-Assumptions!$D$11)/3.29)*44</f>
        <v>3269027.2869133735</v>
      </c>
      <c r="K947" s="15">
        <f ca="1">_xlfn.NORM.INV(RAND(),AVERAGE(Assumptions!$D$12,Assumptions!$F$12),(Assumptions!$F$12-Assumptions!$D$12)/3.29)*44</f>
        <v>7328120.3991965652</v>
      </c>
      <c r="L947" s="3">
        <f ca="1">_xlfn.NORM.INV(RAND(),AVERAGE(Assumptions!$D$13,Assumptions!$F$13),(Assumptions!$F$13-Assumptions!$D$13)/3.29)*44</f>
        <v>5704280.4810070405</v>
      </c>
      <c r="M947" s="6">
        <f ca="1">_xlfn.NORM.INV(RAND(),AVERAGE(Assumptions!$D$14,Assumptions!$F$14),(Assumptions!$F$14-Assumptions!$D$14)/3.29)*44</f>
        <v>4822294.072268676</v>
      </c>
      <c r="N947" s="9">
        <f ca="1">_xlfn.NORM.INV(RAND(),AVERAGE(Assumptions!$D$16,Assumptions!$F$16),(Assumptions!$F$16-Assumptions!$D$16)/3.29)*44</f>
        <v>7589221.1737004388</v>
      </c>
      <c r="O947" s="12">
        <f ca="1">_xlfn.NORM.INV(RAND(),AVERAGE(Assumptions!$D$15,Assumptions!$F$15),(Assumptions!$F$15-Assumptions!$D$15)/3.29)*44</f>
        <v>37149109.547999233</v>
      </c>
      <c r="P947" s="15">
        <f>Assumptions!$D$18</f>
        <v>14641750.345627395</v>
      </c>
      <c r="Q947" s="3">
        <f t="shared" ca="1" si="28"/>
        <v>-5731286.3092095926</v>
      </c>
      <c r="R947" s="6">
        <f t="shared" ca="1" si="29"/>
        <v>8910464.0364178028</v>
      </c>
    </row>
    <row r="948" spans="1:18">
      <c r="A948" s="20">
        <v>947</v>
      </c>
      <c r="B948" s="3">
        <f ca="1">_xlfn.NORM.INV(RAND(),AVERAGE(Assumptions!$D$4,Assumptions!$F$4),(Assumptions!$F$4-Assumptions!$D$4)/3.29)*44</f>
        <v>1247276.8482172214</v>
      </c>
      <c r="C948" s="6">
        <f ca="1">_xlfn.NORM.INV(RAND(),AVERAGE(Assumptions!$D$5,Assumptions!$F$5),(Assumptions!$F$5-Assumptions!$D$5)/3.29)*44</f>
        <v>1870825.3514599188</v>
      </c>
      <c r="D948" s="9">
        <f ca="1">_xlfn.NORM.INV(RAND(),AVERAGE(Assumptions!$D$6,Assumptions!$F$6),(Assumptions!$F$6-Assumptions!$D$6)/3.29)*RANDBETWEEN(2,5)</f>
        <v>2261831.8094884204</v>
      </c>
      <c r="E948" s="12">
        <f ca="1">_xlfn.NORM.INV(RAND(),AVERAGE(Assumptions!$D$17,Assumptions!$F$17),(Assumptions!$F$17-Assumptions!$D$17)/3.29)*8</f>
        <v>1156589.5801769975</v>
      </c>
      <c r="F948" s="15">
        <f ca="1">_xlfn.NORM.INV(RAND(),AVERAGE(Assumptions!$D$7,Assumptions!$F$7),(Assumptions!$F$7-Assumptions!$D$7)/3.29)*RANDBETWEEN(1,3)</f>
        <v>2708929.7826654152</v>
      </c>
      <c r="G948" s="3">
        <f ca="1">_xlfn.NORM.INV(RAND(),AVERAGE(Assumptions!$D$8,Assumptions!$F$8),(Assumptions!$F$8-Assumptions!$D$8)/3.29)*44</f>
        <v>797459.87767839397</v>
      </c>
      <c r="H948" s="6">
        <f ca="1">_xlfn.NORM.INV(RAND(),AVERAGE(Assumptions!$D$9,Assumptions!$F$9),(Assumptions!$F$9-Assumptions!$D$9)/3.29)*21</f>
        <v>2475099.0046615084</v>
      </c>
      <c r="I948" s="9">
        <f ca="1">_xlfn.NORM.INV(RAND(),AVERAGE(Assumptions!$D$10,Assumptions!$F$10),(Assumptions!$F$10-Assumptions!$D$10)/3.29)*21</f>
        <v>1195686.5246405839</v>
      </c>
      <c r="J948" s="12">
        <f ca="1">NORMINV(RAND(),AVERAGE(Assumptions!$D$11,Assumptions!$F$11),(Assumptions!$F$11-Assumptions!$D$11)/3.29)*44</f>
        <v>3393641.9967409349</v>
      </c>
      <c r="K948" s="15">
        <f ca="1">_xlfn.NORM.INV(RAND(),AVERAGE(Assumptions!$D$12,Assumptions!$F$12),(Assumptions!$F$12-Assumptions!$D$12)/3.29)*44</f>
        <v>8976472.2964214236</v>
      </c>
      <c r="L948" s="3">
        <f ca="1">_xlfn.NORM.INV(RAND(),AVERAGE(Assumptions!$D$13,Assumptions!$F$13),(Assumptions!$F$13-Assumptions!$D$13)/3.29)*44</f>
        <v>12172836.87528652</v>
      </c>
      <c r="M948" s="6">
        <f ca="1">_xlfn.NORM.INV(RAND(),AVERAGE(Assumptions!$D$14,Assumptions!$F$14),(Assumptions!$F$14-Assumptions!$D$14)/3.29)*44</f>
        <v>5641508.4611913711</v>
      </c>
      <c r="N948" s="9">
        <f ca="1">_xlfn.NORM.INV(RAND(),AVERAGE(Assumptions!$D$16,Assumptions!$F$16),(Assumptions!$F$16-Assumptions!$D$16)/3.29)*44</f>
        <v>12096412.598752873</v>
      </c>
      <c r="O948" s="12">
        <f ca="1">_xlfn.NORM.INV(RAND(),AVERAGE(Assumptions!$D$15,Assumptions!$F$15),(Assumptions!$F$15-Assumptions!$D$15)/3.29)*44</f>
        <v>110471541.67834368</v>
      </c>
      <c r="P948" s="15">
        <f>Assumptions!$D$18</f>
        <v>14641750.345627395</v>
      </c>
      <c r="Q948" s="3">
        <f t="shared" ca="1" si="28"/>
        <v>54476970.67096211</v>
      </c>
      <c r="R948" s="6">
        <f t="shared" ca="1" si="29"/>
        <v>69118721.016589507</v>
      </c>
    </row>
    <row r="949" spans="1:18">
      <c r="A949" s="20">
        <v>948</v>
      </c>
      <c r="B949" s="3">
        <f ca="1">_xlfn.NORM.INV(RAND(),AVERAGE(Assumptions!$D$4,Assumptions!$F$4),(Assumptions!$F$4-Assumptions!$D$4)/3.29)*44</f>
        <v>1280564.8380992957</v>
      </c>
      <c r="C949" s="6">
        <f ca="1">_xlfn.NORM.INV(RAND(),AVERAGE(Assumptions!$D$5,Assumptions!$F$5),(Assumptions!$F$5-Assumptions!$D$5)/3.29)*44</f>
        <v>2019087.4584090249</v>
      </c>
      <c r="D949" s="9">
        <f ca="1">_xlfn.NORM.INV(RAND(),AVERAGE(Assumptions!$D$6,Assumptions!$F$6),(Assumptions!$F$6-Assumptions!$D$6)/3.29)*RANDBETWEEN(2,5)</f>
        <v>2629981.5566516039</v>
      </c>
      <c r="E949" s="12">
        <f ca="1">_xlfn.NORM.INV(RAND(),AVERAGE(Assumptions!$D$17,Assumptions!$F$17),(Assumptions!$F$17-Assumptions!$D$17)/3.29)*8</f>
        <v>897692.00454402005</v>
      </c>
      <c r="F949" s="15">
        <f ca="1">_xlfn.NORM.INV(RAND(),AVERAGE(Assumptions!$D$7,Assumptions!$F$7),(Assumptions!$F$7-Assumptions!$D$7)/3.29)*RANDBETWEEN(1,3)</f>
        <v>6245790.8536698334</v>
      </c>
      <c r="G949" s="3">
        <f ca="1">_xlfn.NORM.INV(RAND(),AVERAGE(Assumptions!$D$8,Assumptions!$F$8),(Assumptions!$F$8-Assumptions!$D$8)/3.29)*44</f>
        <v>1428826.3031666586</v>
      </c>
      <c r="H949" s="6">
        <f ca="1">_xlfn.NORM.INV(RAND(),AVERAGE(Assumptions!$D$9,Assumptions!$F$9),(Assumptions!$F$9-Assumptions!$D$9)/3.29)*21</f>
        <v>3729213.4175518746</v>
      </c>
      <c r="I949" s="9">
        <f ca="1">_xlfn.NORM.INV(RAND(),AVERAGE(Assumptions!$D$10,Assumptions!$F$10),(Assumptions!$F$10-Assumptions!$D$10)/3.29)*21</f>
        <v>1070574.6660320172</v>
      </c>
      <c r="J949" s="12">
        <f ca="1">NORMINV(RAND(),AVERAGE(Assumptions!$D$11,Assumptions!$F$11),(Assumptions!$F$11-Assumptions!$D$11)/3.29)*44</f>
        <v>3200706.4127849713</v>
      </c>
      <c r="K949" s="15">
        <f ca="1">_xlfn.NORM.INV(RAND(),AVERAGE(Assumptions!$D$12,Assumptions!$F$12),(Assumptions!$F$12-Assumptions!$D$12)/3.29)*44</f>
        <v>7622663.7962387847</v>
      </c>
      <c r="L949" s="3">
        <f ca="1">_xlfn.NORM.INV(RAND(),AVERAGE(Assumptions!$D$13,Assumptions!$F$13),(Assumptions!$F$13-Assumptions!$D$13)/3.29)*44</f>
        <v>18930016.151225809</v>
      </c>
      <c r="M949" s="6">
        <f ca="1">_xlfn.NORM.INV(RAND(),AVERAGE(Assumptions!$D$14,Assumptions!$F$14),(Assumptions!$F$14-Assumptions!$D$14)/3.29)*44</f>
        <v>6014210.3831596989</v>
      </c>
      <c r="N949" s="9">
        <f ca="1">_xlfn.NORM.INV(RAND(),AVERAGE(Assumptions!$D$16,Assumptions!$F$16),(Assumptions!$F$16-Assumptions!$D$16)/3.29)*44</f>
        <v>23957658.376047589</v>
      </c>
      <c r="O949" s="12">
        <f ca="1">_xlfn.NORM.INV(RAND(),AVERAGE(Assumptions!$D$15,Assumptions!$F$15),(Assumptions!$F$15-Assumptions!$D$15)/3.29)*44</f>
        <v>139561651.97826108</v>
      </c>
      <c r="P949" s="15">
        <f>Assumptions!$D$18</f>
        <v>14641750.345627395</v>
      </c>
      <c r="Q949" s="3">
        <f t="shared" ca="1" si="28"/>
        <v>60534665.760679901</v>
      </c>
      <c r="R949" s="6">
        <f t="shared" ca="1" si="29"/>
        <v>75176416.106307298</v>
      </c>
    </row>
    <row r="950" spans="1:18">
      <c r="A950" s="20">
        <v>949</v>
      </c>
      <c r="B950" s="3">
        <f ca="1">_xlfn.NORM.INV(RAND(),AVERAGE(Assumptions!$D$4,Assumptions!$F$4),(Assumptions!$F$4-Assumptions!$D$4)/3.29)*44</f>
        <v>1230963.9871679544</v>
      </c>
      <c r="C950" s="6">
        <f ca="1">_xlfn.NORM.INV(RAND(),AVERAGE(Assumptions!$D$5,Assumptions!$F$5),(Assumptions!$F$5-Assumptions!$D$5)/3.29)*44</f>
        <v>1821612.6041192471</v>
      </c>
      <c r="D950" s="9">
        <f ca="1">_xlfn.NORM.INV(RAND(),AVERAGE(Assumptions!$D$6,Assumptions!$F$6),(Assumptions!$F$6-Assumptions!$D$6)/3.29)*RANDBETWEEN(2,5)</f>
        <v>2074027.3087138392</v>
      </c>
      <c r="E950" s="12">
        <f ca="1">_xlfn.NORM.INV(RAND(),AVERAGE(Assumptions!$D$17,Assumptions!$F$17),(Assumptions!$F$17-Assumptions!$D$17)/3.29)*8</f>
        <v>916010.38270018157</v>
      </c>
      <c r="F950" s="15">
        <f ca="1">_xlfn.NORM.INV(RAND(),AVERAGE(Assumptions!$D$7,Assumptions!$F$7),(Assumptions!$F$7-Assumptions!$D$7)/3.29)*RANDBETWEEN(1,3)</f>
        <v>4670748.6049553175</v>
      </c>
      <c r="G950" s="3">
        <f ca="1">_xlfn.NORM.INV(RAND(),AVERAGE(Assumptions!$D$8,Assumptions!$F$8),(Assumptions!$F$8-Assumptions!$D$8)/3.29)*44</f>
        <v>1154615.5374779752</v>
      </c>
      <c r="H950" s="6">
        <f ca="1">_xlfn.NORM.INV(RAND(),AVERAGE(Assumptions!$D$9,Assumptions!$F$9),(Assumptions!$F$9-Assumptions!$D$9)/3.29)*21</f>
        <v>7027518.9367453279</v>
      </c>
      <c r="I950" s="9">
        <f ca="1">_xlfn.NORM.INV(RAND(),AVERAGE(Assumptions!$D$10,Assumptions!$F$10),(Assumptions!$F$10-Assumptions!$D$10)/3.29)*21</f>
        <v>576353.04805077706</v>
      </c>
      <c r="J950" s="12">
        <f ca="1">NORMINV(RAND(),AVERAGE(Assumptions!$D$11,Assumptions!$F$11),(Assumptions!$F$11-Assumptions!$D$11)/3.29)*44</f>
        <v>4766513.8021506639</v>
      </c>
      <c r="K950" s="15">
        <f ca="1">_xlfn.NORM.INV(RAND(),AVERAGE(Assumptions!$D$12,Assumptions!$F$12),(Assumptions!$F$12-Assumptions!$D$12)/3.29)*44</f>
        <v>9218115.1641324032</v>
      </c>
      <c r="L950" s="3">
        <f ca="1">_xlfn.NORM.INV(RAND(),AVERAGE(Assumptions!$D$13,Assumptions!$F$13),(Assumptions!$F$13-Assumptions!$D$13)/3.29)*44</f>
        <v>15381711.01962957</v>
      </c>
      <c r="M950" s="6">
        <f ca="1">_xlfn.NORM.INV(RAND(),AVERAGE(Assumptions!$D$14,Assumptions!$F$14),(Assumptions!$F$14-Assumptions!$D$14)/3.29)*44</f>
        <v>6272879.2159351865</v>
      </c>
      <c r="N950" s="9">
        <f ca="1">_xlfn.NORM.INV(RAND(),AVERAGE(Assumptions!$D$16,Assumptions!$F$16),(Assumptions!$F$16-Assumptions!$D$16)/3.29)*44</f>
        <v>16518769.328467134</v>
      </c>
      <c r="O950" s="12">
        <f ca="1">_xlfn.NORM.INV(RAND(),AVERAGE(Assumptions!$D$15,Assumptions!$F$15),(Assumptions!$F$15-Assumptions!$D$15)/3.29)*44</f>
        <v>84220315.742190987</v>
      </c>
      <c r="P950" s="15">
        <f>Assumptions!$D$18</f>
        <v>14641750.345627395</v>
      </c>
      <c r="Q950" s="3">
        <f t="shared" ca="1" si="28"/>
        <v>12590476.801945418</v>
      </c>
      <c r="R950" s="6">
        <f t="shared" ca="1" si="29"/>
        <v>27232227.147572815</v>
      </c>
    </row>
    <row r="951" spans="1:18">
      <c r="A951" s="20">
        <v>950</v>
      </c>
      <c r="B951" s="3">
        <f ca="1">_xlfn.NORM.INV(RAND(),AVERAGE(Assumptions!$D$4,Assumptions!$F$4),(Assumptions!$F$4-Assumptions!$D$4)/3.29)*44</f>
        <v>1287127.7988066135</v>
      </c>
      <c r="C951" s="6">
        <f ca="1">_xlfn.NORM.INV(RAND(),AVERAGE(Assumptions!$D$5,Assumptions!$F$5),(Assumptions!$F$5-Assumptions!$D$5)/3.29)*44</f>
        <v>1924369.758901899</v>
      </c>
      <c r="D951" s="9">
        <f ca="1">_xlfn.NORM.INV(RAND(),AVERAGE(Assumptions!$D$6,Assumptions!$F$6),(Assumptions!$F$6-Assumptions!$D$6)/3.29)*RANDBETWEEN(2,5)</f>
        <v>2188310.0705129718</v>
      </c>
      <c r="E951" s="12">
        <f ca="1">_xlfn.NORM.INV(RAND(),AVERAGE(Assumptions!$D$17,Assumptions!$F$17),(Assumptions!$F$17-Assumptions!$D$17)/3.29)*8</f>
        <v>817610.75532086799</v>
      </c>
      <c r="F951" s="15">
        <f ca="1">_xlfn.NORM.INV(RAND(),AVERAGE(Assumptions!$D$7,Assumptions!$F$7),(Assumptions!$F$7-Assumptions!$D$7)/3.29)*RANDBETWEEN(1,3)</f>
        <v>2180621.7856013915</v>
      </c>
      <c r="G951" s="3">
        <f ca="1">_xlfn.NORM.INV(RAND(),AVERAGE(Assumptions!$D$8,Assumptions!$F$8),(Assumptions!$F$8-Assumptions!$D$8)/3.29)*44</f>
        <v>1301037.4047899549</v>
      </c>
      <c r="H951" s="6">
        <f ca="1">_xlfn.NORM.INV(RAND(),AVERAGE(Assumptions!$D$9,Assumptions!$F$9),(Assumptions!$F$9-Assumptions!$D$9)/3.29)*21</f>
        <v>4338538.788659337</v>
      </c>
      <c r="I951" s="9">
        <f ca="1">_xlfn.NORM.INV(RAND(),AVERAGE(Assumptions!$D$10,Assumptions!$F$10),(Assumptions!$F$10-Assumptions!$D$10)/3.29)*21</f>
        <v>895970.53347490309</v>
      </c>
      <c r="J951" s="12">
        <f ca="1">NORMINV(RAND(),AVERAGE(Assumptions!$D$11,Assumptions!$F$11),(Assumptions!$F$11-Assumptions!$D$11)/3.29)*44</f>
        <v>2381314.270821447</v>
      </c>
      <c r="K951" s="15">
        <f ca="1">_xlfn.NORM.INV(RAND(),AVERAGE(Assumptions!$D$12,Assumptions!$F$12),(Assumptions!$F$12-Assumptions!$D$12)/3.29)*44</f>
        <v>11731434.510437405</v>
      </c>
      <c r="L951" s="3">
        <f ca="1">_xlfn.NORM.INV(RAND(),AVERAGE(Assumptions!$D$13,Assumptions!$F$13),(Assumptions!$F$13-Assumptions!$D$13)/3.29)*44</f>
        <v>11792204.785379805</v>
      </c>
      <c r="M951" s="6">
        <f ca="1">_xlfn.NORM.INV(RAND(),AVERAGE(Assumptions!$D$14,Assumptions!$F$14),(Assumptions!$F$14-Assumptions!$D$14)/3.29)*44</f>
        <v>6019088.0010558181</v>
      </c>
      <c r="N951" s="9">
        <f ca="1">_xlfn.NORM.INV(RAND(),AVERAGE(Assumptions!$D$16,Assumptions!$F$16),(Assumptions!$F$16-Assumptions!$D$16)/3.29)*44</f>
        <v>11977753.173189016</v>
      </c>
      <c r="O951" s="12">
        <f ca="1">_xlfn.NORM.INV(RAND(),AVERAGE(Assumptions!$D$15,Assumptions!$F$15),(Assumptions!$F$15-Assumptions!$D$15)/3.29)*44</f>
        <v>228700095.25820172</v>
      </c>
      <c r="P951" s="15">
        <f>Assumptions!$D$18</f>
        <v>14641750.345627395</v>
      </c>
      <c r="Q951" s="3">
        <f t="shared" ca="1" si="28"/>
        <v>169864713.6212503</v>
      </c>
      <c r="R951" s="6">
        <f t="shared" ca="1" si="29"/>
        <v>184506463.9668777</v>
      </c>
    </row>
    <row r="952" spans="1:18">
      <c r="A952" s="20">
        <v>951</v>
      </c>
      <c r="B952" s="3">
        <f ca="1">_xlfn.NORM.INV(RAND(),AVERAGE(Assumptions!$D$4,Assumptions!$F$4),(Assumptions!$F$4-Assumptions!$D$4)/3.29)*44</f>
        <v>1258087.6684976069</v>
      </c>
      <c r="C952" s="6">
        <f ca="1">_xlfn.NORM.INV(RAND(),AVERAGE(Assumptions!$D$5,Assumptions!$F$5),(Assumptions!$F$5-Assumptions!$D$5)/3.29)*44</f>
        <v>1931233.4784724312</v>
      </c>
      <c r="D952" s="9">
        <f ca="1">_xlfn.NORM.INV(RAND(),AVERAGE(Assumptions!$D$6,Assumptions!$F$6),(Assumptions!$F$6-Assumptions!$D$6)/3.29)*RANDBETWEEN(2,5)</f>
        <v>4030513.1789745884</v>
      </c>
      <c r="E952" s="12">
        <f ca="1">_xlfn.NORM.INV(RAND(),AVERAGE(Assumptions!$D$17,Assumptions!$F$17),(Assumptions!$F$17-Assumptions!$D$17)/3.29)*8</f>
        <v>1083997.9640174652</v>
      </c>
      <c r="F952" s="15">
        <f ca="1">_xlfn.NORM.INV(RAND(),AVERAGE(Assumptions!$D$7,Assumptions!$F$7),(Assumptions!$F$7-Assumptions!$D$7)/3.29)*RANDBETWEEN(1,3)</f>
        <v>3095911.7807689761</v>
      </c>
      <c r="G952" s="3">
        <f ca="1">_xlfn.NORM.INV(RAND(),AVERAGE(Assumptions!$D$8,Assumptions!$F$8),(Assumptions!$F$8-Assumptions!$D$8)/3.29)*44</f>
        <v>1169322.2122740303</v>
      </c>
      <c r="H952" s="6">
        <f ca="1">_xlfn.NORM.INV(RAND(),AVERAGE(Assumptions!$D$9,Assumptions!$F$9),(Assumptions!$F$9-Assumptions!$D$9)/3.29)*21</f>
        <v>4769945.4284500033</v>
      </c>
      <c r="I952" s="9">
        <f ca="1">_xlfn.NORM.INV(RAND(),AVERAGE(Assumptions!$D$10,Assumptions!$F$10),(Assumptions!$F$10-Assumptions!$D$10)/3.29)*21</f>
        <v>759269.68078656646</v>
      </c>
      <c r="J952" s="12">
        <f ca="1">NORMINV(RAND(),AVERAGE(Assumptions!$D$11,Assumptions!$F$11),(Assumptions!$F$11-Assumptions!$D$11)/3.29)*44</f>
        <v>3939542.4547179942</v>
      </c>
      <c r="K952" s="15">
        <f ca="1">_xlfn.NORM.INV(RAND(),AVERAGE(Assumptions!$D$12,Assumptions!$F$12),(Assumptions!$F$12-Assumptions!$D$12)/3.29)*44</f>
        <v>9796921.5197093487</v>
      </c>
      <c r="L952" s="3">
        <f ca="1">_xlfn.NORM.INV(RAND(),AVERAGE(Assumptions!$D$13,Assumptions!$F$13),(Assumptions!$F$13-Assumptions!$D$13)/3.29)*44</f>
        <v>24913505.147896957</v>
      </c>
      <c r="M952" s="6">
        <f ca="1">_xlfn.NORM.INV(RAND(),AVERAGE(Assumptions!$D$14,Assumptions!$F$14),(Assumptions!$F$14-Assumptions!$D$14)/3.29)*44</f>
        <v>5841329.1730314717</v>
      </c>
      <c r="N952" s="9">
        <f ca="1">_xlfn.NORM.INV(RAND(),AVERAGE(Assumptions!$D$16,Assumptions!$F$16),(Assumptions!$F$16-Assumptions!$D$16)/3.29)*44</f>
        <v>12051548.294437682</v>
      </c>
      <c r="O952" s="12">
        <f ca="1">_xlfn.NORM.INV(RAND(),AVERAGE(Assumptions!$D$15,Assumptions!$F$15),(Assumptions!$F$15-Assumptions!$D$15)/3.29)*44</f>
        <v>137415926.84677371</v>
      </c>
      <c r="P952" s="15">
        <f>Assumptions!$D$18</f>
        <v>14641750.345627395</v>
      </c>
      <c r="Q952" s="3">
        <f t="shared" ca="1" si="28"/>
        <v>62774798.864738598</v>
      </c>
      <c r="R952" s="6">
        <f t="shared" ca="1" si="29"/>
        <v>77416549.210365996</v>
      </c>
    </row>
    <row r="953" spans="1:18">
      <c r="A953" s="20">
        <v>952</v>
      </c>
      <c r="B953" s="3">
        <f ca="1">_xlfn.NORM.INV(RAND(),AVERAGE(Assumptions!$D$4,Assumptions!$F$4),(Assumptions!$F$4-Assumptions!$D$4)/3.29)*44</f>
        <v>1218837.7654473037</v>
      </c>
      <c r="C953" s="6">
        <f ca="1">_xlfn.NORM.INV(RAND(),AVERAGE(Assumptions!$D$5,Assumptions!$F$5),(Assumptions!$F$5-Assumptions!$D$5)/3.29)*44</f>
        <v>1992231.1226953901</v>
      </c>
      <c r="D953" s="9">
        <f ca="1">_xlfn.NORM.INV(RAND(),AVERAGE(Assumptions!$D$6,Assumptions!$F$6),(Assumptions!$F$6-Assumptions!$D$6)/3.29)*RANDBETWEEN(2,5)</f>
        <v>1053728.7656581798</v>
      </c>
      <c r="E953" s="12">
        <f ca="1">_xlfn.NORM.INV(RAND(),AVERAGE(Assumptions!$D$17,Assumptions!$F$17),(Assumptions!$F$17-Assumptions!$D$17)/3.29)*8</f>
        <v>970806.22169647366</v>
      </c>
      <c r="F953" s="15">
        <f ca="1">_xlfn.NORM.INV(RAND(),AVERAGE(Assumptions!$D$7,Assumptions!$F$7),(Assumptions!$F$7-Assumptions!$D$7)/3.29)*RANDBETWEEN(1,3)</f>
        <v>12222975.089615343</v>
      </c>
      <c r="G953" s="3">
        <f ca="1">_xlfn.NORM.INV(RAND(),AVERAGE(Assumptions!$D$8,Assumptions!$F$8),(Assumptions!$F$8-Assumptions!$D$8)/3.29)*44</f>
        <v>970862.23170062702</v>
      </c>
      <c r="H953" s="6">
        <f ca="1">_xlfn.NORM.INV(RAND(),AVERAGE(Assumptions!$D$9,Assumptions!$F$9),(Assumptions!$F$9-Assumptions!$D$9)/3.29)*21</f>
        <v>3879978.3720402541</v>
      </c>
      <c r="I953" s="9">
        <f ca="1">_xlfn.NORM.INV(RAND(),AVERAGE(Assumptions!$D$10,Assumptions!$F$10),(Assumptions!$F$10-Assumptions!$D$10)/3.29)*21</f>
        <v>1107350.3039038577</v>
      </c>
      <c r="J953" s="12">
        <f ca="1">NORMINV(RAND(),AVERAGE(Assumptions!$D$11,Assumptions!$F$11),(Assumptions!$F$11-Assumptions!$D$11)/3.29)*44</f>
        <v>4562629.1820607493</v>
      </c>
      <c r="K953" s="15">
        <f ca="1">_xlfn.NORM.INV(RAND(),AVERAGE(Assumptions!$D$12,Assumptions!$F$12),(Assumptions!$F$12-Assumptions!$D$12)/3.29)*44</f>
        <v>9107319.2155770157</v>
      </c>
      <c r="L953" s="3">
        <f ca="1">_xlfn.NORM.INV(RAND(),AVERAGE(Assumptions!$D$13,Assumptions!$F$13),(Assumptions!$F$13-Assumptions!$D$13)/3.29)*44</f>
        <v>10958035.555959625</v>
      </c>
      <c r="M953" s="6">
        <f ca="1">_xlfn.NORM.INV(RAND(),AVERAGE(Assumptions!$D$14,Assumptions!$F$14),(Assumptions!$F$14-Assumptions!$D$14)/3.29)*44</f>
        <v>6131028.7928572223</v>
      </c>
      <c r="N953" s="9">
        <f ca="1">_xlfn.NORM.INV(RAND(),AVERAGE(Assumptions!$D$16,Assumptions!$F$16),(Assumptions!$F$16-Assumptions!$D$16)/3.29)*44</f>
        <v>5090813.5847431924</v>
      </c>
      <c r="O953" s="12">
        <f ca="1">_xlfn.NORM.INV(RAND(),AVERAGE(Assumptions!$D$15,Assumptions!$F$15),(Assumptions!$F$15-Assumptions!$D$15)/3.29)*44</f>
        <v>138175394.69506371</v>
      </c>
      <c r="P953" s="15">
        <f>Assumptions!$D$18</f>
        <v>14641750.345627395</v>
      </c>
      <c r="Q953" s="3">
        <f t="shared" ca="1" si="28"/>
        <v>78908798.491108477</v>
      </c>
      <c r="R953" s="6">
        <f t="shared" ca="1" si="29"/>
        <v>93550548.836735874</v>
      </c>
    </row>
    <row r="954" spans="1:18">
      <c r="A954" s="20">
        <v>953</v>
      </c>
      <c r="B954" s="3">
        <f ca="1">_xlfn.NORM.INV(RAND(),AVERAGE(Assumptions!$D$4,Assumptions!$F$4),(Assumptions!$F$4-Assumptions!$D$4)/3.29)*44</f>
        <v>1284791.0498565403</v>
      </c>
      <c r="C954" s="6">
        <f ca="1">_xlfn.NORM.INV(RAND(),AVERAGE(Assumptions!$D$5,Assumptions!$F$5),(Assumptions!$F$5-Assumptions!$D$5)/3.29)*44</f>
        <v>1917489.8400391345</v>
      </c>
      <c r="D954" s="9">
        <f ca="1">_xlfn.NORM.INV(RAND(),AVERAGE(Assumptions!$D$6,Assumptions!$F$6),(Assumptions!$F$6-Assumptions!$D$6)/3.29)*RANDBETWEEN(2,5)</f>
        <v>8502055.1644530259</v>
      </c>
      <c r="E954" s="12">
        <f ca="1">_xlfn.NORM.INV(RAND(),AVERAGE(Assumptions!$D$17,Assumptions!$F$17),(Assumptions!$F$17-Assumptions!$D$17)/3.29)*8</f>
        <v>933830.79794713354</v>
      </c>
      <c r="F954" s="15">
        <f ca="1">_xlfn.NORM.INV(RAND(),AVERAGE(Assumptions!$D$7,Assumptions!$F$7),(Assumptions!$F$7-Assumptions!$D$7)/3.29)*RANDBETWEEN(1,3)</f>
        <v>1901755.251357557</v>
      </c>
      <c r="G954" s="3">
        <f ca="1">_xlfn.NORM.INV(RAND(),AVERAGE(Assumptions!$D$8,Assumptions!$F$8),(Assumptions!$F$8-Assumptions!$D$8)/3.29)*44</f>
        <v>806244.5556938292</v>
      </c>
      <c r="H954" s="6">
        <f ca="1">_xlfn.NORM.INV(RAND(),AVERAGE(Assumptions!$D$9,Assumptions!$F$9),(Assumptions!$F$9-Assumptions!$D$9)/3.29)*21</f>
        <v>5083468.3386752633</v>
      </c>
      <c r="I954" s="9">
        <f ca="1">_xlfn.NORM.INV(RAND(),AVERAGE(Assumptions!$D$10,Assumptions!$F$10),(Assumptions!$F$10-Assumptions!$D$10)/3.29)*21</f>
        <v>797599.40267965128</v>
      </c>
      <c r="J954" s="12">
        <f ca="1">NORMINV(RAND(),AVERAGE(Assumptions!$D$11,Assumptions!$F$11),(Assumptions!$F$11-Assumptions!$D$11)/3.29)*44</f>
        <v>5554311.6601486243</v>
      </c>
      <c r="K954" s="15">
        <f ca="1">_xlfn.NORM.INV(RAND(),AVERAGE(Assumptions!$D$12,Assumptions!$F$12),(Assumptions!$F$12-Assumptions!$D$12)/3.29)*44</f>
        <v>5623111.7185512912</v>
      </c>
      <c r="L954" s="3">
        <f ca="1">_xlfn.NORM.INV(RAND(),AVERAGE(Assumptions!$D$13,Assumptions!$F$13),(Assumptions!$F$13-Assumptions!$D$13)/3.29)*44</f>
        <v>15767651.757249707</v>
      </c>
      <c r="M954" s="6">
        <f ca="1">_xlfn.NORM.INV(RAND(),AVERAGE(Assumptions!$D$14,Assumptions!$F$14),(Assumptions!$F$14-Assumptions!$D$14)/3.29)*44</f>
        <v>2985315.5763756265</v>
      </c>
      <c r="N954" s="9">
        <f ca="1">_xlfn.NORM.INV(RAND(),AVERAGE(Assumptions!$D$16,Assumptions!$F$16),(Assumptions!$F$16-Assumptions!$D$16)/3.29)*44</f>
        <v>6446012.9259297391</v>
      </c>
      <c r="O954" s="12">
        <f ca="1">_xlfn.NORM.INV(RAND(),AVERAGE(Assumptions!$D$15,Assumptions!$F$15),(Assumptions!$F$15-Assumptions!$D$15)/3.29)*44</f>
        <v>103355721.61389595</v>
      </c>
      <c r="P954" s="15">
        <f>Assumptions!$D$18</f>
        <v>14641750.345627395</v>
      </c>
      <c r="Q954" s="3">
        <f t="shared" ca="1" si="28"/>
        <v>45752083.574938834</v>
      </c>
      <c r="R954" s="6">
        <f t="shared" ca="1" si="29"/>
        <v>60393833.920566231</v>
      </c>
    </row>
    <row r="955" spans="1:18">
      <c r="A955" s="20">
        <v>954</v>
      </c>
      <c r="B955" s="3">
        <f ca="1">_xlfn.NORM.INV(RAND(),AVERAGE(Assumptions!$D$4,Assumptions!$F$4),(Assumptions!$F$4-Assumptions!$D$4)/3.29)*44</f>
        <v>1312598.8065150622</v>
      </c>
      <c r="C955" s="6">
        <f ca="1">_xlfn.NORM.INV(RAND(),AVERAGE(Assumptions!$D$5,Assumptions!$F$5),(Assumptions!$F$5-Assumptions!$D$5)/3.29)*44</f>
        <v>2088525.2376534173</v>
      </c>
      <c r="D955" s="9">
        <f ca="1">_xlfn.NORM.INV(RAND(),AVERAGE(Assumptions!$D$6,Assumptions!$F$6),(Assumptions!$F$6-Assumptions!$D$6)/3.29)*RANDBETWEEN(2,5)</f>
        <v>6449437.1327210413</v>
      </c>
      <c r="E955" s="12">
        <f ca="1">_xlfn.NORM.INV(RAND(),AVERAGE(Assumptions!$D$17,Assumptions!$F$17),(Assumptions!$F$17-Assumptions!$D$17)/3.29)*8</f>
        <v>696821.76150008477</v>
      </c>
      <c r="F955" s="15">
        <f ca="1">_xlfn.NORM.INV(RAND(),AVERAGE(Assumptions!$D$7,Assumptions!$F$7),(Assumptions!$F$7-Assumptions!$D$7)/3.29)*RANDBETWEEN(1,3)</f>
        <v>745593.48950812872</v>
      </c>
      <c r="G955" s="3">
        <f ca="1">_xlfn.NORM.INV(RAND(),AVERAGE(Assumptions!$D$8,Assumptions!$F$8),(Assumptions!$F$8-Assumptions!$D$8)/3.29)*44</f>
        <v>1162950.5739269753</v>
      </c>
      <c r="H955" s="6">
        <f ca="1">_xlfn.NORM.INV(RAND(),AVERAGE(Assumptions!$D$9,Assumptions!$F$9),(Assumptions!$F$9-Assumptions!$D$9)/3.29)*21</f>
        <v>3538212.322759002</v>
      </c>
      <c r="I955" s="9">
        <f ca="1">_xlfn.NORM.INV(RAND(),AVERAGE(Assumptions!$D$10,Assumptions!$F$10),(Assumptions!$F$10-Assumptions!$D$10)/3.29)*21</f>
        <v>926518.58313754434</v>
      </c>
      <c r="J955" s="12">
        <f ca="1">NORMINV(RAND(),AVERAGE(Assumptions!$D$11,Assumptions!$F$11),(Assumptions!$F$11-Assumptions!$D$11)/3.29)*44</f>
        <v>2281334.739918042</v>
      </c>
      <c r="K955" s="15">
        <f ca="1">_xlfn.NORM.INV(RAND(),AVERAGE(Assumptions!$D$12,Assumptions!$F$12),(Assumptions!$F$12-Assumptions!$D$12)/3.29)*44</f>
        <v>9121996.3057671003</v>
      </c>
      <c r="L955" s="3">
        <f ca="1">_xlfn.NORM.INV(RAND(),AVERAGE(Assumptions!$D$13,Assumptions!$F$13),(Assumptions!$F$13-Assumptions!$D$13)/3.29)*44</f>
        <v>22934433.041946549</v>
      </c>
      <c r="M955" s="6">
        <f ca="1">_xlfn.NORM.INV(RAND(),AVERAGE(Assumptions!$D$14,Assumptions!$F$14),(Assumptions!$F$14-Assumptions!$D$14)/3.29)*44</f>
        <v>5079334.9895771677</v>
      </c>
      <c r="N955" s="9">
        <f ca="1">_xlfn.NORM.INV(RAND(),AVERAGE(Assumptions!$D$16,Assumptions!$F$16),(Assumptions!$F$16-Assumptions!$D$16)/3.29)*44</f>
        <v>11385707.221682817</v>
      </c>
      <c r="O955" s="12">
        <f ca="1">_xlfn.NORM.INV(RAND(),AVERAGE(Assumptions!$D$15,Assumptions!$F$15),(Assumptions!$F$15-Assumptions!$D$15)/3.29)*44</f>
        <v>28916104.868578244</v>
      </c>
      <c r="P955" s="15">
        <f>Assumptions!$D$18</f>
        <v>14641750.345627395</v>
      </c>
      <c r="Q955" s="3">
        <f t="shared" ca="1" si="28"/>
        <v>-38807359.338034689</v>
      </c>
      <c r="R955" s="6">
        <f t="shared" ca="1" si="29"/>
        <v>-24165608.992407292</v>
      </c>
    </row>
    <row r="956" spans="1:18">
      <c r="A956" s="20">
        <v>955</v>
      </c>
      <c r="B956" s="3">
        <f ca="1">_xlfn.NORM.INV(RAND(),AVERAGE(Assumptions!$D$4,Assumptions!$F$4),(Assumptions!$F$4-Assumptions!$D$4)/3.29)*44</f>
        <v>1080105.086983498</v>
      </c>
      <c r="C956" s="6">
        <f ca="1">_xlfn.NORM.INV(RAND(),AVERAGE(Assumptions!$D$5,Assumptions!$F$5),(Assumptions!$F$5-Assumptions!$D$5)/3.29)*44</f>
        <v>1817447.4364107321</v>
      </c>
      <c r="D956" s="9">
        <f ca="1">_xlfn.NORM.INV(RAND(),AVERAGE(Assumptions!$D$6,Assumptions!$F$6),(Assumptions!$F$6-Assumptions!$D$6)/3.29)*RANDBETWEEN(2,5)</f>
        <v>7034896.4939569077</v>
      </c>
      <c r="E956" s="12">
        <f ca="1">_xlfn.NORM.INV(RAND(),AVERAGE(Assumptions!$D$17,Assumptions!$F$17),(Assumptions!$F$17-Assumptions!$D$17)/3.29)*8</f>
        <v>941642.31317366299</v>
      </c>
      <c r="F956" s="15">
        <f ca="1">_xlfn.NORM.INV(RAND(),AVERAGE(Assumptions!$D$7,Assumptions!$F$7),(Assumptions!$F$7-Assumptions!$D$7)/3.29)*RANDBETWEEN(1,3)</f>
        <v>6506015.2924459204</v>
      </c>
      <c r="G956" s="3">
        <f ca="1">_xlfn.NORM.INV(RAND(),AVERAGE(Assumptions!$D$8,Assumptions!$F$8),(Assumptions!$F$8-Assumptions!$D$8)/3.29)*44</f>
        <v>950067.30711479881</v>
      </c>
      <c r="H956" s="6">
        <f ca="1">_xlfn.NORM.INV(RAND(),AVERAGE(Assumptions!$D$9,Assumptions!$F$9),(Assumptions!$F$9-Assumptions!$D$9)/3.29)*21</f>
        <v>4986691.6913607949</v>
      </c>
      <c r="I956" s="9">
        <f ca="1">_xlfn.NORM.INV(RAND(),AVERAGE(Assumptions!$D$10,Assumptions!$F$10),(Assumptions!$F$10-Assumptions!$D$10)/3.29)*21</f>
        <v>486234.23636194802</v>
      </c>
      <c r="J956" s="12">
        <f ca="1">NORMINV(RAND(),AVERAGE(Assumptions!$D$11,Assumptions!$F$11),(Assumptions!$F$11-Assumptions!$D$11)/3.29)*44</f>
        <v>3857020.564708929</v>
      </c>
      <c r="K956" s="15">
        <f ca="1">_xlfn.NORM.INV(RAND(),AVERAGE(Assumptions!$D$12,Assumptions!$F$12),(Assumptions!$F$12-Assumptions!$D$12)/3.29)*44</f>
        <v>8085463.3663040623</v>
      </c>
      <c r="L956" s="3">
        <f ca="1">_xlfn.NORM.INV(RAND(),AVERAGE(Assumptions!$D$13,Assumptions!$F$13),(Assumptions!$F$13-Assumptions!$D$13)/3.29)*44</f>
        <v>9598705.4020871855</v>
      </c>
      <c r="M956" s="6">
        <f ca="1">_xlfn.NORM.INV(RAND(),AVERAGE(Assumptions!$D$14,Assumptions!$F$14),(Assumptions!$F$14-Assumptions!$D$14)/3.29)*44</f>
        <v>4971743.2199380221</v>
      </c>
      <c r="N956" s="9">
        <f ca="1">_xlfn.NORM.INV(RAND(),AVERAGE(Assumptions!$D$16,Assumptions!$F$16),(Assumptions!$F$16-Assumptions!$D$16)/3.29)*44</f>
        <v>10996558.626855221</v>
      </c>
      <c r="O956" s="12">
        <f ca="1">_xlfn.NORM.INV(RAND(),AVERAGE(Assumptions!$D$15,Assumptions!$F$15),(Assumptions!$F$15-Assumptions!$D$15)/3.29)*44</f>
        <v>105967245.54037695</v>
      </c>
      <c r="P956" s="15">
        <f>Assumptions!$D$18</f>
        <v>14641750.345627395</v>
      </c>
      <c r="Q956" s="3">
        <f t="shared" ca="1" si="28"/>
        <v>44654654.50267525</v>
      </c>
      <c r="R956" s="6">
        <f t="shared" ca="1" si="29"/>
        <v>59296404.848302647</v>
      </c>
    </row>
    <row r="957" spans="1:18">
      <c r="A957" s="20">
        <v>956</v>
      </c>
      <c r="B957" s="3">
        <f ca="1">_xlfn.NORM.INV(RAND(),AVERAGE(Assumptions!$D$4,Assumptions!$F$4),(Assumptions!$F$4-Assumptions!$D$4)/3.29)*44</f>
        <v>1241281.7892755421</v>
      </c>
      <c r="C957" s="6">
        <f ca="1">_xlfn.NORM.INV(RAND(),AVERAGE(Assumptions!$D$5,Assumptions!$F$5),(Assumptions!$F$5-Assumptions!$D$5)/3.29)*44</f>
        <v>1713088.3128178439</v>
      </c>
      <c r="D957" s="9">
        <f ca="1">_xlfn.NORM.INV(RAND(),AVERAGE(Assumptions!$D$6,Assumptions!$F$6),(Assumptions!$F$6-Assumptions!$D$6)/3.29)*RANDBETWEEN(2,5)</f>
        <v>5654518.6640883945</v>
      </c>
      <c r="E957" s="12">
        <f ca="1">_xlfn.NORM.INV(RAND(),AVERAGE(Assumptions!$D$17,Assumptions!$F$17),(Assumptions!$F$17-Assumptions!$D$17)/3.29)*8</f>
        <v>871275.79136702709</v>
      </c>
      <c r="F957" s="15">
        <f ca="1">_xlfn.NORM.INV(RAND(),AVERAGE(Assumptions!$D$7,Assumptions!$F$7),(Assumptions!$F$7-Assumptions!$D$7)/3.29)*RANDBETWEEN(1,3)</f>
        <v>2891771.190988238</v>
      </c>
      <c r="G957" s="3">
        <f ca="1">_xlfn.NORM.INV(RAND(),AVERAGE(Assumptions!$D$8,Assumptions!$F$8),(Assumptions!$F$8-Assumptions!$D$8)/3.29)*44</f>
        <v>1436189.3055511904</v>
      </c>
      <c r="H957" s="6">
        <f ca="1">_xlfn.NORM.INV(RAND(),AVERAGE(Assumptions!$D$9,Assumptions!$F$9),(Assumptions!$F$9-Assumptions!$D$9)/3.29)*21</f>
        <v>5540444.455847458</v>
      </c>
      <c r="I957" s="9">
        <f ca="1">_xlfn.NORM.INV(RAND(),AVERAGE(Assumptions!$D$10,Assumptions!$F$10),(Assumptions!$F$10-Assumptions!$D$10)/3.29)*21</f>
        <v>767987.53156136209</v>
      </c>
      <c r="J957" s="12">
        <f ca="1">NORMINV(RAND(),AVERAGE(Assumptions!$D$11,Assumptions!$F$11),(Assumptions!$F$11-Assumptions!$D$11)/3.29)*44</f>
        <v>2577677.0423012283</v>
      </c>
      <c r="K957" s="15">
        <f ca="1">_xlfn.NORM.INV(RAND(),AVERAGE(Assumptions!$D$12,Assumptions!$F$12),(Assumptions!$F$12-Assumptions!$D$12)/3.29)*44</f>
        <v>8710417.9455599971</v>
      </c>
      <c r="L957" s="3">
        <f ca="1">_xlfn.NORM.INV(RAND(),AVERAGE(Assumptions!$D$13,Assumptions!$F$13),(Assumptions!$F$13-Assumptions!$D$13)/3.29)*44</f>
        <v>5685097.8793680593</v>
      </c>
      <c r="M957" s="6">
        <f ca="1">_xlfn.NORM.INV(RAND(),AVERAGE(Assumptions!$D$14,Assumptions!$F$14),(Assumptions!$F$14-Assumptions!$D$14)/3.29)*44</f>
        <v>6576704.8902202463</v>
      </c>
      <c r="N957" s="9">
        <f ca="1">_xlfn.NORM.INV(RAND(),AVERAGE(Assumptions!$D$16,Assumptions!$F$16),(Assumptions!$F$16-Assumptions!$D$16)/3.29)*44</f>
        <v>8719979.4534538928</v>
      </c>
      <c r="O957" s="12">
        <f ca="1">_xlfn.NORM.INV(RAND(),AVERAGE(Assumptions!$D$15,Assumptions!$F$15),(Assumptions!$F$15-Assumptions!$D$15)/3.29)*44</f>
        <v>203621565.91665262</v>
      </c>
      <c r="P957" s="15">
        <f>Assumptions!$D$18</f>
        <v>14641750.345627395</v>
      </c>
      <c r="Q957" s="3">
        <f t="shared" ca="1" si="28"/>
        <v>151235131.66425216</v>
      </c>
      <c r="R957" s="6">
        <f t="shared" ca="1" si="29"/>
        <v>165876882.00987956</v>
      </c>
    </row>
    <row r="958" spans="1:18">
      <c r="A958" s="20">
        <v>957</v>
      </c>
      <c r="B958" s="3">
        <f ca="1">_xlfn.NORM.INV(RAND(),AVERAGE(Assumptions!$D$4,Assumptions!$F$4),(Assumptions!$F$4-Assumptions!$D$4)/3.29)*44</f>
        <v>1124979.0296419491</v>
      </c>
      <c r="C958" s="6">
        <f ca="1">_xlfn.NORM.INV(RAND(),AVERAGE(Assumptions!$D$5,Assumptions!$F$5),(Assumptions!$F$5-Assumptions!$D$5)/3.29)*44</f>
        <v>2033480.5592363975</v>
      </c>
      <c r="D958" s="9">
        <f ca="1">_xlfn.NORM.INV(RAND(),AVERAGE(Assumptions!$D$6,Assumptions!$F$6),(Assumptions!$F$6-Assumptions!$D$6)/3.29)*RANDBETWEEN(2,5)</f>
        <v>7707562.9687250424</v>
      </c>
      <c r="E958" s="12">
        <f ca="1">_xlfn.NORM.INV(RAND(),AVERAGE(Assumptions!$D$17,Assumptions!$F$17),(Assumptions!$F$17-Assumptions!$D$17)/3.29)*8</f>
        <v>1129937.56252681</v>
      </c>
      <c r="F958" s="15">
        <f ca="1">_xlfn.NORM.INV(RAND(),AVERAGE(Assumptions!$D$7,Assumptions!$F$7),(Assumptions!$F$7-Assumptions!$D$7)/3.29)*RANDBETWEEN(1,3)</f>
        <v>4879428.2798973788</v>
      </c>
      <c r="G958" s="3">
        <f ca="1">_xlfn.NORM.INV(RAND(),AVERAGE(Assumptions!$D$8,Assumptions!$F$8),(Assumptions!$F$8-Assumptions!$D$8)/3.29)*44</f>
        <v>1151582.5353349091</v>
      </c>
      <c r="H958" s="6">
        <f ca="1">_xlfn.NORM.INV(RAND(),AVERAGE(Assumptions!$D$9,Assumptions!$F$9),(Assumptions!$F$9-Assumptions!$D$9)/3.29)*21</f>
        <v>4410381.701429598</v>
      </c>
      <c r="I958" s="9">
        <f ca="1">_xlfn.NORM.INV(RAND(),AVERAGE(Assumptions!$D$10,Assumptions!$F$10),(Assumptions!$F$10-Assumptions!$D$10)/3.29)*21</f>
        <v>999062.1043466035</v>
      </c>
      <c r="J958" s="12">
        <f ca="1">NORMINV(RAND(),AVERAGE(Assumptions!$D$11,Assumptions!$F$11),(Assumptions!$F$11-Assumptions!$D$11)/3.29)*44</f>
        <v>2411120.4877504506</v>
      </c>
      <c r="K958" s="15">
        <f ca="1">_xlfn.NORM.INV(RAND(),AVERAGE(Assumptions!$D$12,Assumptions!$F$12),(Assumptions!$F$12-Assumptions!$D$12)/3.29)*44</f>
        <v>8641981.2281819116</v>
      </c>
      <c r="L958" s="3">
        <f ca="1">_xlfn.NORM.INV(RAND(),AVERAGE(Assumptions!$D$13,Assumptions!$F$13),(Assumptions!$F$13-Assumptions!$D$13)/3.29)*44</f>
        <v>16242812.148446174</v>
      </c>
      <c r="M958" s="6">
        <f ca="1">_xlfn.NORM.INV(RAND(),AVERAGE(Assumptions!$D$14,Assumptions!$F$14),(Assumptions!$F$14-Assumptions!$D$14)/3.29)*44</f>
        <v>8350679.4965310236</v>
      </c>
      <c r="N958" s="9">
        <f ca="1">_xlfn.NORM.INV(RAND(),AVERAGE(Assumptions!$D$16,Assumptions!$F$16),(Assumptions!$F$16-Assumptions!$D$16)/3.29)*44</f>
        <v>10417593.829895526</v>
      </c>
      <c r="O958" s="12">
        <f ca="1">_xlfn.NORM.INV(RAND(),AVERAGE(Assumptions!$D$15,Assumptions!$F$15),(Assumptions!$F$15-Assumptions!$D$15)/3.29)*44</f>
        <v>174130099.2930086</v>
      </c>
      <c r="P958" s="15">
        <f>Assumptions!$D$18</f>
        <v>14641750.345627395</v>
      </c>
      <c r="Q958" s="3">
        <f t="shared" ca="1" si="28"/>
        <v>104629497.36106482</v>
      </c>
      <c r="R958" s="6">
        <f t="shared" ca="1" si="29"/>
        <v>119271247.70669222</v>
      </c>
    </row>
    <row r="959" spans="1:18">
      <c r="A959" s="20">
        <v>958</v>
      </c>
      <c r="B959" s="3">
        <f ca="1">_xlfn.NORM.INV(RAND(),AVERAGE(Assumptions!$D$4,Assumptions!$F$4),(Assumptions!$F$4-Assumptions!$D$4)/3.29)*44</f>
        <v>1162628.5193364408</v>
      </c>
      <c r="C959" s="6">
        <f ca="1">_xlfn.NORM.INV(RAND(),AVERAGE(Assumptions!$D$5,Assumptions!$F$5),(Assumptions!$F$5-Assumptions!$D$5)/3.29)*44</f>
        <v>1842017.4268551955</v>
      </c>
      <c r="D959" s="9">
        <f ca="1">_xlfn.NORM.INV(RAND(),AVERAGE(Assumptions!$D$6,Assumptions!$F$6),(Assumptions!$F$6-Assumptions!$D$6)/3.29)*RANDBETWEEN(2,5)</f>
        <v>2597946.5069413027</v>
      </c>
      <c r="E959" s="12">
        <f ca="1">_xlfn.NORM.INV(RAND(),AVERAGE(Assumptions!$D$17,Assumptions!$F$17),(Assumptions!$F$17-Assumptions!$D$17)/3.29)*8</f>
        <v>1107078.2226691227</v>
      </c>
      <c r="F959" s="15">
        <f ca="1">_xlfn.NORM.INV(RAND(),AVERAGE(Assumptions!$D$7,Assumptions!$F$7),(Assumptions!$F$7-Assumptions!$D$7)/3.29)*RANDBETWEEN(1,3)</f>
        <v>1241226.9241650477</v>
      </c>
      <c r="G959" s="3">
        <f ca="1">_xlfn.NORM.INV(RAND(),AVERAGE(Assumptions!$D$8,Assumptions!$F$8),(Assumptions!$F$8-Assumptions!$D$8)/3.29)*44</f>
        <v>1012106.2223948694</v>
      </c>
      <c r="H959" s="6">
        <f ca="1">_xlfn.NORM.INV(RAND(),AVERAGE(Assumptions!$D$9,Assumptions!$F$9),(Assumptions!$F$9-Assumptions!$D$9)/3.29)*21</f>
        <v>1710141.0421177379</v>
      </c>
      <c r="I959" s="9">
        <f ca="1">_xlfn.NORM.INV(RAND(),AVERAGE(Assumptions!$D$10,Assumptions!$F$10),(Assumptions!$F$10-Assumptions!$D$10)/3.29)*21</f>
        <v>1065068.8647284824</v>
      </c>
      <c r="J959" s="12">
        <f ca="1">NORMINV(RAND(),AVERAGE(Assumptions!$D$11,Assumptions!$F$11),(Assumptions!$F$11-Assumptions!$D$11)/3.29)*44</f>
        <v>3434009.3275823495</v>
      </c>
      <c r="K959" s="15">
        <f ca="1">_xlfn.NORM.INV(RAND(),AVERAGE(Assumptions!$D$12,Assumptions!$F$12),(Assumptions!$F$12-Assumptions!$D$12)/3.29)*44</f>
        <v>10171621.319006955</v>
      </c>
      <c r="L959" s="3">
        <f ca="1">_xlfn.NORM.INV(RAND(),AVERAGE(Assumptions!$D$13,Assumptions!$F$13),(Assumptions!$F$13-Assumptions!$D$13)/3.29)*44</f>
        <v>12226723.671979737</v>
      </c>
      <c r="M959" s="6">
        <f ca="1">_xlfn.NORM.INV(RAND(),AVERAGE(Assumptions!$D$14,Assumptions!$F$14),(Assumptions!$F$14-Assumptions!$D$14)/3.29)*44</f>
        <v>7637514.9404547587</v>
      </c>
      <c r="N959" s="9">
        <f ca="1">_xlfn.NORM.INV(RAND(),AVERAGE(Assumptions!$D$16,Assumptions!$F$16),(Assumptions!$F$16-Assumptions!$D$16)/3.29)*44</f>
        <v>10062793.61335835</v>
      </c>
      <c r="O959" s="12">
        <f ca="1">_xlfn.NORM.INV(RAND(),AVERAGE(Assumptions!$D$15,Assumptions!$F$15),(Assumptions!$F$15-Assumptions!$D$15)/3.29)*44</f>
        <v>87809242.311376631</v>
      </c>
      <c r="P959" s="15">
        <f>Assumptions!$D$18</f>
        <v>14641750.345627395</v>
      </c>
      <c r="Q959" s="3">
        <f t="shared" ca="1" si="28"/>
        <v>32538365.709786281</v>
      </c>
      <c r="R959" s="6">
        <f t="shared" ca="1" si="29"/>
        <v>47180116.055413678</v>
      </c>
    </row>
    <row r="960" spans="1:18">
      <c r="A960" s="20">
        <v>959</v>
      </c>
      <c r="B960" s="3">
        <f ca="1">_xlfn.NORM.INV(RAND(),AVERAGE(Assumptions!$D$4,Assumptions!$F$4),(Assumptions!$F$4-Assumptions!$D$4)/3.29)*44</f>
        <v>1234825.2158355126</v>
      </c>
      <c r="C960" s="6">
        <f ca="1">_xlfn.NORM.INV(RAND(),AVERAGE(Assumptions!$D$5,Assumptions!$F$5),(Assumptions!$F$5-Assumptions!$D$5)/3.29)*44</f>
        <v>1730187.7943799719</v>
      </c>
      <c r="D960" s="9">
        <f ca="1">_xlfn.NORM.INV(RAND(),AVERAGE(Assumptions!$D$6,Assumptions!$F$6),(Assumptions!$F$6-Assumptions!$D$6)/3.29)*RANDBETWEEN(2,5)</f>
        <v>11016234.537180189</v>
      </c>
      <c r="E960" s="12">
        <f ca="1">_xlfn.NORM.INV(RAND(),AVERAGE(Assumptions!$D$17,Assumptions!$F$17),(Assumptions!$F$17-Assumptions!$D$17)/3.29)*8</f>
        <v>1086646.8357833852</v>
      </c>
      <c r="F960" s="15">
        <f ca="1">_xlfn.NORM.INV(RAND(),AVERAGE(Assumptions!$D$7,Assumptions!$F$7),(Assumptions!$F$7-Assumptions!$D$7)/3.29)*RANDBETWEEN(1,3)</f>
        <v>8499327.3769961279</v>
      </c>
      <c r="G960" s="3">
        <f ca="1">_xlfn.NORM.INV(RAND(),AVERAGE(Assumptions!$D$8,Assumptions!$F$8),(Assumptions!$F$8-Assumptions!$D$8)/3.29)*44</f>
        <v>1250836.7726377524</v>
      </c>
      <c r="H960" s="6">
        <f ca="1">_xlfn.NORM.INV(RAND(),AVERAGE(Assumptions!$D$9,Assumptions!$F$9),(Assumptions!$F$9-Assumptions!$D$9)/3.29)*21</f>
        <v>2876612.3385111336</v>
      </c>
      <c r="I960" s="9">
        <f ca="1">_xlfn.NORM.INV(RAND(),AVERAGE(Assumptions!$D$10,Assumptions!$F$10),(Assumptions!$F$10-Assumptions!$D$10)/3.29)*21</f>
        <v>600190.01557305886</v>
      </c>
      <c r="J960" s="12">
        <f ca="1">NORMINV(RAND(),AVERAGE(Assumptions!$D$11,Assumptions!$F$11),(Assumptions!$F$11-Assumptions!$D$11)/3.29)*44</f>
        <v>3211908.3997801188</v>
      </c>
      <c r="K960" s="15">
        <f ca="1">_xlfn.NORM.INV(RAND(),AVERAGE(Assumptions!$D$12,Assumptions!$F$12),(Assumptions!$F$12-Assumptions!$D$12)/3.29)*44</f>
        <v>9307538.5347873829</v>
      </c>
      <c r="L960" s="3">
        <f ca="1">_xlfn.NORM.INV(RAND(),AVERAGE(Assumptions!$D$13,Assumptions!$F$13),(Assumptions!$F$13-Assumptions!$D$13)/3.29)*44</f>
        <v>5602150.6511824373</v>
      </c>
      <c r="M960" s="6">
        <f ca="1">_xlfn.NORM.INV(RAND(),AVERAGE(Assumptions!$D$14,Assumptions!$F$14),(Assumptions!$F$14-Assumptions!$D$14)/3.29)*44</f>
        <v>5483357.8553194674</v>
      </c>
      <c r="N960" s="9">
        <f ca="1">_xlfn.NORM.INV(RAND(),AVERAGE(Assumptions!$D$16,Assumptions!$F$16),(Assumptions!$F$16-Assumptions!$D$16)/3.29)*44</f>
        <v>18417750.488953792</v>
      </c>
      <c r="O960" s="12">
        <f ca="1">_xlfn.NORM.INV(RAND(),AVERAGE(Assumptions!$D$15,Assumptions!$F$15),(Assumptions!$F$15-Assumptions!$D$15)/3.29)*44</f>
        <v>15784541.352675529</v>
      </c>
      <c r="P960" s="15">
        <f>Assumptions!$D$18</f>
        <v>14641750.345627395</v>
      </c>
      <c r="Q960" s="3">
        <f t="shared" ca="1" si="28"/>
        <v>-54533025.464244813</v>
      </c>
      <c r="R960" s="6">
        <f t="shared" ca="1" si="29"/>
        <v>-39891275.118617415</v>
      </c>
    </row>
    <row r="961" spans="1:18">
      <c r="A961" s="20">
        <v>960</v>
      </c>
      <c r="B961" s="3">
        <f ca="1">_xlfn.NORM.INV(RAND(),AVERAGE(Assumptions!$D$4,Assumptions!$F$4),(Assumptions!$F$4-Assumptions!$D$4)/3.29)*44</f>
        <v>1226503.2263652463</v>
      </c>
      <c r="C961" s="6">
        <f ca="1">_xlfn.NORM.INV(RAND(),AVERAGE(Assumptions!$D$5,Assumptions!$F$5),(Assumptions!$F$5-Assumptions!$D$5)/3.29)*44</f>
        <v>1854461.3981090763</v>
      </c>
      <c r="D961" s="9">
        <f ca="1">_xlfn.NORM.INV(RAND(),AVERAGE(Assumptions!$D$6,Assumptions!$F$6),(Assumptions!$F$6-Assumptions!$D$6)/3.29)*RANDBETWEEN(2,5)</f>
        <v>8023284.1640037717</v>
      </c>
      <c r="E961" s="12">
        <f ca="1">_xlfn.NORM.INV(RAND(),AVERAGE(Assumptions!$D$17,Assumptions!$F$17),(Assumptions!$F$17-Assumptions!$D$17)/3.29)*8</f>
        <v>942464.00661169167</v>
      </c>
      <c r="F961" s="15">
        <f ca="1">_xlfn.NORM.INV(RAND(),AVERAGE(Assumptions!$D$7,Assumptions!$F$7),(Assumptions!$F$7-Assumptions!$D$7)/3.29)*RANDBETWEEN(1,3)</f>
        <v>10029493.151130723</v>
      </c>
      <c r="G961" s="3">
        <f ca="1">_xlfn.NORM.INV(RAND(),AVERAGE(Assumptions!$D$8,Assumptions!$F$8),(Assumptions!$F$8-Assumptions!$D$8)/3.29)*44</f>
        <v>1040953.1867562667</v>
      </c>
      <c r="H961" s="6">
        <f ca="1">_xlfn.NORM.INV(RAND(),AVERAGE(Assumptions!$D$9,Assumptions!$F$9),(Assumptions!$F$9-Assumptions!$D$9)/3.29)*21</f>
        <v>5414243.8415743057</v>
      </c>
      <c r="I961" s="9">
        <f ca="1">_xlfn.NORM.INV(RAND(),AVERAGE(Assumptions!$D$10,Assumptions!$F$10),(Assumptions!$F$10-Assumptions!$D$10)/3.29)*21</f>
        <v>913005.71715728962</v>
      </c>
      <c r="J961" s="12">
        <f ca="1">NORMINV(RAND(),AVERAGE(Assumptions!$D$11,Assumptions!$F$11),(Assumptions!$F$11-Assumptions!$D$11)/3.29)*44</f>
        <v>4427098.1199629381</v>
      </c>
      <c r="K961" s="15">
        <f ca="1">_xlfn.NORM.INV(RAND(),AVERAGE(Assumptions!$D$12,Assumptions!$F$12),(Assumptions!$F$12-Assumptions!$D$12)/3.29)*44</f>
        <v>7916956.6779960878</v>
      </c>
      <c r="L961" s="3">
        <f ca="1">_xlfn.NORM.INV(RAND(),AVERAGE(Assumptions!$D$13,Assumptions!$F$13),(Assumptions!$F$13-Assumptions!$D$13)/3.29)*44</f>
        <v>10649505.17306833</v>
      </c>
      <c r="M961" s="6">
        <f ca="1">_xlfn.NORM.INV(RAND(),AVERAGE(Assumptions!$D$14,Assumptions!$F$14),(Assumptions!$F$14-Assumptions!$D$14)/3.29)*44</f>
        <v>5550558.526201129</v>
      </c>
      <c r="N961" s="9">
        <f ca="1">_xlfn.NORM.INV(RAND(),AVERAGE(Assumptions!$D$16,Assumptions!$F$16),(Assumptions!$F$16-Assumptions!$D$16)/3.29)*44</f>
        <v>9495988.3815853093</v>
      </c>
      <c r="O961" s="12">
        <f ca="1">_xlfn.NORM.INV(RAND(),AVERAGE(Assumptions!$D$15,Assumptions!$F$15),(Assumptions!$F$15-Assumptions!$D$15)/3.29)*44</f>
        <v>107584229.45471135</v>
      </c>
      <c r="P961" s="15">
        <f>Assumptions!$D$18</f>
        <v>14641750.345627395</v>
      </c>
      <c r="Q961" s="3">
        <f t="shared" ca="1" si="28"/>
        <v>40099713.884189174</v>
      </c>
      <c r="R961" s="6">
        <f t="shared" ca="1" si="29"/>
        <v>54741464.229816571</v>
      </c>
    </row>
    <row r="962" spans="1:18">
      <c r="A962" s="20">
        <v>961</v>
      </c>
      <c r="B962" s="3">
        <f ca="1">_xlfn.NORM.INV(RAND(),AVERAGE(Assumptions!$D$4,Assumptions!$F$4),(Assumptions!$F$4-Assumptions!$D$4)/3.29)*44</f>
        <v>1391292.9496638549</v>
      </c>
      <c r="C962" s="6">
        <f ca="1">_xlfn.NORM.INV(RAND(),AVERAGE(Assumptions!$D$5,Assumptions!$F$5),(Assumptions!$F$5-Assumptions!$D$5)/3.29)*44</f>
        <v>1961806.5116348455</v>
      </c>
      <c r="D962" s="9">
        <f ca="1">_xlfn.NORM.INV(RAND(),AVERAGE(Assumptions!$D$6,Assumptions!$F$6),(Assumptions!$F$6-Assumptions!$D$6)/3.29)*RANDBETWEEN(2,5)</f>
        <v>716179.29014455411</v>
      </c>
      <c r="E962" s="12">
        <f ca="1">_xlfn.NORM.INV(RAND(),AVERAGE(Assumptions!$D$17,Assumptions!$F$17),(Assumptions!$F$17-Assumptions!$D$17)/3.29)*8</f>
        <v>1236187.6074490328</v>
      </c>
      <c r="F962" s="15">
        <f ca="1">_xlfn.NORM.INV(RAND(),AVERAGE(Assumptions!$D$7,Assumptions!$F$7),(Assumptions!$F$7-Assumptions!$D$7)/3.29)*RANDBETWEEN(1,3)</f>
        <v>644365.63722455036</v>
      </c>
      <c r="G962" s="3">
        <f ca="1">_xlfn.NORM.INV(RAND(),AVERAGE(Assumptions!$D$8,Assumptions!$F$8),(Assumptions!$F$8-Assumptions!$D$8)/3.29)*44</f>
        <v>1040651.0359772139</v>
      </c>
      <c r="H962" s="6">
        <f ca="1">_xlfn.NORM.INV(RAND(),AVERAGE(Assumptions!$D$9,Assumptions!$F$9),(Assumptions!$F$9-Assumptions!$D$9)/3.29)*21</f>
        <v>3166714.9230694575</v>
      </c>
      <c r="I962" s="9">
        <f ca="1">_xlfn.NORM.INV(RAND(),AVERAGE(Assumptions!$D$10,Assumptions!$F$10),(Assumptions!$F$10-Assumptions!$D$10)/3.29)*21</f>
        <v>920388.92719412746</v>
      </c>
      <c r="J962" s="12">
        <f ca="1">NORMINV(RAND(),AVERAGE(Assumptions!$D$11,Assumptions!$F$11),(Assumptions!$F$11-Assumptions!$D$11)/3.29)*44</f>
        <v>4233933.4363167593</v>
      </c>
      <c r="K962" s="15">
        <f ca="1">_xlfn.NORM.INV(RAND(),AVERAGE(Assumptions!$D$12,Assumptions!$F$12),(Assumptions!$F$12-Assumptions!$D$12)/3.29)*44</f>
        <v>9709779.0206837617</v>
      </c>
      <c r="L962" s="3">
        <f ca="1">_xlfn.NORM.INV(RAND(),AVERAGE(Assumptions!$D$13,Assumptions!$F$13),(Assumptions!$F$13-Assumptions!$D$13)/3.29)*44</f>
        <v>23313485.000037462</v>
      </c>
      <c r="M962" s="6">
        <f ca="1">_xlfn.NORM.INV(RAND(),AVERAGE(Assumptions!$D$14,Assumptions!$F$14),(Assumptions!$F$14-Assumptions!$D$14)/3.29)*44</f>
        <v>7225642.296792319</v>
      </c>
      <c r="N962" s="9">
        <f ca="1">_xlfn.NORM.INV(RAND(),AVERAGE(Assumptions!$D$16,Assumptions!$F$16),(Assumptions!$F$16-Assumptions!$D$16)/3.29)*44</f>
        <v>15916802.985802468</v>
      </c>
      <c r="O962" s="12">
        <f ca="1">_xlfn.NORM.INV(RAND(),AVERAGE(Assumptions!$D$15,Assumptions!$F$15),(Assumptions!$F$15-Assumptions!$D$15)/3.29)*44</f>
        <v>40914685.836568981</v>
      </c>
      <c r="P962" s="15">
        <f>Assumptions!$D$18</f>
        <v>14641750.345627395</v>
      </c>
      <c r="Q962" s="3">
        <f t="shared" ca="1" si="28"/>
        <v>-30562543.785421431</v>
      </c>
      <c r="R962" s="6">
        <f t="shared" ca="1" si="29"/>
        <v>-15920793.439794036</v>
      </c>
    </row>
    <row r="963" spans="1:18">
      <c r="A963" s="20">
        <v>962</v>
      </c>
      <c r="B963" s="3">
        <f ca="1">_xlfn.NORM.INV(RAND(),AVERAGE(Assumptions!$D$4,Assumptions!$F$4),(Assumptions!$F$4-Assumptions!$D$4)/3.29)*44</f>
        <v>1232432.6464177722</v>
      </c>
      <c r="C963" s="6">
        <f ca="1">_xlfn.NORM.INV(RAND(),AVERAGE(Assumptions!$D$5,Assumptions!$F$5),(Assumptions!$F$5-Assumptions!$D$5)/3.29)*44</f>
        <v>1547591.333004138</v>
      </c>
      <c r="D963" s="9">
        <f ca="1">_xlfn.NORM.INV(RAND(),AVERAGE(Assumptions!$D$6,Assumptions!$F$6),(Assumptions!$F$6-Assumptions!$D$6)/3.29)*RANDBETWEEN(2,5)</f>
        <v>2999843.0281845564</v>
      </c>
      <c r="E963" s="12">
        <f ca="1">_xlfn.NORM.INV(RAND(),AVERAGE(Assumptions!$D$17,Assumptions!$F$17),(Assumptions!$F$17-Assumptions!$D$17)/3.29)*8</f>
        <v>709652.2474579094</v>
      </c>
      <c r="F963" s="15">
        <f ca="1">_xlfn.NORM.INV(RAND(),AVERAGE(Assumptions!$D$7,Assumptions!$F$7),(Assumptions!$F$7-Assumptions!$D$7)/3.29)*RANDBETWEEN(1,3)</f>
        <v>2912985.1862132782</v>
      </c>
      <c r="G963" s="3">
        <f ca="1">_xlfn.NORM.INV(RAND(),AVERAGE(Assumptions!$D$8,Assumptions!$F$8),(Assumptions!$F$8-Assumptions!$D$8)/3.29)*44</f>
        <v>1174938.9605892948</v>
      </c>
      <c r="H963" s="6">
        <f ca="1">_xlfn.NORM.INV(RAND(),AVERAGE(Assumptions!$D$9,Assumptions!$F$9),(Assumptions!$F$9-Assumptions!$D$9)/3.29)*21</f>
        <v>4728237.2247545756</v>
      </c>
      <c r="I963" s="9">
        <f ca="1">_xlfn.NORM.INV(RAND(),AVERAGE(Assumptions!$D$10,Assumptions!$F$10),(Assumptions!$F$10-Assumptions!$D$10)/3.29)*21</f>
        <v>459064.81645069498</v>
      </c>
      <c r="J963" s="12">
        <f ca="1">NORMINV(RAND(),AVERAGE(Assumptions!$D$11,Assumptions!$F$11),(Assumptions!$F$11-Assumptions!$D$11)/3.29)*44</f>
        <v>4434605.9002648517</v>
      </c>
      <c r="K963" s="15">
        <f ca="1">_xlfn.NORM.INV(RAND(),AVERAGE(Assumptions!$D$12,Assumptions!$F$12),(Assumptions!$F$12-Assumptions!$D$12)/3.29)*44</f>
        <v>7905330.5421333211</v>
      </c>
      <c r="L963" s="3">
        <f ca="1">_xlfn.NORM.INV(RAND(),AVERAGE(Assumptions!$D$13,Assumptions!$F$13),(Assumptions!$F$13-Assumptions!$D$13)/3.29)*44</f>
        <v>16458860.537265494</v>
      </c>
      <c r="M963" s="6">
        <f ca="1">_xlfn.NORM.INV(RAND(),AVERAGE(Assumptions!$D$14,Assumptions!$F$14),(Assumptions!$F$14-Assumptions!$D$14)/3.29)*44</f>
        <v>4645857.4415969886</v>
      </c>
      <c r="N963" s="9">
        <f ca="1">_xlfn.NORM.INV(RAND(),AVERAGE(Assumptions!$D$16,Assumptions!$F$16),(Assumptions!$F$16-Assumptions!$D$16)/3.29)*44</f>
        <v>10348922.743299149</v>
      </c>
      <c r="O963" s="12">
        <f ca="1">_xlfn.NORM.INV(RAND(),AVERAGE(Assumptions!$D$15,Assumptions!$F$15),(Assumptions!$F$15-Assumptions!$D$15)/3.29)*44</f>
        <v>110671134.68382223</v>
      </c>
      <c r="P963" s="15">
        <f>Assumptions!$D$18</f>
        <v>14641750.345627395</v>
      </c>
      <c r="Q963" s="3">
        <f t="shared" ref="Q963:Q1002" ca="1" si="30">O963-(B963+C963+D963+F963+G963+H963+I963+J963+K963+L963+M963+N963+E963)</f>
        <v>51112812.076190211</v>
      </c>
      <c r="R963" s="6">
        <f t="shared" ref="R963:R1002" ca="1" si="31">Q963+P963</f>
        <v>65754562.421817608</v>
      </c>
    </row>
    <row r="964" spans="1:18">
      <c r="A964" s="20">
        <v>963</v>
      </c>
      <c r="B964" s="3">
        <f ca="1">_xlfn.NORM.INV(RAND(),AVERAGE(Assumptions!$D$4,Assumptions!$F$4),(Assumptions!$F$4-Assumptions!$D$4)/3.29)*44</f>
        <v>1256811.6145283373</v>
      </c>
      <c r="C964" s="6">
        <f ca="1">_xlfn.NORM.INV(RAND(),AVERAGE(Assumptions!$D$5,Assumptions!$F$5),(Assumptions!$F$5-Assumptions!$D$5)/3.29)*44</f>
        <v>1796353.617930898</v>
      </c>
      <c r="D964" s="9">
        <f ca="1">_xlfn.NORM.INV(RAND(),AVERAGE(Assumptions!$D$6,Assumptions!$F$6),(Assumptions!$F$6-Assumptions!$D$6)/3.29)*RANDBETWEEN(2,5)</f>
        <v>2565003.5283631291</v>
      </c>
      <c r="E964" s="12">
        <f ca="1">_xlfn.NORM.INV(RAND(),AVERAGE(Assumptions!$D$17,Assumptions!$F$17),(Assumptions!$F$17-Assumptions!$D$17)/3.29)*8</f>
        <v>987901.66633946996</v>
      </c>
      <c r="F964" s="15">
        <f ca="1">_xlfn.NORM.INV(RAND(),AVERAGE(Assumptions!$D$7,Assumptions!$F$7),(Assumptions!$F$7-Assumptions!$D$7)/3.29)*RANDBETWEEN(1,3)</f>
        <v>1536456.2833514363</v>
      </c>
      <c r="G964" s="3">
        <f ca="1">_xlfn.NORM.INV(RAND(),AVERAGE(Assumptions!$D$8,Assumptions!$F$8),(Assumptions!$F$8-Assumptions!$D$8)/3.29)*44</f>
        <v>1107752.146014346</v>
      </c>
      <c r="H964" s="6">
        <f ca="1">_xlfn.NORM.INV(RAND(),AVERAGE(Assumptions!$D$9,Assumptions!$F$9),(Assumptions!$F$9-Assumptions!$D$9)/3.29)*21</f>
        <v>5138284.849548921</v>
      </c>
      <c r="I964" s="9">
        <f ca="1">_xlfn.NORM.INV(RAND(),AVERAGE(Assumptions!$D$10,Assumptions!$F$10),(Assumptions!$F$10-Assumptions!$D$10)/3.29)*21</f>
        <v>799475.52145840775</v>
      </c>
      <c r="J964" s="12">
        <f ca="1">NORMINV(RAND(),AVERAGE(Assumptions!$D$11,Assumptions!$F$11),(Assumptions!$F$11-Assumptions!$D$11)/3.29)*44</f>
        <v>3494668.2526670243</v>
      </c>
      <c r="K964" s="15">
        <f ca="1">_xlfn.NORM.INV(RAND(),AVERAGE(Assumptions!$D$12,Assumptions!$F$12),(Assumptions!$F$12-Assumptions!$D$12)/3.29)*44</f>
        <v>9454702.1775696389</v>
      </c>
      <c r="L964" s="3">
        <f ca="1">_xlfn.NORM.INV(RAND(),AVERAGE(Assumptions!$D$13,Assumptions!$F$13),(Assumptions!$F$13-Assumptions!$D$13)/3.29)*44</f>
        <v>8527066.1334201209</v>
      </c>
      <c r="M964" s="6">
        <f ca="1">_xlfn.NORM.INV(RAND(),AVERAGE(Assumptions!$D$14,Assumptions!$F$14),(Assumptions!$F$14-Assumptions!$D$14)/3.29)*44</f>
        <v>5768409.4641085397</v>
      </c>
      <c r="N964" s="9">
        <f ca="1">_xlfn.NORM.INV(RAND(),AVERAGE(Assumptions!$D$16,Assumptions!$F$16),(Assumptions!$F$16-Assumptions!$D$16)/3.29)*44</f>
        <v>15070718.840017324</v>
      </c>
      <c r="O964" s="12">
        <f ca="1">_xlfn.NORM.INV(RAND(),AVERAGE(Assumptions!$D$15,Assumptions!$F$15),(Assumptions!$F$15-Assumptions!$D$15)/3.29)*44</f>
        <v>154645819.02714989</v>
      </c>
      <c r="P964" s="15">
        <f>Assumptions!$D$18</f>
        <v>14641750.345627395</v>
      </c>
      <c r="Q964" s="3">
        <f t="shared" ca="1" si="30"/>
        <v>97142214.931832284</v>
      </c>
      <c r="R964" s="6">
        <f t="shared" ca="1" si="31"/>
        <v>111783965.27745968</v>
      </c>
    </row>
    <row r="965" spans="1:18">
      <c r="A965" s="20">
        <v>964</v>
      </c>
      <c r="B965" s="3">
        <f ca="1">_xlfn.NORM.INV(RAND(),AVERAGE(Assumptions!$D$4,Assumptions!$F$4),(Assumptions!$F$4-Assumptions!$D$4)/3.29)*44</f>
        <v>1127094.090369686</v>
      </c>
      <c r="C965" s="6">
        <f ca="1">_xlfn.NORM.INV(RAND(),AVERAGE(Assumptions!$D$5,Assumptions!$F$5),(Assumptions!$F$5-Assumptions!$D$5)/3.29)*44</f>
        <v>1833718.3006825354</v>
      </c>
      <c r="D965" s="9">
        <f ca="1">_xlfn.NORM.INV(RAND(),AVERAGE(Assumptions!$D$6,Assumptions!$F$6),(Assumptions!$F$6-Assumptions!$D$6)/3.29)*RANDBETWEEN(2,5)</f>
        <v>7988012.2763789725</v>
      </c>
      <c r="E965" s="12">
        <f ca="1">_xlfn.NORM.INV(RAND(),AVERAGE(Assumptions!$D$17,Assumptions!$F$17),(Assumptions!$F$17-Assumptions!$D$17)/3.29)*8</f>
        <v>1110389.4465646585</v>
      </c>
      <c r="F965" s="15">
        <f ca="1">_xlfn.NORM.INV(RAND(),AVERAGE(Assumptions!$D$7,Assumptions!$F$7),(Assumptions!$F$7-Assumptions!$D$7)/3.29)*RANDBETWEEN(1,3)</f>
        <v>5739169.7450023666</v>
      </c>
      <c r="G965" s="3">
        <f ca="1">_xlfn.NORM.INV(RAND(),AVERAGE(Assumptions!$D$8,Assumptions!$F$8),(Assumptions!$F$8-Assumptions!$D$8)/3.29)*44</f>
        <v>960533.72384935396</v>
      </c>
      <c r="H965" s="6">
        <f ca="1">_xlfn.NORM.INV(RAND(),AVERAGE(Assumptions!$D$9,Assumptions!$F$9),(Assumptions!$F$9-Assumptions!$D$9)/3.29)*21</f>
        <v>3882005.7949768691</v>
      </c>
      <c r="I965" s="9">
        <f ca="1">_xlfn.NORM.INV(RAND(),AVERAGE(Assumptions!$D$10,Assumptions!$F$10),(Assumptions!$F$10-Assumptions!$D$10)/3.29)*21</f>
        <v>842987.94067531405</v>
      </c>
      <c r="J965" s="12">
        <f ca="1">NORMINV(RAND(),AVERAGE(Assumptions!$D$11,Assumptions!$F$11),(Assumptions!$F$11-Assumptions!$D$11)/3.29)*44</f>
        <v>4017783.1496156193</v>
      </c>
      <c r="K965" s="15">
        <f ca="1">_xlfn.NORM.INV(RAND(),AVERAGE(Assumptions!$D$12,Assumptions!$F$12),(Assumptions!$F$12-Assumptions!$D$12)/3.29)*44</f>
        <v>9074066.5458833203</v>
      </c>
      <c r="L965" s="3">
        <f ca="1">_xlfn.NORM.INV(RAND(),AVERAGE(Assumptions!$D$13,Assumptions!$F$13),(Assumptions!$F$13-Assumptions!$D$13)/3.29)*44</f>
        <v>16960474.122695792</v>
      </c>
      <c r="M965" s="6">
        <f ca="1">_xlfn.NORM.INV(RAND(),AVERAGE(Assumptions!$D$14,Assumptions!$F$14),(Assumptions!$F$14-Assumptions!$D$14)/3.29)*44</f>
        <v>6617139.160794382</v>
      </c>
      <c r="N965" s="9">
        <f ca="1">_xlfn.NORM.INV(RAND(),AVERAGE(Assumptions!$D$16,Assumptions!$F$16),(Assumptions!$F$16-Assumptions!$D$16)/3.29)*44</f>
        <v>7535824.9465620238</v>
      </c>
      <c r="O965" s="12">
        <f ca="1">_xlfn.NORM.INV(RAND(),AVERAGE(Assumptions!$D$15,Assumptions!$F$15),(Assumptions!$F$15-Assumptions!$D$15)/3.29)*44</f>
        <v>85149354.673792794</v>
      </c>
      <c r="P965" s="15">
        <f>Assumptions!$D$18</f>
        <v>14641750.345627395</v>
      </c>
      <c r="Q965" s="3">
        <f t="shared" ca="1" si="30"/>
        <v>17460155.429741904</v>
      </c>
      <c r="R965" s="6">
        <f t="shared" ca="1" si="31"/>
        <v>32101905.775369301</v>
      </c>
    </row>
    <row r="966" spans="1:18">
      <c r="A966" s="20">
        <v>965</v>
      </c>
      <c r="B966" s="3">
        <f ca="1">_xlfn.NORM.INV(RAND(),AVERAGE(Assumptions!$D$4,Assumptions!$F$4),(Assumptions!$F$4-Assumptions!$D$4)/3.29)*44</f>
        <v>1253640.5577853986</v>
      </c>
      <c r="C966" s="6">
        <f ca="1">_xlfn.NORM.INV(RAND(),AVERAGE(Assumptions!$D$5,Assumptions!$F$5),(Assumptions!$F$5-Assumptions!$D$5)/3.29)*44</f>
        <v>2092823.7617570767</v>
      </c>
      <c r="D966" s="9">
        <f ca="1">_xlfn.NORM.INV(RAND(),AVERAGE(Assumptions!$D$6,Assumptions!$F$6),(Assumptions!$F$6-Assumptions!$D$6)/3.29)*RANDBETWEEN(2,5)</f>
        <v>4493936.68158725</v>
      </c>
      <c r="E966" s="12">
        <f ca="1">_xlfn.NORM.INV(RAND(),AVERAGE(Assumptions!$D$17,Assumptions!$F$17),(Assumptions!$F$17-Assumptions!$D$17)/3.29)*8</f>
        <v>1073235.1734067372</v>
      </c>
      <c r="F966" s="15">
        <f ca="1">_xlfn.NORM.INV(RAND(),AVERAGE(Assumptions!$D$7,Assumptions!$F$7),(Assumptions!$F$7-Assumptions!$D$7)/3.29)*RANDBETWEEN(1,3)</f>
        <v>5026610.9576007714</v>
      </c>
      <c r="G966" s="3">
        <f ca="1">_xlfn.NORM.INV(RAND(),AVERAGE(Assumptions!$D$8,Assumptions!$F$8),(Assumptions!$F$8-Assumptions!$D$8)/3.29)*44</f>
        <v>1297419.168393953</v>
      </c>
      <c r="H966" s="6">
        <f ca="1">_xlfn.NORM.INV(RAND(),AVERAGE(Assumptions!$D$9,Assumptions!$F$9),(Assumptions!$F$9-Assumptions!$D$9)/3.29)*21</f>
        <v>2915013.0915265344</v>
      </c>
      <c r="I966" s="9">
        <f ca="1">_xlfn.NORM.INV(RAND(),AVERAGE(Assumptions!$D$10,Assumptions!$F$10),(Assumptions!$F$10-Assumptions!$D$10)/3.29)*21</f>
        <v>662575.33729465271</v>
      </c>
      <c r="J966" s="12">
        <f ca="1">NORMINV(RAND(),AVERAGE(Assumptions!$D$11,Assumptions!$F$11),(Assumptions!$F$11-Assumptions!$D$11)/3.29)*44</f>
        <v>2823786.3689110703</v>
      </c>
      <c r="K966" s="15">
        <f ca="1">_xlfn.NORM.INV(RAND(),AVERAGE(Assumptions!$D$12,Assumptions!$F$12),(Assumptions!$F$12-Assumptions!$D$12)/3.29)*44</f>
        <v>11147096.606197972</v>
      </c>
      <c r="L966" s="3">
        <f ca="1">_xlfn.NORM.INV(RAND(),AVERAGE(Assumptions!$D$13,Assumptions!$F$13),(Assumptions!$F$13-Assumptions!$D$13)/3.29)*44</f>
        <v>5995473.3581000315</v>
      </c>
      <c r="M966" s="6">
        <f ca="1">_xlfn.NORM.INV(RAND(),AVERAGE(Assumptions!$D$14,Assumptions!$F$14),(Assumptions!$F$14-Assumptions!$D$14)/3.29)*44</f>
        <v>5789097.5873026336</v>
      </c>
      <c r="N966" s="9">
        <f ca="1">_xlfn.NORM.INV(RAND(),AVERAGE(Assumptions!$D$16,Assumptions!$F$16),(Assumptions!$F$16-Assumptions!$D$16)/3.29)*44</f>
        <v>9055552.6957751177</v>
      </c>
      <c r="O966" s="12">
        <f ca="1">_xlfn.NORM.INV(RAND(),AVERAGE(Assumptions!$D$15,Assumptions!$F$15),(Assumptions!$F$15-Assumptions!$D$15)/3.29)*44</f>
        <v>64574631.222513475</v>
      </c>
      <c r="P966" s="15">
        <f>Assumptions!$D$18</f>
        <v>14641750.345627395</v>
      </c>
      <c r="Q966" s="3">
        <f t="shared" ca="1" si="30"/>
        <v>10948369.876874276</v>
      </c>
      <c r="R966" s="6">
        <f t="shared" ca="1" si="31"/>
        <v>25590120.222501673</v>
      </c>
    </row>
    <row r="967" spans="1:18">
      <c r="A967" s="20">
        <v>966</v>
      </c>
      <c r="B967" s="3">
        <f ca="1">_xlfn.NORM.INV(RAND(),AVERAGE(Assumptions!$D$4,Assumptions!$F$4),(Assumptions!$F$4-Assumptions!$D$4)/3.29)*44</f>
        <v>1253030.8894480397</v>
      </c>
      <c r="C967" s="6">
        <f ca="1">_xlfn.NORM.INV(RAND(),AVERAGE(Assumptions!$D$5,Assumptions!$F$5),(Assumptions!$F$5-Assumptions!$D$5)/3.29)*44</f>
        <v>1792527.5525179594</v>
      </c>
      <c r="D967" s="9">
        <f ca="1">_xlfn.NORM.INV(RAND(),AVERAGE(Assumptions!$D$6,Assumptions!$F$6),(Assumptions!$F$6-Assumptions!$D$6)/3.29)*RANDBETWEEN(2,5)</f>
        <v>4648760.5004698941</v>
      </c>
      <c r="E967" s="12">
        <f ca="1">_xlfn.NORM.INV(RAND(),AVERAGE(Assumptions!$D$17,Assumptions!$F$17),(Assumptions!$F$17-Assumptions!$D$17)/3.29)*8</f>
        <v>997675.25041791378</v>
      </c>
      <c r="F967" s="15">
        <f ca="1">_xlfn.NORM.INV(RAND(),AVERAGE(Assumptions!$D$7,Assumptions!$F$7),(Assumptions!$F$7-Assumptions!$D$7)/3.29)*RANDBETWEEN(1,3)</f>
        <v>4965076.7579635493</v>
      </c>
      <c r="G967" s="3">
        <f ca="1">_xlfn.NORM.INV(RAND(),AVERAGE(Assumptions!$D$8,Assumptions!$F$8),(Assumptions!$F$8-Assumptions!$D$8)/3.29)*44</f>
        <v>1037983.3817898565</v>
      </c>
      <c r="H967" s="6">
        <f ca="1">_xlfn.NORM.INV(RAND(),AVERAGE(Assumptions!$D$9,Assumptions!$F$9),(Assumptions!$F$9-Assumptions!$D$9)/3.29)*21</f>
        <v>5354939.1923172148</v>
      </c>
      <c r="I967" s="9">
        <f ca="1">_xlfn.NORM.INV(RAND(),AVERAGE(Assumptions!$D$10,Assumptions!$F$10),(Assumptions!$F$10-Assumptions!$D$10)/3.29)*21</f>
        <v>922639.73960810644</v>
      </c>
      <c r="J967" s="12">
        <f ca="1">NORMINV(RAND(),AVERAGE(Assumptions!$D$11,Assumptions!$F$11),(Assumptions!$F$11-Assumptions!$D$11)/3.29)*44</f>
        <v>3641332.3424599092</v>
      </c>
      <c r="K967" s="15">
        <f ca="1">_xlfn.NORM.INV(RAND(),AVERAGE(Assumptions!$D$12,Assumptions!$F$12),(Assumptions!$F$12-Assumptions!$D$12)/3.29)*44</f>
        <v>7987856.7599210721</v>
      </c>
      <c r="L967" s="3">
        <f ca="1">_xlfn.NORM.INV(RAND(),AVERAGE(Assumptions!$D$13,Assumptions!$F$13),(Assumptions!$F$13-Assumptions!$D$13)/3.29)*44</f>
        <v>9625728.3958934974</v>
      </c>
      <c r="M967" s="6">
        <f ca="1">_xlfn.NORM.INV(RAND(),AVERAGE(Assumptions!$D$14,Assumptions!$F$14),(Assumptions!$F$14-Assumptions!$D$14)/3.29)*44</f>
        <v>6156901.6686494611</v>
      </c>
      <c r="N967" s="9">
        <f ca="1">_xlfn.NORM.INV(RAND(),AVERAGE(Assumptions!$D$16,Assumptions!$F$16),(Assumptions!$F$16-Assumptions!$D$16)/3.29)*44</f>
        <v>5244377.0572885387</v>
      </c>
      <c r="O967" s="12">
        <f ca="1">_xlfn.NORM.INV(RAND(),AVERAGE(Assumptions!$D$15,Assumptions!$F$15),(Assumptions!$F$15-Assumptions!$D$15)/3.29)*44</f>
        <v>89638342.877142251</v>
      </c>
      <c r="P967" s="15">
        <f>Assumptions!$D$18</f>
        <v>14641750.345627395</v>
      </c>
      <c r="Q967" s="3">
        <f t="shared" ca="1" si="30"/>
        <v>36009513.388397239</v>
      </c>
      <c r="R967" s="6">
        <f t="shared" ca="1" si="31"/>
        <v>50651263.734024636</v>
      </c>
    </row>
    <row r="968" spans="1:18">
      <c r="A968" s="20">
        <v>967</v>
      </c>
      <c r="B968" s="3">
        <f ca="1">_xlfn.NORM.INV(RAND(),AVERAGE(Assumptions!$D$4,Assumptions!$F$4),(Assumptions!$F$4-Assumptions!$D$4)/3.29)*44</f>
        <v>1308382.0664338204</v>
      </c>
      <c r="C968" s="6">
        <f ca="1">_xlfn.NORM.INV(RAND(),AVERAGE(Assumptions!$D$5,Assumptions!$F$5),(Assumptions!$F$5-Assumptions!$D$5)/3.29)*44</f>
        <v>1975343.5296635567</v>
      </c>
      <c r="D968" s="9">
        <f ca="1">_xlfn.NORM.INV(RAND(),AVERAGE(Assumptions!$D$6,Assumptions!$F$6),(Assumptions!$F$6-Assumptions!$D$6)/3.29)*RANDBETWEEN(2,5)</f>
        <v>4340397.3789606132</v>
      </c>
      <c r="E968" s="12">
        <f ca="1">_xlfn.NORM.INV(RAND(),AVERAGE(Assumptions!$D$17,Assumptions!$F$17),(Assumptions!$F$17-Assumptions!$D$17)/3.29)*8</f>
        <v>1144289.8910843583</v>
      </c>
      <c r="F968" s="15">
        <f ca="1">_xlfn.NORM.INV(RAND(),AVERAGE(Assumptions!$D$7,Assumptions!$F$7),(Assumptions!$F$7-Assumptions!$D$7)/3.29)*RANDBETWEEN(1,3)</f>
        <v>2904037.5672854059</v>
      </c>
      <c r="G968" s="3">
        <f ca="1">_xlfn.NORM.INV(RAND(),AVERAGE(Assumptions!$D$8,Assumptions!$F$8),(Assumptions!$F$8-Assumptions!$D$8)/3.29)*44</f>
        <v>1479548.6856988524</v>
      </c>
      <c r="H968" s="6">
        <f ca="1">_xlfn.NORM.INV(RAND(),AVERAGE(Assumptions!$D$9,Assumptions!$F$9),(Assumptions!$F$9-Assumptions!$D$9)/3.29)*21</f>
        <v>3805197.330689915</v>
      </c>
      <c r="I968" s="9">
        <f ca="1">_xlfn.NORM.INV(RAND(),AVERAGE(Assumptions!$D$10,Assumptions!$F$10),(Assumptions!$F$10-Assumptions!$D$10)/3.29)*21</f>
        <v>432092.39577756874</v>
      </c>
      <c r="J968" s="12">
        <f ca="1">NORMINV(RAND(),AVERAGE(Assumptions!$D$11,Assumptions!$F$11),(Assumptions!$F$11-Assumptions!$D$11)/3.29)*44</f>
        <v>3354854.7560279202</v>
      </c>
      <c r="K968" s="15">
        <f ca="1">_xlfn.NORM.INV(RAND(),AVERAGE(Assumptions!$D$12,Assumptions!$F$12),(Assumptions!$F$12-Assumptions!$D$12)/3.29)*44</f>
        <v>7469381.5878468128</v>
      </c>
      <c r="L968" s="3">
        <f ca="1">_xlfn.NORM.INV(RAND(),AVERAGE(Assumptions!$D$13,Assumptions!$F$13),(Assumptions!$F$13-Assumptions!$D$13)/3.29)*44</f>
        <v>4289266.0930372877</v>
      </c>
      <c r="M968" s="6">
        <f ca="1">_xlfn.NORM.INV(RAND(),AVERAGE(Assumptions!$D$14,Assumptions!$F$14),(Assumptions!$F$14-Assumptions!$D$14)/3.29)*44</f>
        <v>6028770.9042812251</v>
      </c>
      <c r="N968" s="9">
        <f ca="1">_xlfn.NORM.INV(RAND(),AVERAGE(Assumptions!$D$16,Assumptions!$F$16),(Assumptions!$F$16-Assumptions!$D$16)/3.29)*44</f>
        <v>6287133.4762802506</v>
      </c>
      <c r="O968" s="12">
        <f ca="1">_xlfn.NORM.INV(RAND(),AVERAGE(Assumptions!$D$15,Assumptions!$F$15),(Assumptions!$F$15-Assumptions!$D$15)/3.29)*44</f>
        <v>113932365.58317806</v>
      </c>
      <c r="P968" s="15">
        <f>Assumptions!$D$18</f>
        <v>14641750.345627395</v>
      </c>
      <c r="Q968" s="3">
        <f t="shared" ca="1" si="30"/>
        <v>69113669.920110464</v>
      </c>
      <c r="R968" s="6">
        <f t="shared" ca="1" si="31"/>
        <v>83755420.265737861</v>
      </c>
    </row>
    <row r="969" spans="1:18">
      <c r="A969" s="20">
        <v>968</v>
      </c>
      <c r="B969" s="3">
        <f ca="1">_xlfn.NORM.INV(RAND(),AVERAGE(Assumptions!$D$4,Assumptions!$F$4),(Assumptions!$F$4-Assumptions!$D$4)/3.29)*44</f>
        <v>1143309.1356276351</v>
      </c>
      <c r="C969" s="6">
        <f ca="1">_xlfn.NORM.INV(RAND(),AVERAGE(Assumptions!$D$5,Assumptions!$F$5),(Assumptions!$F$5-Assumptions!$D$5)/3.29)*44</f>
        <v>1912069.0329824791</v>
      </c>
      <c r="D969" s="9">
        <f ca="1">_xlfn.NORM.INV(RAND(),AVERAGE(Assumptions!$D$6,Assumptions!$F$6),(Assumptions!$F$6-Assumptions!$D$6)/3.29)*RANDBETWEEN(2,5)</f>
        <v>5319150.3261390757</v>
      </c>
      <c r="E969" s="12">
        <f ca="1">_xlfn.NORM.INV(RAND(),AVERAGE(Assumptions!$D$17,Assumptions!$F$17),(Assumptions!$F$17-Assumptions!$D$17)/3.29)*8</f>
        <v>802959.54509738169</v>
      </c>
      <c r="F969" s="15">
        <f ca="1">_xlfn.NORM.INV(RAND(),AVERAGE(Assumptions!$D$7,Assumptions!$F$7),(Assumptions!$F$7-Assumptions!$D$7)/3.29)*RANDBETWEEN(1,3)</f>
        <v>3202933.3884841967</v>
      </c>
      <c r="G969" s="3">
        <f ca="1">_xlfn.NORM.INV(RAND(),AVERAGE(Assumptions!$D$8,Assumptions!$F$8),(Assumptions!$F$8-Assumptions!$D$8)/3.29)*44</f>
        <v>1304538.6985039974</v>
      </c>
      <c r="H969" s="6">
        <f ca="1">_xlfn.NORM.INV(RAND(),AVERAGE(Assumptions!$D$9,Assumptions!$F$9),(Assumptions!$F$9-Assumptions!$D$9)/3.29)*21</f>
        <v>4123599.5342247821</v>
      </c>
      <c r="I969" s="9">
        <f ca="1">_xlfn.NORM.INV(RAND(),AVERAGE(Assumptions!$D$10,Assumptions!$F$10),(Assumptions!$F$10-Assumptions!$D$10)/3.29)*21</f>
        <v>1080501.705309219</v>
      </c>
      <c r="J969" s="12">
        <f ca="1">NORMINV(RAND(),AVERAGE(Assumptions!$D$11,Assumptions!$F$11),(Assumptions!$F$11-Assumptions!$D$11)/3.29)*44</f>
        <v>1140634.862602463</v>
      </c>
      <c r="K969" s="15">
        <f ca="1">_xlfn.NORM.INV(RAND(),AVERAGE(Assumptions!$D$12,Assumptions!$F$12),(Assumptions!$F$12-Assumptions!$D$12)/3.29)*44</f>
        <v>8207655.3595403032</v>
      </c>
      <c r="L969" s="3">
        <f ca="1">_xlfn.NORM.INV(RAND(),AVERAGE(Assumptions!$D$13,Assumptions!$F$13),(Assumptions!$F$13-Assumptions!$D$13)/3.29)*44</f>
        <v>16024393.445691636</v>
      </c>
      <c r="M969" s="6">
        <f ca="1">_xlfn.NORM.INV(RAND(),AVERAGE(Assumptions!$D$14,Assumptions!$F$14),(Assumptions!$F$14-Assumptions!$D$14)/3.29)*44</f>
        <v>6774422.2785511697</v>
      </c>
      <c r="N969" s="9">
        <f ca="1">_xlfn.NORM.INV(RAND(),AVERAGE(Assumptions!$D$16,Assumptions!$F$16),(Assumptions!$F$16-Assumptions!$D$16)/3.29)*44</f>
        <v>5211831.0362164108</v>
      </c>
      <c r="O969" s="12">
        <f ca="1">_xlfn.NORM.INV(RAND(),AVERAGE(Assumptions!$D$15,Assumptions!$F$15),(Assumptions!$F$15-Assumptions!$D$15)/3.29)*44</f>
        <v>101078050.84512037</v>
      </c>
      <c r="P969" s="15">
        <f>Assumptions!$D$18</f>
        <v>14641750.345627395</v>
      </c>
      <c r="Q969" s="3">
        <f t="shared" ca="1" si="30"/>
        <v>44830052.496149629</v>
      </c>
      <c r="R969" s="6">
        <f t="shared" ca="1" si="31"/>
        <v>59471802.841777027</v>
      </c>
    </row>
    <row r="970" spans="1:18">
      <c r="A970" s="20">
        <v>969</v>
      </c>
      <c r="B970" s="3">
        <f ca="1">_xlfn.NORM.INV(RAND(),AVERAGE(Assumptions!$D$4,Assumptions!$F$4),(Assumptions!$F$4-Assumptions!$D$4)/3.29)*44</f>
        <v>1282007.646516121</v>
      </c>
      <c r="C970" s="6">
        <f ca="1">_xlfn.NORM.INV(RAND(),AVERAGE(Assumptions!$D$5,Assumptions!$F$5),(Assumptions!$F$5-Assumptions!$D$5)/3.29)*44</f>
        <v>1753542.4881520178</v>
      </c>
      <c r="D970" s="9">
        <f ca="1">_xlfn.NORM.INV(RAND(),AVERAGE(Assumptions!$D$6,Assumptions!$F$6),(Assumptions!$F$6-Assumptions!$D$6)/3.29)*RANDBETWEEN(2,5)</f>
        <v>8076208.0096944384</v>
      </c>
      <c r="E970" s="12">
        <f ca="1">_xlfn.NORM.INV(RAND(),AVERAGE(Assumptions!$D$17,Assumptions!$F$17),(Assumptions!$F$17-Assumptions!$D$17)/3.29)*8</f>
        <v>1013700.0834959572</v>
      </c>
      <c r="F970" s="15">
        <f ca="1">_xlfn.NORM.INV(RAND(),AVERAGE(Assumptions!$D$7,Assumptions!$F$7),(Assumptions!$F$7-Assumptions!$D$7)/3.29)*RANDBETWEEN(1,3)</f>
        <v>2295250.1592018814</v>
      </c>
      <c r="G970" s="3">
        <f ca="1">_xlfn.NORM.INV(RAND(),AVERAGE(Assumptions!$D$8,Assumptions!$F$8),(Assumptions!$F$8-Assumptions!$D$8)/3.29)*44</f>
        <v>973297.38873080607</v>
      </c>
      <c r="H970" s="6">
        <f ca="1">_xlfn.NORM.INV(RAND(),AVERAGE(Assumptions!$D$9,Assumptions!$F$9),(Assumptions!$F$9-Assumptions!$D$9)/3.29)*21</f>
        <v>7773854.4044818748</v>
      </c>
      <c r="I970" s="9">
        <f ca="1">_xlfn.NORM.INV(RAND(),AVERAGE(Assumptions!$D$10,Assumptions!$F$10),(Assumptions!$F$10-Assumptions!$D$10)/3.29)*21</f>
        <v>1241056.777446277</v>
      </c>
      <c r="J970" s="12">
        <f ca="1">NORMINV(RAND(),AVERAGE(Assumptions!$D$11,Assumptions!$F$11),(Assumptions!$F$11-Assumptions!$D$11)/3.29)*44</f>
        <v>2272713.9489265992</v>
      </c>
      <c r="K970" s="15">
        <f ca="1">_xlfn.NORM.INV(RAND(),AVERAGE(Assumptions!$D$12,Assumptions!$F$12),(Assumptions!$F$12-Assumptions!$D$12)/3.29)*44</f>
        <v>8117259.0697266022</v>
      </c>
      <c r="L970" s="3">
        <f ca="1">_xlfn.NORM.INV(RAND(),AVERAGE(Assumptions!$D$13,Assumptions!$F$13),(Assumptions!$F$13-Assumptions!$D$13)/3.29)*44</f>
        <v>9969939.9394710343</v>
      </c>
      <c r="M970" s="6">
        <f ca="1">_xlfn.NORM.INV(RAND(),AVERAGE(Assumptions!$D$14,Assumptions!$F$14),(Assumptions!$F$14-Assumptions!$D$14)/3.29)*44</f>
        <v>6250143.480824817</v>
      </c>
      <c r="N970" s="9">
        <f ca="1">_xlfn.NORM.INV(RAND(),AVERAGE(Assumptions!$D$16,Assumptions!$F$16),(Assumptions!$F$16-Assumptions!$D$16)/3.29)*44</f>
        <v>11191417.641997026</v>
      </c>
      <c r="O970" s="12">
        <f ca="1">_xlfn.NORM.INV(RAND(),AVERAGE(Assumptions!$D$15,Assumptions!$F$15),(Assumptions!$F$15-Assumptions!$D$15)/3.29)*44</f>
        <v>79622910.070141613</v>
      </c>
      <c r="P970" s="15">
        <f>Assumptions!$D$18</f>
        <v>14641750.345627395</v>
      </c>
      <c r="Q970" s="3">
        <f t="shared" ca="1" si="30"/>
        <v>17412519.031476155</v>
      </c>
      <c r="R970" s="6">
        <f t="shared" ca="1" si="31"/>
        <v>32054269.377103552</v>
      </c>
    </row>
    <row r="971" spans="1:18">
      <c r="A971" s="20">
        <v>970</v>
      </c>
      <c r="B971" s="3">
        <f ca="1">_xlfn.NORM.INV(RAND(),AVERAGE(Assumptions!$D$4,Assumptions!$F$4),(Assumptions!$F$4-Assumptions!$D$4)/3.29)*44</f>
        <v>1155361.4071832867</v>
      </c>
      <c r="C971" s="6">
        <f ca="1">_xlfn.NORM.INV(RAND(),AVERAGE(Assumptions!$D$5,Assumptions!$F$5),(Assumptions!$F$5-Assumptions!$D$5)/3.29)*44</f>
        <v>1717052.0702986417</v>
      </c>
      <c r="D971" s="9">
        <f ca="1">_xlfn.NORM.INV(RAND(),AVERAGE(Assumptions!$D$6,Assumptions!$F$6),(Assumptions!$F$6-Assumptions!$D$6)/3.29)*RANDBETWEEN(2,5)</f>
        <v>4299239.3229639605</v>
      </c>
      <c r="E971" s="12">
        <f ca="1">_xlfn.NORM.INV(RAND(),AVERAGE(Assumptions!$D$17,Assumptions!$F$17),(Assumptions!$F$17-Assumptions!$D$17)/3.29)*8</f>
        <v>1002533.4365988637</v>
      </c>
      <c r="F971" s="15">
        <f ca="1">_xlfn.NORM.INV(RAND(),AVERAGE(Assumptions!$D$7,Assumptions!$F$7),(Assumptions!$F$7-Assumptions!$D$7)/3.29)*RANDBETWEEN(1,3)</f>
        <v>6526773.1516810302</v>
      </c>
      <c r="G971" s="3">
        <f ca="1">_xlfn.NORM.INV(RAND(),AVERAGE(Assumptions!$D$8,Assumptions!$F$8),(Assumptions!$F$8-Assumptions!$D$8)/3.29)*44</f>
        <v>1236567.0486592203</v>
      </c>
      <c r="H971" s="6">
        <f ca="1">_xlfn.NORM.INV(RAND(),AVERAGE(Assumptions!$D$9,Assumptions!$F$9),(Assumptions!$F$9-Assumptions!$D$9)/3.29)*21</f>
        <v>3972026.3368858364</v>
      </c>
      <c r="I971" s="9">
        <f ca="1">_xlfn.NORM.INV(RAND(),AVERAGE(Assumptions!$D$10,Assumptions!$F$10),(Assumptions!$F$10-Assumptions!$D$10)/3.29)*21</f>
        <v>788368.55978874851</v>
      </c>
      <c r="J971" s="12">
        <f ca="1">NORMINV(RAND(),AVERAGE(Assumptions!$D$11,Assumptions!$F$11),(Assumptions!$F$11-Assumptions!$D$11)/3.29)*44</f>
        <v>3089707.4898003079</v>
      </c>
      <c r="K971" s="15">
        <f ca="1">_xlfn.NORM.INV(RAND(),AVERAGE(Assumptions!$D$12,Assumptions!$F$12),(Assumptions!$F$12-Assumptions!$D$12)/3.29)*44</f>
        <v>6261045.2224605475</v>
      </c>
      <c r="L971" s="3">
        <f ca="1">_xlfn.NORM.INV(RAND(),AVERAGE(Assumptions!$D$13,Assumptions!$F$13),(Assumptions!$F$13-Assumptions!$D$13)/3.29)*44</f>
        <v>12611735.78685895</v>
      </c>
      <c r="M971" s="6">
        <f ca="1">_xlfn.NORM.INV(RAND(),AVERAGE(Assumptions!$D$14,Assumptions!$F$14),(Assumptions!$F$14-Assumptions!$D$14)/3.29)*44</f>
        <v>5772247.9417311214</v>
      </c>
      <c r="N971" s="9">
        <f ca="1">_xlfn.NORM.INV(RAND(),AVERAGE(Assumptions!$D$16,Assumptions!$F$16),(Assumptions!$F$16-Assumptions!$D$16)/3.29)*44</f>
        <v>12357839.485698253</v>
      </c>
      <c r="O971" s="12">
        <f ca="1">_xlfn.NORM.INV(RAND(),AVERAGE(Assumptions!$D$15,Assumptions!$F$15),(Assumptions!$F$15-Assumptions!$D$15)/3.29)*44</f>
        <v>124253712.96223801</v>
      </c>
      <c r="P971" s="15">
        <f>Assumptions!$D$18</f>
        <v>14641750.345627395</v>
      </c>
      <c r="Q971" s="3">
        <f t="shared" ca="1" si="30"/>
        <v>63463215.701629236</v>
      </c>
      <c r="R971" s="6">
        <f t="shared" ca="1" si="31"/>
        <v>78104966.047256634</v>
      </c>
    </row>
    <row r="972" spans="1:18">
      <c r="A972" s="20">
        <v>971</v>
      </c>
      <c r="B972" s="3">
        <f ca="1">_xlfn.NORM.INV(RAND(),AVERAGE(Assumptions!$D$4,Assumptions!$F$4),(Assumptions!$F$4-Assumptions!$D$4)/3.29)*44</f>
        <v>1230694.456305092</v>
      </c>
      <c r="C972" s="6">
        <f ca="1">_xlfn.NORM.INV(RAND(),AVERAGE(Assumptions!$D$5,Assumptions!$F$5),(Assumptions!$F$5-Assumptions!$D$5)/3.29)*44</f>
        <v>1961575.4239688111</v>
      </c>
      <c r="D972" s="9">
        <f ca="1">_xlfn.NORM.INV(RAND(),AVERAGE(Assumptions!$D$6,Assumptions!$F$6),(Assumptions!$F$6-Assumptions!$D$6)/3.29)*RANDBETWEEN(2,5)</f>
        <v>5024083.0923164571</v>
      </c>
      <c r="E972" s="12">
        <f ca="1">_xlfn.NORM.INV(RAND(),AVERAGE(Assumptions!$D$17,Assumptions!$F$17),(Assumptions!$F$17-Assumptions!$D$17)/3.29)*8</f>
        <v>1029704.5195065177</v>
      </c>
      <c r="F972" s="15">
        <f ca="1">_xlfn.NORM.INV(RAND(),AVERAGE(Assumptions!$D$7,Assumptions!$F$7),(Assumptions!$F$7-Assumptions!$D$7)/3.29)*RANDBETWEEN(1,3)</f>
        <v>3233826.2501761094</v>
      </c>
      <c r="G972" s="3">
        <f ca="1">_xlfn.NORM.INV(RAND(),AVERAGE(Assumptions!$D$8,Assumptions!$F$8),(Assumptions!$F$8-Assumptions!$D$8)/3.29)*44</f>
        <v>1585747.3407655482</v>
      </c>
      <c r="H972" s="6">
        <f ca="1">_xlfn.NORM.INV(RAND(),AVERAGE(Assumptions!$D$9,Assumptions!$F$9),(Assumptions!$F$9-Assumptions!$D$9)/3.29)*21</f>
        <v>6096334.7533032317</v>
      </c>
      <c r="I972" s="9">
        <f ca="1">_xlfn.NORM.INV(RAND(),AVERAGE(Assumptions!$D$10,Assumptions!$F$10),(Assumptions!$F$10-Assumptions!$D$10)/3.29)*21</f>
        <v>974720.70326654916</v>
      </c>
      <c r="J972" s="12">
        <f ca="1">NORMINV(RAND(),AVERAGE(Assumptions!$D$11,Assumptions!$F$11),(Assumptions!$F$11-Assumptions!$D$11)/3.29)*44</f>
        <v>2090650.3367662027</v>
      </c>
      <c r="K972" s="15">
        <f ca="1">_xlfn.NORM.INV(RAND(),AVERAGE(Assumptions!$D$12,Assumptions!$F$12),(Assumptions!$F$12-Assumptions!$D$12)/3.29)*44</f>
        <v>7124690.0802376578</v>
      </c>
      <c r="L972" s="3">
        <f ca="1">_xlfn.NORM.INV(RAND(),AVERAGE(Assumptions!$D$13,Assumptions!$F$13),(Assumptions!$F$13-Assumptions!$D$13)/3.29)*44</f>
        <v>13094759.277569525</v>
      </c>
      <c r="M972" s="6">
        <f ca="1">_xlfn.NORM.INV(RAND(),AVERAGE(Assumptions!$D$14,Assumptions!$F$14),(Assumptions!$F$14-Assumptions!$D$14)/3.29)*44</f>
        <v>7618860.2147197099</v>
      </c>
      <c r="N972" s="9">
        <f ca="1">_xlfn.NORM.INV(RAND(),AVERAGE(Assumptions!$D$16,Assumptions!$F$16),(Assumptions!$F$16-Assumptions!$D$16)/3.29)*44</f>
        <v>10896811.801860128</v>
      </c>
      <c r="O972" s="12">
        <f ca="1">_xlfn.NORM.INV(RAND(),AVERAGE(Assumptions!$D$15,Assumptions!$F$15),(Assumptions!$F$15-Assumptions!$D$15)/3.29)*44</f>
        <v>136499947.03408763</v>
      </c>
      <c r="P972" s="15">
        <f>Assumptions!$D$18</f>
        <v>14641750.345627395</v>
      </c>
      <c r="Q972" s="3">
        <f t="shared" ca="1" si="30"/>
        <v>74537488.783326089</v>
      </c>
      <c r="R972" s="6">
        <f t="shared" ca="1" si="31"/>
        <v>89179239.128953487</v>
      </c>
    </row>
    <row r="973" spans="1:18">
      <c r="A973" s="20">
        <v>972</v>
      </c>
      <c r="B973" s="3">
        <f ca="1">_xlfn.NORM.INV(RAND(),AVERAGE(Assumptions!$D$4,Assumptions!$F$4),(Assumptions!$F$4-Assumptions!$D$4)/3.29)*44</f>
        <v>1264710.0483441292</v>
      </c>
      <c r="C973" s="6">
        <f ca="1">_xlfn.NORM.INV(RAND(),AVERAGE(Assumptions!$D$5,Assumptions!$F$5),(Assumptions!$F$5-Assumptions!$D$5)/3.29)*44</f>
        <v>1810475.1937908777</v>
      </c>
      <c r="D973" s="9">
        <f ca="1">_xlfn.NORM.INV(RAND(),AVERAGE(Assumptions!$D$6,Assumptions!$F$6),(Assumptions!$F$6-Assumptions!$D$6)/3.29)*RANDBETWEEN(2,5)</f>
        <v>2962652.3671632446</v>
      </c>
      <c r="E973" s="12">
        <f ca="1">_xlfn.NORM.INV(RAND(),AVERAGE(Assumptions!$D$17,Assumptions!$F$17),(Assumptions!$F$17-Assumptions!$D$17)/3.29)*8</f>
        <v>918168.06902882224</v>
      </c>
      <c r="F973" s="15">
        <f ca="1">_xlfn.NORM.INV(RAND(),AVERAGE(Assumptions!$D$7,Assumptions!$F$7),(Assumptions!$F$7-Assumptions!$D$7)/3.29)*RANDBETWEEN(1,3)</f>
        <v>7574816.3126456439</v>
      </c>
      <c r="G973" s="3">
        <f ca="1">_xlfn.NORM.INV(RAND(),AVERAGE(Assumptions!$D$8,Assumptions!$F$8),(Assumptions!$F$8-Assumptions!$D$8)/3.29)*44</f>
        <v>998473.6381148902</v>
      </c>
      <c r="H973" s="6">
        <f ca="1">_xlfn.NORM.INV(RAND(),AVERAGE(Assumptions!$D$9,Assumptions!$F$9),(Assumptions!$F$9-Assumptions!$D$9)/3.29)*21</f>
        <v>6137464.5971062183</v>
      </c>
      <c r="I973" s="9">
        <f ca="1">_xlfn.NORM.INV(RAND(),AVERAGE(Assumptions!$D$10,Assumptions!$F$10),(Assumptions!$F$10-Assumptions!$D$10)/3.29)*21</f>
        <v>842188.07815400802</v>
      </c>
      <c r="J973" s="12">
        <f ca="1">NORMINV(RAND(),AVERAGE(Assumptions!$D$11,Assumptions!$F$11),(Assumptions!$F$11-Assumptions!$D$11)/3.29)*44</f>
        <v>3153307.9925452862</v>
      </c>
      <c r="K973" s="15">
        <f ca="1">_xlfn.NORM.INV(RAND(),AVERAGE(Assumptions!$D$12,Assumptions!$F$12),(Assumptions!$F$12-Assumptions!$D$12)/3.29)*44</f>
        <v>9927385.3657612037</v>
      </c>
      <c r="L973" s="3">
        <f ca="1">_xlfn.NORM.INV(RAND(),AVERAGE(Assumptions!$D$13,Assumptions!$F$13),(Assumptions!$F$13-Assumptions!$D$13)/3.29)*44</f>
        <v>20818245.317969844</v>
      </c>
      <c r="M973" s="6">
        <f ca="1">_xlfn.NORM.INV(RAND(),AVERAGE(Assumptions!$D$14,Assumptions!$F$14),(Assumptions!$F$14-Assumptions!$D$14)/3.29)*44</f>
        <v>6175034.2712550908</v>
      </c>
      <c r="N973" s="9">
        <f ca="1">_xlfn.NORM.INV(RAND(),AVERAGE(Assumptions!$D$16,Assumptions!$F$16),(Assumptions!$F$16-Assumptions!$D$16)/3.29)*44</f>
        <v>5273771.5318272095</v>
      </c>
      <c r="O973" s="12">
        <f ca="1">_xlfn.NORM.INV(RAND(),AVERAGE(Assumptions!$D$15,Assumptions!$F$15),(Assumptions!$F$15-Assumptions!$D$15)/3.29)*44</f>
        <v>30539080.68667018</v>
      </c>
      <c r="P973" s="15">
        <f>Assumptions!$D$18</f>
        <v>14641750.345627395</v>
      </c>
      <c r="Q973" s="3">
        <f t="shared" ca="1" si="30"/>
        <v>-37317612.097036287</v>
      </c>
      <c r="R973" s="6">
        <f t="shared" ca="1" si="31"/>
        <v>-22675861.75140889</v>
      </c>
    </row>
    <row r="974" spans="1:18">
      <c r="A974" s="20">
        <v>973</v>
      </c>
      <c r="B974" s="3">
        <f ca="1">_xlfn.NORM.INV(RAND(),AVERAGE(Assumptions!$D$4,Assumptions!$F$4),(Assumptions!$F$4-Assumptions!$D$4)/3.29)*44</f>
        <v>1127297.3353681348</v>
      </c>
      <c r="C974" s="6">
        <f ca="1">_xlfn.NORM.INV(RAND(),AVERAGE(Assumptions!$D$5,Assumptions!$F$5),(Assumptions!$F$5-Assumptions!$D$5)/3.29)*44</f>
        <v>1760877.8018447508</v>
      </c>
      <c r="D974" s="9">
        <f ca="1">_xlfn.NORM.INV(RAND(),AVERAGE(Assumptions!$D$6,Assumptions!$F$6),(Assumptions!$F$6-Assumptions!$D$6)/3.29)*RANDBETWEEN(2,5)</f>
        <v>5250646.3215991911</v>
      </c>
      <c r="E974" s="12">
        <f ca="1">_xlfn.NORM.INV(RAND(),AVERAGE(Assumptions!$D$17,Assumptions!$F$17),(Assumptions!$F$17-Assumptions!$D$17)/3.29)*8</f>
        <v>984468.68861187343</v>
      </c>
      <c r="F974" s="15">
        <f ca="1">_xlfn.NORM.INV(RAND(),AVERAGE(Assumptions!$D$7,Assumptions!$F$7),(Assumptions!$F$7-Assumptions!$D$7)/3.29)*RANDBETWEEN(1,3)</f>
        <v>2413207.645513956</v>
      </c>
      <c r="G974" s="3">
        <f ca="1">_xlfn.NORM.INV(RAND(),AVERAGE(Assumptions!$D$8,Assumptions!$F$8),(Assumptions!$F$8-Assumptions!$D$8)/3.29)*44</f>
        <v>1274812.029570241</v>
      </c>
      <c r="H974" s="6">
        <f ca="1">_xlfn.NORM.INV(RAND(),AVERAGE(Assumptions!$D$9,Assumptions!$F$9),(Assumptions!$F$9-Assumptions!$D$9)/3.29)*21</f>
        <v>4646987.6705746092</v>
      </c>
      <c r="I974" s="9">
        <f ca="1">_xlfn.NORM.INV(RAND(),AVERAGE(Assumptions!$D$10,Assumptions!$F$10),(Assumptions!$F$10-Assumptions!$D$10)/3.29)*21</f>
        <v>790642.32986528368</v>
      </c>
      <c r="J974" s="12">
        <f ca="1">NORMINV(RAND(),AVERAGE(Assumptions!$D$11,Assumptions!$F$11),(Assumptions!$F$11-Assumptions!$D$11)/3.29)*44</f>
        <v>1812282.5816032388</v>
      </c>
      <c r="K974" s="15">
        <f ca="1">_xlfn.NORM.INV(RAND(),AVERAGE(Assumptions!$D$12,Assumptions!$F$12),(Assumptions!$F$12-Assumptions!$D$12)/3.29)*44</f>
        <v>8154411.2335276362</v>
      </c>
      <c r="L974" s="3">
        <f ca="1">_xlfn.NORM.INV(RAND(),AVERAGE(Assumptions!$D$13,Assumptions!$F$13),(Assumptions!$F$13-Assumptions!$D$13)/3.29)*44</f>
        <v>11485824.699479377</v>
      </c>
      <c r="M974" s="6">
        <f ca="1">_xlfn.NORM.INV(RAND(),AVERAGE(Assumptions!$D$14,Assumptions!$F$14),(Assumptions!$F$14-Assumptions!$D$14)/3.29)*44</f>
        <v>6789021.3273592545</v>
      </c>
      <c r="N974" s="9">
        <f ca="1">_xlfn.NORM.INV(RAND(),AVERAGE(Assumptions!$D$16,Assumptions!$F$16),(Assumptions!$F$16-Assumptions!$D$16)/3.29)*44</f>
        <v>6544731.9150185632</v>
      </c>
      <c r="O974" s="12">
        <f ca="1">_xlfn.NORM.INV(RAND(),AVERAGE(Assumptions!$D$15,Assumptions!$F$15),(Assumptions!$F$15-Assumptions!$D$15)/3.29)*44</f>
        <v>32139231.207353055</v>
      </c>
      <c r="P974" s="15">
        <f>Assumptions!$D$18</f>
        <v>14641750.345627395</v>
      </c>
      <c r="Q974" s="3">
        <f t="shared" ca="1" si="30"/>
        <v>-20895980.372583054</v>
      </c>
      <c r="R974" s="6">
        <f t="shared" ca="1" si="31"/>
        <v>-6254230.0269556586</v>
      </c>
    </row>
    <row r="975" spans="1:18">
      <c r="A975" s="20">
        <v>974</v>
      </c>
      <c r="B975" s="3">
        <f ca="1">_xlfn.NORM.INV(RAND(),AVERAGE(Assumptions!$D$4,Assumptions!$F$4),(Assumptions!$F$4-Assumptions!$D$4)/3.29)*44</f>
        <v>1219465.1069344813</v>
      </c>
      <c r="C975" s="6">
        <f ca="1">_xlfn.NORM.INV(RAND(),AVERAGE(Assumptions!$D$5,Assumptions!$F$5),(Assumptions!$F$5-Assumptions!$D$5)/3.29)*44</f>
        <v>1785804.5998416098</v>
      </c>
      <c r="D975" s="9">
        <f ca="1">_xlfn.NORM.INV(RAND(),AVERAGE(Assumptions!$D$6,Assumptions!$F$6),(Assumptions!$F$6-Assumptions!$D$6)/3.29)*RANDBETWEEN(2,5)</f>
        <v>2678826.391498181</v>
      </c>
      <c r="E975" s="12">
        <f ca="1">_xlfn.NORM.INV(RAND(),AVERAGE(Assumptions!$D$17,Assumptions!$F$17),(Assumptions!$F$17-Assumptions!$D$17)/3.29)*8</f>
        <v>1036414.4094700856</v>
      </c>
      <c r="F975" s="15">
        <f ca="1">_xlfn.NORM.INV(RAND(),AVERAGE(Assumptions!$D$7,Assumptions!$F$7),(Assumptions!$F$7-Assumptions!$D$7)/3.29)*RANDBETWEEN(1,3)</f>
        <v>3869721.4419024419</v>
      </c>
      <c r="G975" s="3">
        <f ca="1">_xlfn.NORM.INV(RAND(),AVERAGE(Assumptions!$D$8,Assumptions!$F$8),(Assumptions!$F$8-Assumptions!$D$8)/3.29)*44</f>
        <v>1207686.7523739273</v>
      </c>
      <c r="H975" s="6">
        <f ca="1">_xlfn.NORM.INV(RAND(),AVERAGE(Assumptions!$D$9,Assumptions!$F$9),(Assumptions!$F$9-Assumptions!$D$9)/3.29)*21</f>
        <v>5344469.3661088496</v>
      </c>
      <c r="I975" s="9">
        <f ca="1">_xlfn.NORM.INV(RAND(),AVERAGE(Assumptions!$D$10,Assumptions!$F$10),(Assumptions!$F$10-Assumptions!$D$10)/3.29)*21</f>
        <v>757800.85613957618</v>
      </c>
      <c r="J975" s="12">
        <f ca="1">NORMINV(RAND(),AVERAGE(Assumptions!$D$11,Assumptions!$F$11),(Assumptions!$F$11-Assumptions!$D$11)/3.29)*44</f>
        <v>2659349.4434270337</v>
      </c>
      <c r="K975" s="15">
        <f ca="1">_xlfn.NORM.INV(RAND(),AVERAGE(Assumptions!$D$12,Assumptions!$F$12),(Assumptions!$F$12-Assumptions!$D$12)/3.29)*44</f>
        <v>8068418.3197842203</v>
      </c>
      <c r="L975" s="3">
        <f ca="1">_xlfn.NORM.INV(RAND(),AVERAGE(Assumptions!$D$13,Assumptions!$F$13),(Assumptions!$F$13-Assumptions!$D$13)/3.29)*44</f>
        <v>10721046.735748317</v>
      </c>
      <c r="M975" s="6">
        <f ca="1">_xlfn.NORM.INV(RAND(),AVERAGE(Assumptions!$D$14,Assumptions!$F$14),(Assumptions!$F$14-Assumptions!$D$14)/3.29)*44</f>
        <v>6303903.443411517</v>
      </c>
      <c r="N975" s="9">
        <f ca="1">_xlfn.NORM.INV(RAND(),AVERAGE(Assumptions!$D$16,Assumptions!$F$16),(Assumptions!$F$16-Assumptions!$D$16)/3.29)*44</f>
        <v>13303226.975527572</v>
      </c>
      <c r="O975" s="12">
        <f ca="1">_xlfn.NORM.INV(RAND(),AVERAGE(Assumptions!$D$15,Assumptions!$F$15),(Assumptions!$F$15-Assumptions!$D$15)/3.29)*44</f>
        <v>161140708.69729742</v>
      </c>
      <c r="P975" s="15">
        <f>Assumptions!$D$18</f>
        <v>14641750.345627395</v>
      </c>
      <c r="Q975" s="3">
        <f t="shared" ca="1" si="30"/>
        <v>102184574.8551296</v>
      </c>
      <c r="R975" s="6">
        <f t="shared" ca="1" si="31"/>
        <v>116826325.200757</v>
      </c>
    </row>
    <row r="976" spans="1:18">
      <c r="A976" s="20">
        <v>975</v>
      </c>
      <c r="B976" s="3">
        <f ca="1">_xlfn.NORM.INV(RAND(),AVERAGE(Assumptions!$D$4,Assumptions!$F$4),(Assumptions!$F$4-Assumptions!$D$4)/3.29)*44</f>
        <v>1225044.7154674872</v>
      </c>
      <c r="C976" s="6">
        <f ca="1">_xlfn.NORM.INV(RAND(),AVERAGE(Assumptions!$D$5,Assumptions!$F$5),(Assumptions!$F$5-Assumptions!$D$5)/3.29)*44</f>
        <v>1974094.7420162321</v>
      </c>
      <c r="D976" s="9">
        <f ca="1">_xlfn.NORM.INV(RAND(),AVERAGE(Assumptions!$D$6,Assumptions!$F$6),(Assumptions!$F$6-Assumptions!$D$6)/3.29)*RANDBETWEEN(2,5)</f>
        <v>6267430.7395025939</v>
      </c>
      <c r="E976" s="12">
        <f ca="1">_xlfn.NORM.INV(RAND(),AVERAGE(Assumptions!$D$17,Assumptions!$F$17),(Assumptions!$F$17-Assumptions!$D$17)/3.29)*8</f>
        <v>1118843.8349694544</v>
      </c>
      <c r="F976" s="15">
        <f ca="1">_xlfn.NORM.INV(RAND(),AVERAGE(Assumptions!$D$7,Assumptions!$F$7),(Assumptions!$F$7-Assumptions!$D$7)/3.29)*RANDBETWEEN(1,3)</f>
        <v>7955543.3655312611</v>
      </c>
      <c r="G976" s="3">
        <f ca="1">_xlfn.NORM.INV(RAND(),AVERAGE(Assumptions!$D$8,Assumptions!$F$8),(Assumptions!$F$8-Assumptions!$D$8)/3.29)*44</f>
        <v>939591.23795956268</v>
      </c>
      <c r="H976" s="6">
        <f ca="1">_xlfn.NORM.INV(RAND(),AVERAGE(Assumptions!$D$9,Assumptions!$F$9),(Assumptions!$F$9-Assumptions!$D$9)/3.29)*21</f>
        <v>3412198.4423083263</v>
      </c>
      <c r="I976" s="9">
        <f ca="1">_xlfn.NORM.INV(RAND(),AVERAGE(Assumptions!$D$10,Assumptions!$F$10),(Assumptions!$F$10-Assumptions!$D$10)/3.29)*21</f>
        <v>732669.6110121581</v>
      </c>
      <c r="J976" s="12">
        <f ca="1">NORMINV(RAND(),AVERAGE(Assumptions!$D$11,Assumptions!$F$11),(Assumptions!$F$11-Assumptions!$D$11)/3.29)*44</f>
        <v>4807227.8463810002</v>
      </c>
      <c r="K976" s="15">
        <f ca="1">_xlfn.NORM.INV(RAND(),AVERAGE(Assumptions!$D$12,Assumptions!$F$12),(Assumptions!$F$12-Assumptions!$D$12)/3.29)*44</f>
        <v>8663171.3694789596</v>
      </c>
      <c r="L976" s="3">
        <f ca="1">_xlfn.NORM.INV(RAND(),AVERAGE(Assumptions!$D$13,Assumptions!$F$13),(Assumptions!$F$13-Assumptions!$D$13)/3.29)*44</f>
        <v>17018601.662317928</v>
      </c>
      <c r="M976" s="6">
        <f ca="1">_xlfn.NORM.INV(RAND(),AVERAGE(Assumptions!$D$14,Assumptions!$F$14),(Assumptions!$F$14-Assumptions!$D$14)/3.29)*44</f>
        <v>5618687.3089498254</v>
      </c>
      <c r="N976" s="9">
        <f ca="1">_xlfn.NORM.INV(RAND(),AVERAGE(Assumptions!$D$16,Assumptions!$F$16),(Assumptions!$F$16-Assumptions!$D$16)/3.29)*44</f>
        <v>14138378.51412279</v>
      </c>
      <c r="O976" s="12">
        <f ca="1">_xlfn.NORM.INV(RAND(),AVERAGE(Assumptions!$D$15,Assumptions!$F$15),(Assumptions!$F$15-Assumptions!$D$15)/3.29)*44</f>
        <v>78189955.728200763</v>
      </c>
      <c r="P976" s="15">
        <f>Assumptions!$D$18</f>
        <v>14641750.345627395</v>
      </c>
      <c r="Q976" s="3">
        <f t="shared" ca="1" si="30"/>
        <v>4318472.3381831795</v>
      </c>
      <c r="R976" s="6">
        <f t="shared" ca="1" si="31"/>
        <v>18960222.683810577</v>
      </c>
    </row>
    <row r="977" spans="1:18">
      <c r="A977" s="20">
        <v>976</v>
      </c>
      <c r="B977" s="3">
        <f ca="1">_xlfn.NORM.INV(RAND(),AVERAGE(Assumptions!$D$4,Assumptions!$F$4),(Assumptions!$F$4-Assumptions!$D$4)/3.29)*44</f>
        <v>1117001.3619022204</v>
      </c>
      <c r="C977" s="6">
        <f ca="1">_xlfn.NORM.INV(RAND(),AVERAGE(Assumptions!$D$5,Assumptions!$F$5),(Assumptions!$F$5-Assumptions!$D$5)/3.29)*44</f>
        <v>1673288.4085759958</v>
      </c>
      <c r="D977" s="9">
        <f ca="1">_xlfn.NORM.INV(RAND(),AVERAGE(Assumptions!$D$6,Assumptions!$F$6),(Assumptions!$F$6-Assumptions!$D$6)/3.29)*RANDBETWEEN(2,5)</f>
        <v>3385985.4415983078</v>
      </c>
      <c r="E977" s="12">
        <f ca="1">_xlfn.NORM.INV(RAND(),AVERAGE(Assumptions!$D$17,Assumptions!$F$17),(Assumptions!$F$17-Assumptions!$D$17)/3.29)*8</f>
        <v>1047830.2840268351</v>
      </c>
      <c r="F977" s="15">
        <f ca="1">_xlfn.NORM.INV(RAND(),AVERAGE(Assumptions!$D$7,Assumptions!$F$7),(Assumptions!$F$7-Assumptions!$D$7)/3.29)*RANDBETWEEN(1,3)</f>
        <v>7740477.3185692169</v>
      </c>
      <c r="G977" s="3">
        <f ca="1">_xlfn.NORM.INV(RAND(),AVERAGE(Assumptions!$D$8,Assumptions!$F$8),(Assumptions!$F$8-Assumptions!$D$8)/3.29)*44</f>
        <v>1315547.9588484413</v>
      </c>
      <c r="H977" s="6">
        <f ca="1">_xlfn.NORM.INV(RAND(),AVERAGE(Assumptions!$D$9,Assumptions!$F$9),(Assumptions!$F$9-Assumptions!$D$9)/3.29)*21</f>
        <v>1635262.6171024439</v>
      </c>
      <c r="I977" s="9">
        <f ca="1">_xlfn.NORM.INV(RAND(),AVERAGE(Assumptions!$D$10,Assumptions!$F$10),(Assumptions!$F$10-Assumptions!$D$10)/3.29)*21</f>
        <v>644630.36873006541</v>
      </c>
      <c r="J977" s="12">
        <f ca="1">NORMINV(RAND(),AVERAGE(Assumptions!$D$11,Assumptions!$F$11),(Assumptions!$F$11-Assumptions!$D$11)/3.29)*44</f>
        <v>4088761.7047267584</v>
      </c>
      <c r="K977" s="15">
        <f ca="1">_xlfn.NORM.INV(RAND(),AVERAGE(Assumptions!$D$12,Assumptions!$F$12),(Assumptions!$F$12-Assumptions!$D$12)/3.29)*44</f>
        <v>6803866.4240812911</v>
      </c>
      <c r="L977" s="3">
        <f ca="1">_xlfn.NORM.INV(RAND(),AVERAGE(Assumptions!$D$13,Assumptions!$F$13),(Assumptions!$F$13-Assumptions!$D$13)/3.29)*44</f>
        <v>14039949.586786719</v>
      </c>
      <c r="M977" s="6">
        <f ca="1">_xlfn.NORM.INV(RAND(),AVERAGE(Assumptions!$D$14,Assumptions!$F$14),(Assumptions!$F$14-Assumptions!$D$14)/3.29)*44</f>
        <v>5712230.8180321259</v>
      </c>
      <c r="N977" s="9">
        <f ca="1">_xlfn.NORM.INV(RAND(),AVERAGE(Assumptions!$D$16,Assumptions!$F$16),(Assumptions!$F$16-Assumptions!$D$16)/3.29)*44</f>
        <v>11977530.824638087</v>
      </c>
      <c r="O977" s="12">
        <f ca="1">_xlfn.NORM.INV(RAND(),AVERAGE(Assumptions!$D$15,Assumptions!$F$15),(Assumptions!$F$15-Assumptions!$D$15)/3.29)*44</f>
        <v>75175675.095669553</v>
      </c>
      <c r="P977" s="15">
        <f>Assumptions!$D$18</f>
        <v>14641750.345627395</v>
      </c>
      <c r="Q977" s="3">
        <f t="shared" ca="1" si="30"/>
        <v>13993311.978051051</v>
      </c>
      <c r="R977" s="6">
        <f t="shared" ca="1" si="31"/>
        <v>28635062.323678449</v>
      </c>
    </row>
    <row r="978" spans="1:18">
      <c r="A978" s="20">
        <v>977</v>
      </c>
      <c r="B978" s="3">
        <f ca="1">_xlfn.NORM.INV(RAND(),AVERAGE(Assumptions!$D$4,Assumptions!$F$4),(Assumptions!$F$4-Assumptions!$D$4)/3.29)*44</f>
        <v>1282656.1580567532</v>
      </c>
      <c r="C978" s="6">
        <f ca="1">_xlfn.NORM.INV(RAND(),AVERAGE(Assumptions!$D$5,Assumptions!$F$5),(Assumptions!$F$5-Assumptions!$D$5)/3.29)*44</f>
        <v>2068166.7859167121</v>
      </c>
      <c r="D978" s="9">
        <f ca="1">_xlfn.NORM.INV(RAND(),AVERAGE(Assumptions!$D$6,Assumptions!$F$6),(Assumptions!$F$6-Assumptions!$D$6)/3.29)*RANDBETWEEN(2,5)</f>
        <v>2530061.3339868346</v>
      </c>
      <c r="E978" s="12">
        <f ca="1">_xlfn.NORM.INV(RAND(),AVERAGE(Assumptions!$D$17,Assumptions!$F$17),(Assumptions!$F$17-Assumptions!$D$17)/3.29)*8</f>
        <v>807852.3645163537</v>
      </c>
      <c r="F978" s="15">
        <f ca="1">_xlfn.NORM.INV(RAND(),AVERAGE(Assumptions!$D$7,Assumptions!$F$7),(Assumptions!$F$7-Assumptions!$D$7)/3.29)*RANDBETWEEN(1,3)</f>
        <v>3031462.995289946</v>
      </c>
      <c r="G978" s="3">
        <f ca="1">_xlfn.NORM.INV(RAND(),AVERAGE(Assumptions!$D$8,Assumptions!$F$8),(Assumptions!$F$8-Assumptions!$D$8)/3.29)*44</f>
        <v>867513.72176966351</v>
      </c>
      <c r="H978" s="6">
        <f ca="1">_xlfn.NORM.INV(RAND(),AVERAGE(Assumptions!$D$9,Assumptions!$F$9),(Assumptions!$F$9-Assumptions!$D$9)/3.29)*21</f>
        <v>5055103.8559694681</v>
      </c>
      <c r="I978" s="9">
        <f ca="1">_xlfn.NORM.INV(RAND(),AVERAGE(Assumptions!$D$10,Assumptions!$F$10),(Assumptions!$F$10-Assumptions!$D$10)/3.29)*21</f>
        <v>462105.21597873152</v>
      </c>
      <c r="J978" s="12">
        <f ca="1">NORMINV(RAND(),AVERAGE(Assumptions!$D$11,Assumptions!$F$11),(Assumptions!$F$11-Assumptions!$D$11)/3.29)*44</f>
        <v>2830882.3687037481</v>
      </c>
      <c r="K978" s="15">
        <f ca="1">_xlfn.NORM.INV(RAND(),AVERAGE(Assumptions!$D$12,Assumptions!$F$12),(Assumptions!$F$12-Assumptions!$D$12)/3.29)*44</f>
        <v>10788271.111766763</v>
      </c>
      <c r="L978" s="3">
        <f ca="1">_xlfn.NORM.INV(RAND(),AVERAGE(Assumptions!$D$13,Assumptions!$F$13),(Assumptions!$F$13-Assumptions!$D$13)/3.29)*44</f>
        <v>15619746.005364191</v>
      </c>
      <c r="M978" s="6">
        <f ca="1">_xlfn.NORM.INV(RAND(),AVERAGE(Assumptions!$D$14,Assumptions!$F$14),(Assumptions!$F$14-Assumptions!$D$14)/3.29)*44</f>
        <v>5435207.0997024002</v>
      </c>
      <c r="N978" s="9">
        <f ca="1">_xlfn.NORM.INV(RAND(),AVERAGE(Assumptions!$D$16,Assumptions!$F$16),(Assumptions!$F$16-Assumptions!$D$16)/3.29)*44</f>
        <v>11896603.737224508</v>
      </c>
      <c r="O978" s="12">
        <f ca="1">_xlfn.NORM.INV(RAND(),AVERAGE(Assumptions!$D$15,Assumptions!$F$15),(Assumptions!$F$15-Assumptions!$D$15)/3.29)*44</f>
        <v>207631165.57308084</v>
      </c>
      <c r="P978" s="15">
        <f>Assumptions!$D$18</f>
        <v>14641750.345627395</v>
      </c>
      <c r="Q978" s="3">
        <f t="shared" ca="1" si="30"/>
        <v>144955532.81883475</v>
      </c>
      <c r="R978" s="6">
        <f t="shared" ca="1" si="31"/>
        <v>159597283.16446215</v>
      </c>
    </row>
    <row r="979" spans="1:18">
      <c r="A979" s="20">
        <v>978</v>
      </c>
      <c r="B979" s="3">
        <f ca="1">_xlfn.NORM.INV(RAND(),AVERAGE(Assumptions!$D$4,Assumptions!$F$4),(Assumptions!$F$4-Assumptions!$D$4)/3.29)*44</f>
        <v>1187609.6620308708</v>
      </c>
      <c r="C979" s="6">
        <f ca="1">_xlfn.NORM.INV(RAND(),AVERAGE(Assumptions!$D$5,Assumptions!$F$5),(Assumptions!$F$5-Assumptions!$D$5)/3.29)*44</f>
        <v>1876010.4042432618</v>
      </c>
      <c r="D979" s="9">
        <f ca="1">_xlfn.NORM.INV(RAND(),AVERAGE(Assumptions!$D$6,Assumptions!$F$6),(Assumptions!$F$6-Assumptions!$D$6)/3.29)*RANDBETWEEN(2,5)</f>
        <v>4940093.4998507909</v>
      </c>
      <c r="E979" s="12">
        <f ca="1">_xlfn.NORM.INV(RAND(),AVERAGE(Assumptions!$D$17,Assumptions!$F$17),(Assumptions!$F$17-Assumptions!$D$17)/3.29)*8</f>
        <v>853553.42618177761</v>
      </c>
      <c r="F979" s="15">
        <f ca="1">_xlfn.NORM.INV(RAND(),AVERAGE(Assumptions!$D$7,Assumptions!$F$7),(Assumptions!$F$7-Assumptions!$D$7)/3.29)*RANDBETWEEN(1,3)</f>
        <v>3010501.8767662738</v>
      </c>
      <c r="G979" s="3">
        <f ca="1">_xlfn.NORM.INV(RAND(),AVERAGE(Assumptions!$D$8,Assumptions!$F$8),(Assumptions!$F$8-Assumptions!$D$8)/3.29)*44</f>
        <v>1372735.9399515954</v>
      </c>
      <c r="H979" s="6">
        <f ca="1">_xlfn.NORM.INV(RAND(),AVERAGE(Assumptions!$D$9,Assumptions!$F$9),(Assumptions!$F$9-Assumptions!$D$9)/3.29)*21</f>
        <v>5234068.8937454708</v>
      </c>
      <c r="I979" s="9">
        <f ca="1">_xlfn.NORM.INV(RAND(),AVERAGE(Assumptions!$D$10,Assumptions!$F$10),(Assumptions!$F$10-Assumptions!$D$10)/3.29)*21</f>
        <v>801760.10098844254</v>
      </c>
      <c r="J979" s="12">
        <f ca="1">NORMINV(RAND(),AVERAGE(Assumptions!$D$11,Assumptions!$F$11),(Assumptions!$F$11-Assumptions!$D$11)/3.29)*44</f>
        <v>2691763.2507366682</v>
      </c>
      <c r="K979" s="15">
        <f ca="1">_xlfn.NORM.INV(RAND(),AVERAGE(Assumptions!$D$12,Assumptions!$F$12),(Assumptions!$F$12-Assumptions!$D$12)/3.29)*44</f>
        <v>8354067.3125666091</v>
      </c>
      <c r="L979" s="3">
        <f ca="1">_xlfn.NORM.INV(RAND(),AVERAGE(Assumptions!$D$13,Assumptions!$F$13),(Assumptions!$F$13-Assumptions!$D$13)/3.29)*44</f>
        <v>14940875.8035118</v>
      </c>
      <c r="M979" s="6">
        <f ca="1">_xlfn.NORM.INV(RAND(),AVERAGE(Assumptions!$D$14,Assumptions!$F$14),(Assumptions!$F$14-Assumptions!$D$14)/3.29)*44</f>
        <v>5259818.0367266666</v>
      </c>
      <c r="N979" s="9">
        <f ca="1">_xlfn.NORM.INV(RAND(),AVERAGE(Assumptions!$D$16,Assumptions!$F$16),(Assumptions!$F$16-Assumptions!$D$16)/3.29)*44</f>
        <v>7507913.7643724801</v>
      </c>
      <c r="O979" s="12">
        <f ca="1">_xlfn.NORM.INV(RAND(),AVERAGE(Assumptions!$D$15,Assumptions!$F$15),(Assumptions!$F$15-Assumptions!$D$15)/3.29)*44</f>
        <v>167474353.87771878</v>
      </c>
      <c r="P979" s="15">
        <f>Assumptions!$D$18</f>
        <v>14641750.345627395</v>
      </c>
      <c r="Q979" s="3">
        <f t="shared" ca="1" si="30"/>
        <v>109443581.90604606</v>
      </c>
      <c r="R979" s="6">
        <f t="shared" ca="1" si="31"/>
        <v>124085332.25167346</v>
      </c>
    </row>
    <row r="980" spans="1:18">
      <c r="A980" s="20">
        <v>979</v>
      </c>
      <c r="B980" s="3">
        <f ca="1">_xlfn.NORM.INV(RAND(),AVERAGE(Assumptions!$D$4,Assumptions!$F$4),(Assumptions!$F$4-Assumptions!$D$4)/3.29)*44</f>
        <v>1229248.6582405332</v>
      </c>
      <c r="C980" s="6">
        <f ca="1">_xlfn.NORM.INV(RAND(),AVERAGE(Assumptions!$D$5,Assumptions!$F$5),(Assumptions!$F$5-Assumptions!$D$5)/3.29)*44</f>
        <v>2048194.6685608674</v>
      </c>
      <c r="D980" s="9">
        <f ca="1">_xlfn.NORM.INV(RAND(),AVERAGE(Assumptions!$D$6,Assumptions!$F$6),(Assumptions!$F$6-Assumptions!$D$6)/3.29)*RANDBETWEEN(2,5)</f>
        <v>5431215.5040297527</v>
      </c>
      <c r="E980" s="12">
        <f ca="1">_xlfn.NORM.INV(RAND(),AVERAGE(Assumptions!$D$17,Assumptions!$F$17),(Assumptions!$F$17-Assumptions!$D$17)/3.29)*8</f>
        <v>918919.90147482557</v>
      </c>
      <c r="F980" s="15">
        <f ca="1">_xlfn.NORM.INV(RAND(),AVERAGE(Assumptions!$D$7,Assumptions!$F$7),(Assumptions!$F$7-Assumptions!$D$7)/3.29)*RANDBETWEEN(1,3)</f>
        <v>6191552.148711131</v>
      </c>
      <c r="G980" s="3">
        <f ca="1">_xlfn.NORM.INV(RAND(),AVERAGE(Assumptions!$D$8,Assumptions!$F$8),(Assumptions!$F$8-Assumptions!$D$8)/3.29)*44</f>
        <v>1252408.7119355865</v>
      </c>
      <c r="H980" s="6">
        <f ca="1">_xlfn.NORM.INV(RAND(),AVERAGE(Assumptions!$D$9,Assumptions!$F$9),(Assumptions!$F$9-Assumptions!$D$9)/3.29)*21</f>
        <v>6199488.3423341522</v>
      </c>
      <c r="I980" s="9">
        <f ca="1">_xlfn.NORM.INV(RAND(),AVERAGE(Assumptions!$D$10,Assumptions!$F$10),(Assumptions!$F$10-Assumptions!$D$10)/3.29)*21</f>
        <v>969389.72633323516</v>
      </c>
      <c r="J980" s="12">
        <f ca="1">NORMINV(RAND(),AVERAGE(Assumptions!$D$11,Assumptions!$F$11),(Assumptions!$F$11-Assumptions!$D$11)/3.29)*44</f>
        <v>2523771.019011152</v>
      </c>
      <c r="K980" s="15">
        <f ca="1">_xlfn.NORM.INV(RAND(),AVERAGE(Assumptions!$D$12,Assumptions!$F$12),(Assumptions!$F$12-Assumptions!$D$12)/3.29)*44</f>
        <v>7774033.5228725467</v>
      </c>
      <c r="L980" s="3">
        <f ca="1">_xlfn.NORM.INV(RAND(),AVERAGE(Assumptions!$D$13,Assumptions!$F$13),(Assumptions!$F$13-Assumptions!$D$13)/3.29)*44</f>
        <v>11556585.876160089</v>
      </c>
      <c r="M980" s="6">
        <f ca="1">_xlfn.NORM.INV(RAND(),AVERAGE(Assumptions!$D$14,Assumptions!$F$14),(Assumptions!$F$14-Assumptions!$D$14)/3.29)*44</f>
        <v>4137134.3162707016</v>
      </c>
      <c r="N980" s="9">
        <f ca="1">_xlfn.NORM.INV(RAND(),AVERAGE(Assumptions!$D$16,Assumptions!$F$16),(Assumptions!$F$16-Assumptions!$D$16)/3.29)*44</f>
        <v>6067166.3259129627</v>
      </c>
      <c r="O980" s="12">
        <f ca="1">_xlfn.NORM.INV(RAND(),AVERAGE(Assumptions!$D$15,Assumptions!$F$15),(Assumptions!$F$15-Assumptions!$D$15)/3.29)*44</f>
        <v>-89978716.830153093</v>
      </c>
      <c r="P980" s="15">
        <f>Assumptions!$D$18</f>
        <v>14641750.345627395</v>
      </c>
      <c r="Q980" s="3">
        <f t="shared" ca="1" si="30"/>
        <v>-146277825.55200061</v>
      </c>
      <c r="R980" s="6">
        <f t="shared" ca="1" si="31"/>
        <v>-131636075.20637321</v>
      </c>
    </row>
    <row r="981" spans="1:18">
      <c r="A981" s="20">
        <v>980</v>
      </c>
      <c r="B981" s="3">
        <f ca="1">_xlfn.NORM.INV(RAND(),AVERAGE(Assumptions!$D$4,Assumptions!$F$4),(Assumptions!$F$4-Assumptions!$D$4)/3.29)*44</f>
        <v>1093674.0482768456</v>
      </c>
      <c r="C981" s="6">
        <f ca="1">_xlfn.NORM.INV(RAND(),AVERAGE(Assumptions!$D$5,Assumptions!$F$5),(Assumptions!$F$5-Assumptions!$D$5)/3.29)*44</f>
        <v>1938276.6622974293</v>
      </c>
      <c r="D981" s="9">
        <f ca="1">_xlfn.NORM.INV(RAND(),AVERAGE(Assumptions!$D$6,Assumptions!$F$6),(Assumptions!$F$6-Assumptions!$D$6)/3.29)*RANDBETWEEN(2,5)</f>
        <v>4007976.8690962568</v>
      </c>
      <c r="E981" s="12">
        <f ca="1">_xlfn.NORM.INV(RAND(),AVERAGE(Assumptions!$D$17,Assumptions!$F$17),(Assumptions!$F$17-Assumptions!$D$17)/3.29)*8</f>
        <v>1239320.5140975905</v>
      </c>
      <c r="F981" s="15">
        <f ca="1">_xlfn.NORM.INV(RAND(),AVERAGE(Assumptions!$D$7,Assumptions!$F$7),(Assumptions!$F$7-Assumptions!$D$7)/3.29)*RANDBETWEEN(1,3)</f>
        <v>7624944.7621194441</v>
      </c>
      <c r="G981" s="3">
        <f ca="1">_xlfn.NORM.INV(RAND(),AVERAGE(Assumptions!$D$8,Assumptions!$F$8),(Assumptions!$F$8-Assumptions!$D$8)/3.29)*44</f>
        <v>732784.43752240739</v>
      </c>
      <c r="H981" s="6">
        <f ca="1">_xlfn.NORM.INV(RAND(),AVERAGE(Assumptions!$D$9,Assumptions!$F$9),(Assumptions!$F$9-Assumptions!$D$9)/3.29)*21</f>
        <v>5147845.6217509508</v>
      </c>
      <c r="I981" s="9">
        <f ca="1">_xlfn.NORM.INV(RAND(),AVERAGE(Assumptions!$D$10,Assumptions!$F$10),(Assumptions!$F$10-Assumptions!$D$10)/3.29)*21</f>
        <v>730972.13440239883</v>
      </c>
      <c r="J981" s="12">
        <f ca="1">NORMINV(RAND(),AVERAGE(Assumptions!$D$11,Assumptions!$F$11),(Assumptions!$F$11-Assumptions!$D$11)/3.29)*44</f>
        <v>4672624.6230457043</v>
      </c>
      <c r="K981" s="15">
        <f ca="1">_xlfn.NORM.INV(RAND(),AVERAGE(Assumptions!$D$12,Assumptions!$F$12),(Assumptions!$F$12-Assumptions!$D$12)/3.29)*44</f>
        <v>9279257.0136665851</v>
      </c>
      <c r="L981" s="3">
        <f ca="1">_xlfn.NORM.INV(RAND(),AVERAGE(Assumptions!$D$13,Assumptions!$F$13),(Assumptions!$F$13-Assumptions!$D$13)/3.29)*44</f>
        <v>20928282.593973495</v>
      </c>
      <c r="M981" s="6">
        <f ca="1">_xlfn.NORM.INV(RAND(),AVERAGE(Assumptions!$D$14,Assumptions!$F$14),(Assumptions!$F$14-Assumptions!$D$14)/3.29)*44</f>
        <v>6550326.0560687259</v>
      </c>
      <c r="N981" s="9">
        <f ca="1">_xlfn.NORM.INV(RAND(),AVERAGE(Assumptions!$D$16,Assumptions!$F$16),(Assumptions!$F$16-Assumptions!$D$16)/3.29)*44</f>
        <v>14899508.218822459</v>
      </c>
      <c r="O981" s="12">
        <f ca="1">_xlfn.NORM.INV(RAND(),AVERAGE(Assumptions!$D$15,Assumptions!$F$15),(Assumptions!$F$15-Assumptions!$D$15)/3.29)*44</f>
        <v>89906961.684442788</v>
      </c>
      <c r="P981" s="15">
        <f>Assumptions!$D$18</f>
        <v>14641750.345627395</v>
      </c>
      <c r="Q981" s="3">
        <f t="shared" ca="1" si="30"/>
        <v>11061168.129302502</v>
      </c>
      <c r="R981" s="6">
        <f t="shared" ca="1" si="31"/>
        <v>25702918.474929899</v>
      </c>
    </row>
    <row r="982" spans="1:18">
      <c r="A982" s="20">
        <v>981</v>
      </c>
      <c r="B982" s="3">
        <f ca="1">_xlfn.NORM.INV(RAND(),AVERAGE(Assumptions!$D$4,Assumptions!$F$4),(Assumptions!$F$4-Assumptions!$D$4)/3.29)*44</f>
        <v>1159445.1748842674</v>
      </c>
      <c r="C982" s="6">
        <f ca="1">_xlfn.NORM.INV(RAND(),AVERAGE(Assumptions!$D$5,Assumptions!$F$5),(Assumptions!$F$5-Assumptions!$D$5)/3.29)*44</f>
        <v>1468363.6380877907</v>
      </c>
      <c r="D982" s="9">
        <f ca="1">_xlfn.NORM.INV(RAND(),AVERAGE(Assumptions!$D$6,Assumptions!$F$6),(Assumptions!$F$6-Assumptions!$D$6)/3.29)*RANDBETWEEN(2,5)</f>
        <v>2929143.4603088899</v>
      </c>
      <c r="E982" s="12">
        <f ca="1">_xlfn.NORM.INV(RAND(),AVERAGE(Assumptions!$D$17,Assumptions!$F$17),(Assumptions!$F$17-Assumptions!$D$17)/3.29)*8</f>
        <v>943780.58544874482</v>
      </c>
      <c r="F982" s="15">
        <f ca="1">_xlfn.NORM.INV(RAND(),AVERAGE(Assumptions!$D$7,Assumptions!$F$7),(Assumptions!$F$7-Assumptions!$D$7)/3.29)*RANDBETWEEN(1,3)</f>
        <v>2982005.339000802</v>
      </c>
      <c r="G982" s="3">
        <f ca="1">_xlfn.NORM.INV(RAND(),AVERAGE(Assumptions!$D$8,Assumptions!$F$8),(Assumptions!$F$8-Assumptions!$D$8)/3.29)*44</f>
        <v>827390.69228816498</v>
      </c>
      <c r="H982" s="6">
        <f ca="1">_xlfn.NORM.INV(RAND(),AVERAGE(Assumptions!$D$9,Assumptions!$F$9),(Assumptions!$F$9-Assumptions!$D$9)/3.29)*21</f>
        <v>4678111.624251822</v>
      </c>
      <c r="I982" s="9">
        <f ca="1">_xlfn.NORM.INV(RAND(),AVERAGE(Assumptions!$D$10,Assumptions!$F$10),(Assumptions!$F$10-Assumptions!$D$10)/3.29)*21</f>
        <v>1074974.0178561993</v>
      </c>
      <c r="J982" s="12">
        <f ca="1">NORMINV(RAND(),AVERAGE(Assumptions!$D$11,Assumptions!$F$11),(Assumptions!$F$11-Assumptions!$D$11)/3.29)*44</f>
        <v>3741121.0630967189</v>
      </c>
      <c r="K982" s="15">
        <f ca="1">_xlfn.NORM.INV(RAND(),AVERAGE(Assumptions!$D$12,Assumptions!$F$12),(Assumptions!$F$12-Assumptions!$D$12)/3.29)*44</f>
        <v>9188037.3615871016</v>
      </c>
      <c r="L982" s="3">
        <f ca="1">_xlfn.NORM.INV(RAND(),AVERAGE(Assumptions!$D$13,Assumptions!$F$13),(Assumptions!$F$13-Assumptions!$D$13)/3.29)*44</f>
        <v>15044369.212105555</v>
      </c>
      <c r="M982" s="6">
        <f ca="1">_xlfn.NORM.INV(RAND(),AVERAGE(Assumptions!$D$14,Assumptions!$F$14),(Assumptions!$F$14-Assumptions!$D$14)/3.29)*44</f>
        <v>4928670.8379189484</v>
      </c>
      <c r="N982" s="9">
        <f ca="1">_xlfn.NORM.INV(RAND(),AVERAGE(Assumptions!$D$16,Assumptions!$F$16),(Assumptions!$F$16-Assumptions!$D$16)/3.29)*44</f>
        <v>9355252.6392010283</v>
      </c>
      <c r="O982" s="12">
        <f ca="1">_xlfn.NORM.INV(RAND(),AVERAGE(Assumptions!$D$15,Assumptions!$F$15),(Assumptions!$F$15-Assumptions!$D$15)/3.29)*44</f>
        <v>102965313.90608993</v>
      </c>
      <c r="P982" s="15">
        <f>Assumptions!$D$18</f>
        <v>14641750.345627395</v>
      </c>
      <c r="Q982" s="3">
        <f t="shared" ca="1" si="30"/>
        <v>44644648.260053903</v>
      </c>
      <c r="R982" s="6">
        <f t="shared" ca="1" si="31"/>
        <v>59286398.6056813</v>
      </c>
    </row>
    <row r="983" spans="1:18">
      <c r="A983" s="20">
        <v>982</v>
      </c>
      <c r="B983" s="3">
        <f ca="1">_xlfn.NORM.INV(RAND(),AVERAGE(Assumptions!$D$4,Assumptions!$F$4),(Assumptions!$F$4-Assumptions!$D$4)/3.29)*44</f>
        <v>1064038.9397838165</v>
      </c>
      <c r="C983" s="6">
        <f ca="1">_xlfn.NORM.INV(RAND(),AVERAGE(Assumptions!$D$5,Assumptions!$F$5),(Assumptions!$F$5-Assumptions!$D$5)/3.29)*44</f>
        <v>1849971.6322496533</v>
      </c>
      <c r="D983" s="9">
        <f ca="1">_xlfn.NORM.INV(RAND(),AVERAGE(Assumptions!$D$6,Assumptions!$F$6),(Assumptions!$F$6-Assumptions!$D$6)/3.29)*RANDBETWEEN(2,5)</f>
        <v>5379353.0271201804</v>
      </c>
      <c r="E983" s="12">
        <f ca="1">_xlfn.NORM.INV(RAND(),AVERAGE(Assumptions!$D$17,Assumptions!$F$17),(Assumptions!$F$17-Assumptions!$D$17)/3.29)*8</f>
        <v>818379.10498173349</v>
      </c>
      <c r="F983" s="15">
        <f ca="1">_xlfn.NORM.INV(RAND(),AVERAGE(Assumptions!$D$7,Assumptions!$F$7),(Assumptions!$F$7-Assumptions!$D$7)/3.29)*RANDBETWEEN(1,3)</f>
        <v>9041118.5384891983</v>
      </c>
      <c r="G983" s="3">
        <f ca="1">_xlfn.NORM.INV(RAND(),AVERAGE(Assumptions!$D$8,Assumptions!$F$8),(Assumptions!$F$8-Assumptions!$D$8)/3.29)*44</f>
        <v>1061701.8610232344</v>
      </c>
      <c r="H983" s="6">
        <f ca="1">_xlfn.NORM.INV(RAND(),AVERAGE(Assumptions!$D$9,Assumptions!$F$9),(Assumptions!$F$9-Assumptions!$D$9)/3.29)*21</f>
        <v>3613898.8057261072</v>
      </c>
      <c r="I983" s="9">
        <f ca="1">_xlfn.NORM.INV(RAND(),AVERAGE(Assumptions!$D$10,Assumptions!$F$10),(Assumptions!$F$10-Assumptions!$D$10)/3.29)*21</f>
        <v>1115410.0728315059</v>
      </c>
      <c r="J983" s="12">
        <f ca="1">NORMINV(RAND(),AVERAGE(Assumptions!$D$11,Assumptions!$F$11),(Assumptions!$F$11-Assumptions!$D$11)/3.29)*44</f>
        <v>3319622.6494807308</v>
      </c>
      <c r="K983" s="15">
        <f ca="1">_xlfn.NORM.INV(RAND(),AVERAGE(Assumptions!$D$12,Assumptions!$F$12),(Assumptions!$F$12-Assumptions!$D$12)/3.29)*44</f>
        <v>7425958.3375181332</v>
      </c>
      <c r="L983" s="3">
        <f ca="1">_xlfn.NORM.INV(RAND(),AVERAGE(Assumptions!$D$13,Assumptions!$F$13),(Assumptions!$F$13-Assumptions!$D$13)/3.29)*44</f>
        <v>7714360.2984277047</v>
      </c>
      <c r="M983" s="6">
        <f ca="1">_xlfn.NORM.INV(RAND(),AVERAGE(Assumptions!$D$14,Assumptions!$F$14),(Assumptions!$F$14-Assumptions!$D$14)/3.29)*44</f>
        <v>5542414.5638389206</v>
      </c>
      <c r="N983" s="9">
        <f ca="1">_xlfn.NORM.INV(RAND(),AVERAGE(Assumptions!$D$16,Assumptions!$F$16),(Assumptions!$F$16-Assumptions!$D$16)/3.29)*44</f>
        <v>8048694.8444245681</v>
      </c>
      <c r="O983" s="12">
        <f ca="1">_xlfn.NORM.INV(RAND(),AVERAGE(Assumptions!$D$15,Assumptions!$F$15),(Assumptions!$F$15-Assumptions!$D$15)/3.29)*44</f>
        <v>79125611.323241711</v>
      </c>
      <c r="P983" s="15">
        <f>Assumptions!$D$18</f>
        <v>14641750.345627395</v>
      </c>
      <c r="Q983" s="3">
        <f t="shared" ca="1" si="30"/>
        <v>23130688.647346213</v>
      </c>
      <c r="R983" s="6">
        <f t="shared" ca="1" si="31"/>
        <v>37772438.992973611</v>
      </c>
    </row>
    <row r="984" spans="1:18">
      <c r="A984" s="20">
        <v>983</v>
      </c>
      <c r="B984" s="3">
        <f ca="1">_xlfn.NORM.INV(RAND(),AVERAGE(Assumptions!$D$4,Assumptions!$F$4),(Assumptions!$F$4-Assumptions!$D$4)/3.29)*44</f>
        <v>1283155.1258399268</v>
      </c>
      <c r="C984" s="6">
        <f ca="1">_xlfn.NORM.INV(RAND(),AVERAGE(Assumptions!$D$5,Assumptions!$F$5),(Assumptions!$F$5-Assumptions!$D$5)/3.29)*44</f>
        <v>1892717.4781128713</v>
      </c>
      <c r="D984" s="9">
        <f ca="1">_xlfn.NORM.INV(RAND(),AVERAGE(Assumptions!$D$6,Assumptions!$F$6),(Assumptions!$F$6-Assumptions!$D$6)/3.29)*RANDBETWEEN(2,5)</f>
        <v>2521673.3006950514</v>
      </c>
      <c r="E984" s="12">
        <f ca="1">_xlfn.NORM.INV(RAND(),AVERAGE(Assumptions!$D$17,Assumptions!$F$17),(Assumptions!$F$17-Assumptions!$D$17)/3.29)*8</f>
        <v>1005510.7415344275</v>
      </c>
      <c r="F984" s="15">
        <f ca="1">_xlfn.NORM.INV(RAND(),AVERAGE(Assumptions!$D$7,Assumptions!$F$7),(Assumptions!$F$7-Assumptions!$D$7)/3.29)*RANDBETWEEN(1,3)</f>
        <v>2821986.2140761185</v>
      </c>
      <c r="G984" s="3">
        <f ca="1">_xlfn.NORM.INV(RAND(),AVERAGE(Assumptions!$D$8,Assumptions!$F$8),(Assumptions!$F$8-Assumptions!$D$8)/3.29)*44</f>
        <v>1106906.5945052344</v>
      </c>
      <c r="H984" s="6">
        <f ca="1">_xlfn.NORM.INV(RAND(),AVERAGE(Assumptions!$D$9,Assumptions!$F$9),(Assumptions!$F$9-Assumptions!$D$9)/3.29)*21</f>
        <v>4218819.9859988037</v>
      </c>
      <c r="I984" s="9">
        <f ca="1">_xlfn.NORM.INV(RAND(),AVERAGE(Assumptions!$D$10,Assumptions!$F$10),(Assumptions!$F$10-Assumptions!$D$10)/3.29)*21</f>
        <v>806635.9185189103</v>
      </c>
      <c r="J984" s="12">
        <f ca="1">NORMINV(RAND(),AVERAGE(Assumptions!$D$11,Assumptions!$F$11),(Assumptions!$F$11-Assumptions!$D$11)/3.29)*44</f>
        <v>5354559.4488790287</v>
      </c>
      <c r="K984" s="15">
        <f ca="1">_xlfn.NORM.INV(RAND(),AVERAGE(Assumptions!$D$12,Assumptions!$F$12),(Assumptions!$F$12-Assumptions!$D$12)/3.29)*44</f>
        <v>7012909.5854836041</v>
      </c>
      <c r="L984" s="3">
        <f ca="1">_xlfn.NORM.INV(RAND(),AVERAGE(Assumptions!$D$13,Assumptions!$F$13),(Assumptions!$F$13-Assumptions!$D$13)/3.29)*44</f>
        <v>14421981.195512231</v>
      </c>
      <c r="M984" s="6">
        <f ca="1">_xlfn.NORM.INV(RAND(),AVERAGE(Assumptions!$D$14,Assumptions!$F$14),(Assumptions!$F$14-Assumptions!$D$14)/3.29)*44</f>
        <v>6768980.0600600196</v>
      </c>
      <c r="N984" s="9">
        <f ca="1">_xlfn.NORM.INV(RAND(),AVERAGE(Assumptions!$D$16,Assumptions!$F$16),(Assumptions!$F$16-Assumptions!$D$16)/3.29)*44</f>
        <v>8570756.8446806688</v>
      </c>
      <c r="O984" s="12">
        <f ca="1">_xlfn.NORM.INV(RAND(),AVERAGE(Assumptions!$D$15,Assumptions!$F$15),(Assumptions!$F$15-Assumptions!$D$15)/3.29)*44</f>
        <v>179857308.42246723</v>
      </c>
      <c r="P984" s="15">
        <f>Assumptions!$D$18</f>
        <v>14641750.345627395</v>
      </c>
      <c r="Q984" s="3">
        <f t="shared" ca="1" si="30"/>
        <v>122070715.92857033</v>
      </c>
      <c r="R984" s="6">
        <f t="shared" ca="1" si="31"/>
        <v>136712466.27419773</v>
      </c>
    </row>
    <row r="985" spans="1:18">
      <c r="A985" s="20">
        <v>984</v>
      </c>
      <c r="B985" s="3">
        <f ca="1">_xlfn.NORM.INV(RAND(),AVERAGE(Assumptions!$D$4,Assumptions!$F$4),(Assumptions!$F$4-Assumptions!$D$4)/3.29)*44</f>
        <v>1085002.1857867839</v>
      </c>
      <c r="C985" s="6">
        <f ca="1">_xlfn.NORM.INV(RAND(),AVERAGE(Assumptions!$D$5,Assumptions!$F$5),(Assumptions!$F$5-Assumptions!$D$5)/3.29)*44</f>
        <v>1915102.5853134599</v>
      </c>
      <c r="D985" s="9">
        <f ca="1">_xlfn.NORM.INV(RAND(),AVERAGE(Assumptions!$D$6,Assumptions!$F$6),(Assumptions!$F$6-Assumptions!$D$6)/3.29)*RANDBETWEEN(2,5)</f>
        <v>3573044.2271531657</v>
      </c>
      <c r="E985" s="12">
        <f ca="1">_xlfn.NORM.INV(RAND(),AVERAGE(Assumptions!$D$17,Assumptions!$F$17),(Assumptions!$F$17-Assumptions!$D$17)/3.29)*8</f>
        <v>810815.15457506862</v>
      </c>
      <c r="F985" s="15">
        <f ca="1">_xlfn.NORM.INV(RAND(),AVERAGE(Assumptions!$D$7,Assumptions!$F$7),(Assumptions!$F$7-Assumptions!$D$7)/3.29)*RANDBETWEEN(1,3)</f>
        <v>2351013.8947577397</v>
      </c>
      <c r="G985" s="3">
        <f ca="1">_xlfn.NORM.INV(RAND(),AVERAGE(Assumptions!$D$8,Assumptions!$F$8),(Assumptions!$F$8-Assumptions!$D$8)/3.29)*44</f>
        <v>1043173.9986680083</v>
      </c>
      <c r="H985" s="6">
        <f ca="1">_xlfn.NORM.INV(RAND(),AVERAGE(Assumptions!$D$9,Assumptions!$F$9),(Assumptions!$F$9-Assumptions!$D$9)/3.29)*21</f>
        <v>4346050.7497173185</v>
      </c>
      <c r="I985" s="9">
        <f ca="1">_xlfn.NORM.INV(RAND(),AVERAGE(Assumptions!$D$10,Assumptions!$F$10),(Assumptions!$F$10-Assumptions!$D$10)/3.29)*21</f>
        <v>632284.98483422259</v>
      </c>
      <c r="J985" s="12">
        <f ca="1">NORMINV(RAND(),AVERAGE(Assumptions!$D$11,Assumptions!$F$11),(Assumptions!$F$11-Assumptions!$D$11)/3.29)*44</f>
        <v>4552845.5706922645</v>
      </c>
      <c r="K985" s="15">
        <f ca="1">_xlfn.NORM.INV(RAND(),AVERAGE(Assumptions!$D$12,Assumptions!$F$12),(Assumptions!$F$12-Assumptions!$D$12)/3.29)*44</f>
        <v>8387203.3333055303</v>
      </c>
      <c r="L985" s="3">
        <f ca="1">_xlfn.NORM.INV(RAND(),AVERAGE(Assumptions!$D$13,Assumptions!$F$13),(Assumptions!$F$13-Assumptions!$D$13)/3.29)*44</f>
        <v>7767334.4045005068</v>
      </c>
      <c r="M985" s="6">
        <f ca="1">_xlfn.NORM.INV(RAND(),AVERAGE(Assumptions!$D$14,Assumptions!$F$14),(Assumptions!$F$14-Assumptions!$D$14)/3.29)*44</f>
        <v>5962037.6425376376</v>
      </c>
      <c r="N985" s="9">
        <f ca="1">_xlfn.NORM.INV(RAND(),AVERAGE(Assumptions!$D$16,Assumptions!$F$16),(Assumptions!$F$16-Assumptions!$D$16)/3.29)*44</f>
        <v>12829737.825620405</v>
      </c>
      <c r="O985" s="12">
        <f ca="1">_xlfn.NORM.INV(RAND(),AVERAGE(Assumptions!$D$15,Assumptions!$F$15),(Assumptions!$F$15-Assumptions!$D$15)/3.29)*44</f>
        <v>112478237.42305742</v>
      </c>
      <c r="P985" s="15">
        <f>Assumptions!$D$18</f>
        <v>14641750.345627395</v>
      </c>
      <c r="Q985" s="3">
        <f t="shared" ca="1" si="30"/>
        <v>57222590.865595311</v>
      </c>
      <c r="R985" s="6">
        <f t="shared" ca="1" si="31"/>
        <v>71864341.211222708</v>
      </c>
    </row>
    <row r="986" spans="1:18">
      <c r="A986" s="20">
        <v>985</v>
      </c>
      <c r="B986" s="3">
        <f ca="1">_xlfn.NORM.INV(RAND(),AVERAGE(Assumptions!$D$4,Assumptions!$F$4),(Assumptions!$F$4-Assumptions!$D$4)/3.29)*44</f>
        <v>1327584.198285959</v>
      </c>
      <c r="C986" s="6">
        <f ca="1">_xlfn.NORM.INV(RAND(),AVERAGE(Assumptions!$D$5,Assumptions!$F$5),(Assumptions!$F$5-Assumptions!$D$5)/3.29)*44</f>
        <v>1929597.4448176974</v>
      </c>
      <c r="D986" s="9">
        <f ca="1">_xlfn.NORM.INV(RAND(),AVERAGE(Assumptions!$D$6,Assumptions!$F$6),(Assumptions!$F$6-Assumptions!$D$6)/3.29)*RANDBETWEEN(2,5)</f>
        <v>644834.19903069991</v>
      </c>
      <c r="E986" s="12">
        <f ca="1">_xlfn.NORM.INV(RAND(),AVERAGE(Assumptions!$D$17,Assumptions!$F$17),(Assumptions!$F$17-Assumptions!$D$17)/3.29)*8</f>
        <v>957587.57451748871</v>
      </c>
      <c r="F986" s="15">
        <f ca="1">_xlfn.NORM.INV(RAND(),AVERAGE(Assumptions!$D$7,Assumptions!$F$7),(Assumptions!$F$7-Assumptions!$D$7)/3.29)*RANDBETWEEN(1,3)</f>
        <v>4033907.4567089397</v>
      </c>
      <c r="G986" s="3">
        <f ca="1">_xlfn.NORM.INV(RAND(),AVERAGE(Assumptions!$D$8,Assumptions!$F$8),(Assumptions!$F$8-Assumptions!$D$8)/3.29)*44</f>
        <v>1291064.0931571769</v>
      </c>
      <c r="H986" s="6">
        <f ca="1">_xlfn.NORM.INV(RAND(),AVERAGE(Assumptions!$D$9,Assumptions!$F$9),(Assumptions!$F$9-Assumptions!$D$9)/3.29)*21</f>
        <v>3628939.7286949996</v>
      </c>
      <c r="I986" s="9">
        <f ca="1">_xlfn.NORM.INV(RAND(),AVERAGE(Assumptions!$D$10,Assumptions!$F$10),(Assumptions!$F$10-Assumptions!$D$10)/3.29)*21</f>
        <v>821915.21571310831</v>
      </c>
      <c r="J986" s="12">
        <f ca="1">NORMINV(RAND(),AVERAGE(Assumptions!$D$11,Assumptions!$F$11),(Assumptions!$F$11-Assumptions!$D$11)/3.29)*44</f>
        <v>1536716.3200968825</v>
      </c>
      <c r="K986" s="15">
        <f ca="1">_xlfn.NORM.INV(RAND(),AVERAGE(Assumptions!$D$12,Assumptions!$F$12),(Assumptions!$F$12-Assumptions!$D$12)/3.29)*44</f>
        <v>7242543.4800679497</v>
      </c>
      <c r="L986" s="3">
        <f ca="1">_xlfn.NORM.INV(RAND(),AVERAGE(Assumptions!$D$13,Assumptions!$F$13),(Assumptions!$F$13-Assumptions!$D$13)/3.29)*44</f>
        <v>17557633.740556434</v>
      </c>
      <c r="M986" s="6">
        <f ca="1">_xlfn.NORM.INV(RAND(),AVERAGE(Assumptions!$D$14,Assumptions!$F$14),(Assumptions!$F$14-Assumptions!$D$14)/3.29)*44</f>
        <v>7302957.6240031635</v>
      </c>
      <c r="N986" s="9">
        <f ca="1">_xlfn.NORM.INV(RAND(),AVERAGE(Assumptions!$D$16,Assumptions!$F$16),(Assumptions!$F$16-Assumptions!$D$16)/3.29)*44</f>
        <v>13541835.107504286</v>
      </c>
      <c r="O986" s="12">
        <f ca="1">_xlfn.NORM.INV(RAND(),AVERAGE(Assumptions!$D$15,Assumptions!$F$15),(Assumptions!$F$15-Assumptions!$D$15)/3.29)*44</f>
        <v>91442416.181824356</v>
      </c>
      <c r="P986" s="15">
        <f>Assumptions!$D$18</f>
        <v>14641750.345627395</v>
      </c>
      <c r="Q986" s="3">
        <f t="shared" ca="1" si="30"/>
        <v>29625299.998669572</v>
      </c>
      <c r="R986" s="6">
        <f t="shared" ca="1" si="31"/>
        <v>44267050.344296969</v>
      </c>
    </row>
    <row r="987" spans="1:18">
      <c r="A987" s="20">
        <v>986</v>
      </c>
      <c r="B987" s="3">
        <f ca="1">_xlfn.NORM.INV(RAND(),AVERAGE(Assumptions!$D$4,Assumptions!$F$4),(Assumptions!$F$4-Assumptions!$D$4)/3.29)*44</f>
        <v>1180127.5285527892</v>
      </c>
      <c r="C987" s="6">
        <f ca="1">_xlfn.NORM.INV(RAND(),AVERAGE(Assumptions!$D$5,Assumptions!$F$5),(Assumptions!$F$5-Assumptions!$D$5)/3.29)*44</f>
        <v>1941497.5529420299</v>
      </c>
      <c r="D987" s="9">
        <f ca="1">_xlfn.NORM.INV(RAND(),AVERAGE(Assumptions!$D$6,Assumptions!$F$6),(Assumptions!$F$6-Assumptions!$D$6)/3.29)*RANDBETWEEN(2,5)</f>
        <v>5107474.954178622</v>
      </c>
      <c r="E987" s="12">
        <f ca="1">_xlfn.NORM.INV(RAND(),AVERAGE(Assumptions!$D$17,Assumptions!$F$17),(Assumptions!$F$17-Assumptions!$D$17)/3.29)*8</f>
        <v>977951.96468741819</v>
      </c>
      <c r="F987" s="15">
        <f ca="1">_xlfn.NORM.INV(RAND(),AVERAGE(Assumptions!$D$7,Assumptions!$F$7),(Assumptions!$F$7-Assumptions!$D$7)/3.29)*RANDBETWEEN(1,3)</f>
        <v>7321127.9280163832</v>
      </c>
      <c r="G987" s="3">
        <f ca="1">_xlfn.NORM.INV(RAND(),AVERAGE(Assumptions!$D$8,Assumptions!$F$8),(Assumptions!$F$8-Assumptions!$D$8)/3.29)*44</f>
        <v>1054588.4006017561</v>
      </c>
      <c r="H987" s="6">
        <f ca="1">_xlfn.NORM.INV(RAND(),AVERAGE(Assumptions!$D$9,Assumptions!$F$9),(Assumptions!$F$9-Assumptions!$D$9)/3.29)*21</f>
        <v>5375907.2545255125</v>
      </c>
      <c r="I987" s="9">
        <f ca="1">_xlfn.NORM.INV(RAND(),AVERAGE(Assumptions!$D$10,Assumptions!$F$10),(Assumptions!$F$10-Assumptions!$D$10)/3.29)*21</f>
        <v>830983.98982708401</v>
      </c>
      <c r="J987" s="12">
        <f ca="1">NORMINV(RAND(),AVERAGE(Assumptions!$D$11,Assumptions!$F$11),(Assumptions!$F$11-Assumptions!$D$11)/3.29)*44</f>
        <v>3970659.2062673382</v>
      </c>
      <c r="K987" s="15">
        <f ca="1">_xlfn.NORM.INV(RAND(),AVERAGE(Assumptions!$D$12,Assumptions!$F$12),(Assumptions!$F$12-Assumptions!$D$12)/3.29)*44</f>
        <v>6400449.7449789001</v>
      </c>
      <c r="L987" s="3">
        <f ca="1">_xlfn.NORM.INV(RAND(),AVERAGE(Assumptions!$D$13,Assumptions!$F$13),(Assumptions!$F$13-Assumptions!$D$13)/3.29)*44</f>
        <v>13084917.207824975</v>
      </c>
      <c r="M987" s="6">
        <f ca="1">_xlfn.NORM.INV(RAND(),AVERAGE(Assumptions!$D$14,Assumptions!$F$14),(Assumptions!$F$14-Assumptions!$D$14)/3.29)*44</f>
        <v>6120431.8953001359</v>
      </c>
      <c r="N987" s="9">
        <f ca="1">_xlfn.NORM.INV(RAND(),AVERAGE(Assumptions!$D$16,Assumptions!$F$16),(Assumptions!$F$16-Assumptions!$D$16)/3.29)*44</f>
        <v>8710797.8680059351</v>
      </c>
      <c r="O987" s="12">
        <f ca="1">_xlfn.NORM.INV(RAND(),AVERAGE(Assumptions!$D$15,Assumptions!$F$15),(Assumptions!$F$15-Assumptions!$D$15)/3.29)*44</f>
        <v>50297806.313496999</v>
      </c>
      <c r="P987" s="15">
        <f>Assumptions!$D$18</f>
        <v>14641750.345627395</v>
      </c>
      <c r="Q987" s="3">
        <f t="shared" ca="1" si="30"/>
        <v>-11779109.182211883</v>
      </c>
      <c r="R987" s="6">
        <f t="shared" ca="1" si="31"/>
        <v>2862641.1634155121</v>
      </c>
    </row>
    <row r="988" spans="1:18">
      <c r="A988" s="20">
        <v>987</v>
      </c>
      <c r="B988" s="3">
        <f ca="1">_xlfn.NORM.INV(RAND(),AVERAGE(Assumptions!$D$4,Assumptions!$F$4),(Assumptions!$F$4-Assumptions!$D$4)/3.29)*44</f>
        <v>1184417.7962249622</v>
      </c>
      <c r="C988" s="6">
        <f ca="1">_xlfn.NORM.INV(RAND(),AVERAGE(Assumptions!$D$5,Assumptions!$F$5),(Assumptions!$F$5-Assumptions!$D$5)/3.29)*44</f>
        <v>1832911.2645529832</v>
      </c>
      <c r="D988" s="9">
        <f ca="1">_xlfn.NORM.INV(RAND(),AVERAGE(Assumptions!$D$6,Assumptions!$F$6),(Assumptions!$F$6-Assumptions!$D$6)/3.29)*RANDBETWEEN(2,5)</f>
        <v>2264259.5371618238</v>
      </c>
      <c r="E988" s="12">
        <f ca="1">_xlfn.NORM.INV(RAND(),AVERAGE(Assumptions!$D$17,Assumptions!$F$17),(Assumptions!$F$17-Assumptions!$D$17)/3.29)*8</f>
        <v>886587.02802616858</v>
      </c>
      <c r="F988" s="15">
        <f ca="1">_xlfn.NORM.INV(RAND(),AVERAGE(Assumptions!$D$7,Assumptions!$F$7),(Assumptions!$F$7-Assumptions!$D$7)/3.29)*RANDBETWEEN(1,3)</f>
        <v>9162090.1448494699</v>
      </c>
      <c r="G988" s="3">
        <f ca="1">_xlfn.NORM.INV(RAND(),AVERAGE(Assumptions!$D$8,Assumptions!$F$8),(Assumptions!$F$8-Assumptions!$D$8)/3.29)*44</f>
        <v>856663.47997488617</v>
      </c>
      <c r="H988" s="6">
        <f ca="1">_xlfn.NORM.INV(RAND(),AVERAGE(Assumptions!$D$9,Assumptions!$F$9),(Assumptions!$F$9-Assumptions!$D$9)/3.29)*21</f>
        <v>4040614.2196512315</v>
      </c>
      <c r="I988" s="9">
        <f ca="1">_xlfn.NORM.INV(RAND(),AVERAGE(Assumptions!$D$10,Assumptions!$F$10),(Assumptions!$F$10-Assumptions!$D$10)/3.29)*21</f>
        <v>1139353.9656626587</v>
      </c>
      <c r="J988" s="12">
        <f ca="1">NORMINV(RAND(),AVERAGE(Assumptions!$D$11,Assumptions!$F$11),(Assumptions!$F$11-Assumptions!$D$11)/3.29)*44</f>
        <v>3586418.4654927612</v>
      </c>
      <c r="K988" s="15">
        <f ca="1">_xlfn.NORM.INV(RAND(),AVERAGE(Assumptions!$D$12,Assumptions!$F$12),(Assumptions!$F$12-Assumptions!$D$12)/3.29)*44</f>
        <v>10335941.895128306</v>
      </c>
      <c r="L988" s="3">
        <f ca="1">_xlfn.NORM.INV(RAND(),AVERAGE(Assumptions!$D$13,Assumptions!$F$13),(Assumptions!$F$13-Assumptions!$D$13)/3.29)*44</f>
        <v>22552925.692855943</v>
      </c>
      <c r="M988" s="6">
        <f ca="1">_xlfn.NORM.INV(RAND(),AVERAGE(Assumptions!$D$14,Assumptions!$F$14),(Assumptions!$F$14-Assumptions!$D$14)/3.29)*44</f>
        <v>5194987.2005742667</v>
      </c>
      <c r="N988" s="9">
        <f ca="1">_xlfn.NORM.INV(RAND(),AVERAGE(Assumptions!$D$16,Assumptions!$F$16),(Assumptions!$F$16-Assumptions!$D$16)/3.29)*44</f>
        <v>11545217.948434273</v>
      </c>
      <c r="O988" s="12">
        <f ca="1">_xlfn.NORM.INV(RAND(),AVERAGE(Assumptions!$D$15,Assumptions!$F$15),(Assumptions!$F$15-Assumptions!$D$15)/3.29)*44</f>
        <v>12318016.099886779</v>
      </c>
      <c r="P988" s="15">
        <f>Assumptions!$D$18</f>
        <v>14641750.345627395</v>
      </c>
      <c r="Q988" s="3">
        <f t="shared" ca="1" si="30"/>
        <v>-62264372.53870295</v>
      </c>
      <c r="R988" s="6">
        <f t="shared" ca="1" si="31"/>
        <v>-47622622.193075553</v>
      </c>
    </row>
    <row r="989" spans="1:18">
      <c r="A989" s="20">
        <v>988</v>
      </c>
      <c r="B989" s="3">
        <f ca="1">_xlfn.NORM.INV(RAND(),AVERAGE(Assumptions!$D$4,Assumptions!$F$4),(Assumptions!$F$4-Assumptions!$D$4)/3.29)*44</f>
        <v>1258175.4118148922</v>
      </c>
      <c r="C989" s="6">
        <f ca="1">_xlfn.NORM.INV(RAND(),AVERAGE(Assumptions!$D$5,Assumptions!$F$5),(Assumptions!$F$5-Assumptions!$D$5)/3.29)*44</f>
        <v>1908228.2671221681</v>
      </c>
      <c r="D989" s="9">
        <f ca="1">_xlfn.NORM.INV(RAND(),AVERAGE(Assumptions!$D$6,Assumptions!$F$6),(Assumptions!$F$6-Assumptions!$D$6)/3.29)*RANDBETWEEN(2,5)</f>
        <v>4049942.1158734774</v>
      </c>
      <c r="E989" s="12">
        <f ca="1">_xlfn.NORM.INV(RAND(),AVERAGE(Assumptions!$D$17,Assumptions!$F$17),(Assumptions!$F$17-Assumptions!$D$17)/3.29)*8</f>
        <v>884962.22973749088</v>
      </c>
      <c r="F989" s="15">
        <f ca="1">_xlfn.NORM.INV(RAND(),AVERAGE(Assumptions!$D$7,Assumptions!$F$7),(Assumptions!$F$7-Assumptions!$D$7)/3.29)*RANDBETWEEN(1,3)</f>
        <v>3797859.9877998964</v>
      </c>
      <c r="G989" s="3">
        <f ca="1">_xlfn.NORM.INV(RAND(),AVERAGE(Assumptions!$D$8,Assumptions!$F$8),(Assumptions!$F$8-Assumptions!$D$8)/3.29)*44</f>
        <v>1063574.8121072841</v>
      </c>
      <c r="H989" s="6">
        <f ca="1">_xlfn.NORM.INV(RAND(),AVERAGE(Assumptions!$D$9,Assumptions!$F$9),(Assumptions!$F$9-Assumptions!$D$9)/3.29)*21</f>
        <v>2140948.5741584566</v>
      </c>
      <c r="I989" s="9">
        <f ca="1">_xlfn.NORM.INV(RAND(),AVERAGE(Assumptions!$D$10,Assumptions!$F$10),(Assumptions!$F$10-Assumptions!$D$10)/3.29)*21</f>
        <v>1146268.4687600108</v>
      </c>
      <c r="J989" s="12">
        <f ca="1">NORMINV(RAND(),AVERAGE(Assumptions!$D$11,Assumptions!$F$11),(Assumptions!$F$11-Assumptions!$D$11)/3.29)*44</f>
        <v>3913470.7752304072</v>
      </c>
      <c r="K989" s="15">
        <f ca="1">_xlfn.NORM.INV(RAND(),AVERAGE(Assumptions!$D$12,Assumptions!$F$12),(Assumptions!$F$12-Assumptions!$D$12)/3.29)*44</f>
        <v>7527912.6742270365</v>
      </c>
      <c r="L989" s="3">
        <f ca="1">_xlfn.NORM.INV(RAND(),AVERAGE(Assumptions!$D$13,Assumptions!$F$13),(Assumptions!$F$13-Assumptions!$D$13)/3.29)*44</f>
        <v>13174836.296571624</v>
      </c>
      <c r="M989" s="6">
        <f ca="1">_xlfn.NORM.INV(RAND(),AVERAGE(Assumptions!$D$14,Assumptions!$F$14),(Assumptions!$F$14-Assumptions!$D$14)/3.29)*44</f>
        <v>6531730.8987514321</v>
      </c>
      <c r="N989" s="9">
        <f ca="1">_xlfn.NORM.INV(RAND(),AVERAGE(Assumptions!$D$16,Assumptions!$F$16),(Assumptions!$F$16-Assumptions!$D$16)/3.29)*44</f>
        <v>13410493.148984049</v>
      </c>
      <c r="O989" s="12">
        <f ca="1">_xlfn.NORM.INV(RAND(),AVERAGE(Assumptions!$D$15,Assumptions!$F$15),(Assumptions!$F$15-Assumptions!$D$15)/3.29)*44</f>
        <v>106715981.27281074</v>
      </c>
      <c r="P989" s="15">
        <f>Assumptions!$D$18</f>
        <v>14641750.345627395</v>
      </c>
      <c r="Q989" s="3">
        <f t="shared" ca="1" si="30"/>
        <v>45907577.611672521</v>
      </c>
      <c r="R989" s="6">
        <f t="shared" ca="1" si="31"/>
        <v>60549327.957299918</v>
      </c>
    </row>
    <row r="990" spans="1:18">
      <c r="A990" s="20">
        <v>989</v>
      </c>
      <c r="B990" s="3">
        <f ca="1">_xlfn.NORM.INV(RAND(),AVERAGE(Assumptions!$D$4,Assumptions!$F$4),(Assumptions!$F$4-Assumptions!$D$4)/3.29)*44</f>
        <v>1272413.0530509194</v>
      </c>
      <c r="C990" s="6">
        <f ca="1">_xlfn.NORM.INV(RAND(),AVERAGE(Assumptions!$D$5,Assumptions!$F$5),(Assumptions!$F$5-Assumptions!$D$5)/3.29)*44</f>
        <v>1550686.0258588649</v>
      </c>
      <c r="D990" s="9">
        <f ca="1">_xlfn.NORM.INV(RAND(),AVERAGE(Assumptions!$D$6,Assumptions!$F$6),(Assumptions!$F$6-Assumptions!$D$6)/3.29)*RANDBETWEEN(2,5)</f>
        <v>2996726.7807354564</v>
      </c>
      <c r="E990" s="12">
        <f ca="1">_xlfn.NORM.INV(RAND(),AVERAGE(Assumptions!$D$17,Assumptions!$F$17),(Assumptions!$F$17-Assumptions!$D$17)/3.29)*8</f>
        <v>992594.33429450949</v>
      </c>
      <c r="F990" s="15">
        <f ca="1">_xlfn.NORM.INV(RAND(),AVERAGE(Assumptions!$D$7,Assumptions!$F$7),(Assumptions!$F$7-Assumptions!$D$7)/3.29)*RANDBETWEEN(1,3)</f>
        <v>10757072.563729219</v>
      </c>
      <c r="G990" s="3">
        <f ca="1">_xlfn.NORM.INV(RAND(),AVERAGE(Assumptions!$D$8,Assumptions!$F$8),(Assumptions!$F$8-Assumptions!$D$8)/3.29)*44</f>
        <v>1181687.3645491465</v>
      </c>
      <c r="H990" s="6">
        <f ca="1">_xlfn.NORM.INV(RAND(),AVERAGE(Assumptions!$D$9,Assumptions!$F$9),(Assumptions!$F$9-Assumptions!$D$9)/3.29)*21</f>
        <v>2629171.4729085802</v>
      </c>
      <c r="I990" s="9">
        <f ca="1">_xlfn.NORM.INV(RAND(),AVERAGE(Assumptions!$D$10,Assumptions!$F$10),(Assumptions!$F$10-Assumptions!$D$10)/3.29)*21</f>
        <v>883371.59785627888</v>
      </c>
      <c r="J990" s="12">
        <f ca="1">NORMINV(RAND(),AVERAGE(Assumptions!$D$11,Assumptions!$F$11),(Assumptions!$F$11-Assumptions!$D$11)/3.29)*44</f>
        <v>2671343.4347090935</v>
      </c>
      <c r="K990" s="15">
        <f ca="1">_xlfn.NORM.INV(RAND(),AVERAGE(Assumptions!$D$12,Assumptions!$F$12),(Assumptions!$F$12-Assumptions!$D$12)/3.29)*44</f>
        <v>7615174.6345567079</v>
      </c>
      <c r="L990" s="3">
        <f ca="1">_xlfn.NORM.INV(RAND(),AVERAGE(Assumptions!$D$13,Assumptions!$F$13),(Assumptions!$F$13-Assumptions!$D$13)/3.29)*44</f>
        <v>4249475.8724015635</v>
      </c>
      <c r="M990" s="6">
        <f ca="1">_xlfn.NORM.INV(RAND(),AVERAGE(Assumptions!$D$14,Assumptions!$F$14),(Assumptions!$F$14-Assumptions!$D$14)/3.29)*44</f>
        <v>6901881.6594840148</v>
      </c>
      <c r="N990" s="9">
        <f ca="1">_xlfn.NORM.INV(RAND(),AVERAGE(Assumptions!$D$16,Assumptions!$F$16),(Assumptions!$F$16-Assumptions!$D$16)/3.29)*44</f>
        <v>7969326.8382015359</v>
      </c>
      <c r="O990" s="12">
        <f ca="1">_xlfn.NORM.INV(RAND(),AVERAGE(Assumptions!$D$15,Assumptions!$F$15),(Assumptions!$F$15-Assumptions!$D$15)/3.29)*44</f>
        <v>62348951.415746562</v>
      </c>
      <c r="P990" s="15">
        <f>Assumptions!$D$18</f>
        <v>14641750.345627395</v>
      </c>
      <c r="Q990" s="3">
        <f t="shared" ca="1" si="30"/>
        <v>10678025.783410668</v>
      </c>
      <c r="R990" s="6">
        <f t="shared" ca="1" si="31"/>
        <v>25319776.129038066</v>
      </c>
    </row>
    <row r="991" spans="1:18">
      <c r="A991" s="20">
        <v>990</v>
      </c>
      <c r="B991" s="3">
        <f ca="1">_xlfn.NORM.INV(RAND(),AVERAGE(Assumptions!$D$4,Assumptions!$F$4),(Assumptions!$F$4-Assumptions!$D$4)/3.29)*44</f>
        <v>1229084.1545449088</v>
      </c>
      <c r="C991" s="6">
        <f ca="1">_xlfn.NORM.INV(RAND(),AVERAGE(Assumptions!$D$5,Assumptions!$F$5),(Assumptions!$F$5-Assumptions!$D$5)/3.29)*44</f>
        <v>1729058.0205325461</v>
      </c>
      <c r="D991" s="9">
        <f ca="1">_xlfn.NORM.INV(RAND(),AVERAGE(Assumptions!$D$6,Assumptions!$F$6),(Assumptions!$F$6-Assumptions!$D$6)/3.29)*RANDBETWEEN(2,5)</f>
        <v>-244365.06456000451</v>
      </c>
      <c r="E991" s="12">
        <f ca="1">_xlfn.NORM.INV(RAND(),AVERAGE(Assumptions!$D$17,Assumptions!$F$17),(Assumptions!$F$17-Assumptions!$D$17)/3.29)*8</f>
        <v>1008088.5879487417</v>
      </c>
      <c r="F991" s="15">
        <f ca="1">_xlfn.NORM.INV(RAND(),AVERAGE(Assumptions!$D$7,Assumptions!$F$7),(Assumptions!$F$7-Assumptions!$D$7)/3.29)*RANDBETWEEN(1,3)</f>
        <v>10395491.875031658</v>
      </c>
      <c r="G991" s="3">
        <f ca="1">_xlfn.NORM.INV(RAND(),AVERAGE(Assumptions!$D$8,Assumptions!$F$8),(Assumptions!$F$8-Assumptions!$D$8)/3.29)*44</f>
        <v>1013002.6385423561</v>
      </c>
      <c r="H991" s="6">
        <f ca="1">_xlfn.NORM.INV(RAND(),AVERAGE(Assumptions!$D$9,Assumptions!$F$9),(Assumptions!$F$9-Assumptions!$D$9)/3.29)*21</f>
        <v>5518843.3626774019</v>
      </c>
      <c r="I991" s="9">
        <f ca="1">_xlfn.NORM.INV(RAND(),AVERAGE(Assumptions!$D$10,Assumptions!$F$10),(Assumptions!$F$10-Assumptions!$D$10)/3.29)*21</f>
        <v>781638.09516597551</v>
      </c>
      <c r="J991" s="12">
        <f ca="1">NORMINV(RAND(),AVERAGE(Assumptions!$D$11,Assumptions!$F$11),(Assumptions!$F$11-Assumptions!$D$11)/3.29)*44</f>
        <v>4539783.1322365887</v>
      </c>
      <c r="K991" s="15">
        <f ca="1">_xlfn.NORM.INV(RAND(),AVERAGE(Assumptions!$D$12,Assumptions!$F$12),(Assumptions!$F$12-Assumptions!$D$12)/3.29)*44</f>
        <v>10519117.663597843</v>
      </c>
      <c r="L991" s="3">
        <f ca="1">_xlfn.NORM.INV(RAND(),AVERAGE(Assumptions!$D$13,Assumptions!$F$13),(Assumptions!$F$13-Assumptions!$D$13)/3.29)*44</f>
        <v>16666188.102880513</v>
      </c>
      <c r="M991" s="6">
        <f ca="1">_xlfn.NORM.INV(RAND(),AVERAGE(Assumptions!$D$14,Assumptions!$F$14),(Assumptions!$F$14-Assumptions!$D$14)/3.29)*44</f>
        <v>5711641.4413518403</v>
      </c>
      <c r="N991" s="9">
        <f ca="1">_xlfn.NORM.INV(RAND(),AVERAGE(Assumptions!$D$16,Assumptions!$F$16),(Assumptions!$F$16-Assumptions!$D$16)/3.29)*44</f>
        <v>9058495.514687961</v>
      </c>
      <c r="O991" s="12">
        <f ca="1">_xlfn.NORM.INV(RAND(),AVERAGE(Assumptions!$D$15,Assumptions!$F$15),(Assumptions!$F$15-Assumptions!$D$15)/3.29)*44</f>
        <v>40727825.92712786</v>
      </c>
      <c r="P991" s="15">
        <f>Assumptions!$D$18</f>
        <v>14641750.345627395</v>
      </c>
      <c r="Q991" s="3">
        <f t="shared" ca="1" si="30"/>
        <v>-27198241.597510464</v>
      </c>
      <c r="R991" s="6">
        <f t="shared" ca="1" si="31"/>
        <v>-12556491.251883069</v>
      </c>
    </row>
    <row r="992" spans="1:18">
      <c r="A992" s="20">
        <v>991</v>
      </c>
      <c r="B992" s="3">
        <f ca="1">_xlfn.NORM.INV(RAND(),AVERAGE(Assumptions!$D$4,Assumptions!$F$4),(Assumptions!$F$4-Assumptions!$D$4)/3.29)*44</f>
        <v>1165086.5062980782</v>
      </c>
      <c r="C992" s="6">
        <f ca="1">_xlfn.NORM.INV(RAND(),AVERAGE(Assumptions!$D$5,Assumptions!$F$5),(Assumptions!$F$5-Assumptions!$D$5)/3.29)*44</f>
        <v>1924996.6081962783</v>
      </c>
      <c r="D992" s="9">
        <f ca="1">_xlfn.NORM.INV(RAND(),AVERAGE(Assumptions!$D$6,Assumptions!$F$6),(Assumptions!$F$6-Assumptions!$D$6)/3.29)*RANDBETWEEN(2,5)</f>
        <v>3862334.5704857106</v>
      </c>
      <c r="E992" s="12">
        <f ca="1">_xlfn.NORM.INV(RAND(),AVERAGE(Assumptions!$D$17,Assumptions!$F$17),(Assumptions!$F$17-Assumptions!$D$17)/3.29)*8</f>
        <v>922879.29465330113</v>
      </c>
      <c r="F992" s="15">
        <f ca="1">_xlfn.NORM.INV(RAND(),AVERAGE(Assumptions!$D$7,Assumptions!$F$7),(Assumptions!$F$7-Assumptions!$D$7)/3.29)*RANDBETWEEN(1,3)</f>
        <v>1702331.3547337893</v>
      </c>
      <c r="G992" s="3">
        <f ca="1">_xlfn.NORM.INV(RAND(),AVERAGE(Assumptions!$D$8,Assumptions!$F$8),(Assumptions!$F$8-Assumptions!$D$8)/3.29)*44</f>
        <v>1432058.9378050617</v>
      </c>
      <c r="H992" s="6">
        <f ca="1">_xlfn.NORM.INV(RAND(),AVERAGE(Assumptions!$D$9,Assumptions!$F$9),(Assumptions!$F$9-Assumptions!$D$9)/3.29)*21</f>
        <v>5820074.8135993127</v>
      </c>
      <c r="I992" s="9">
        <f ca="1">_xlfn.NORM.INV(RAND(),AVERAGE(Assumptions!$D$10,Assumptions!$F$10),(Assumptions!$F$10-Assumptions!$D$10)/3.29)*21</f>
        <v>965403.53321485</v>
      </c>
      <c r="J992" s="12">
        <f ca="1">NORMINV(RAND(),AVERAGE(Assumptions!$D$11,Assumptions!$F$11),(Assumptions!$F$11-Assumptions!$D$11)/3.29)*44</f>
        <v>3040366.2964440682</v>
      </c>
      <c r="K992" s="15">
        <f ca="1">_xlfn.NORM.INV(RAND(),AVERAGE(Assumptions!$D$12,Assumptions!$F$12),(Assumptions!$F$12-Assumptions!$D$12)/3.29)*44</f>
        <v>7683459.6910961773</v>
      </c>
      <c r="L992" s="3">
        <f ca="1">_xlfn.NORM.INV(RAND(),AVERAGE(Assumptions!$D$13,Assumptions!$F$13),(Assumptions!$F$13-Assumptions!$D$13)/3.29)*44</f>
        <v>9122814.0042960569</v>
      </c>
      <c r="M992" s="6">
        <f ca="1">_xlfn.NORM.INV(RAND(),AVERAGE(Assumptions!$D$14,Assumptions!$F$14),(Assumptions!$F$14-Assumptions!$D$14)/3.29)*44</f>
        <v>4293040.8472640049</v>
      </c>
      <c r="N992" s="9">
        <f ca="1">_xlfn.NORM.INV(RAND(),AVERAGE(Assumptions!$D$16,Assumptions!$F$16),(Assumptions!$F$16-Assumptions!$D$16)/3.29)*44</f>
        <v>17408603.234470785</v>
      </c>
      <c r="O992" s="12">
        <f ca="1">_xlfn.NORM.INV(RAND(),AVERAGE(Assumptions!$D$15,Assumptions!$F$15),(Assumptions!$F$15-Assumptions!$D$15)/3.29)*44</f>
        <v>69982362.990259141</v>
      </c>
      <c r="P992" s="15">
        <f>Assumptions!$D$18</f>
        <v>14641750.345627395</v>
      </c>
      <c r="Q992" s="3">
        <f t="shared" ca="1" si="30"/>
        <v>10638913.297701664</v>
      </c>
      <c r="R992" s="6">
        <f t="shared" ca="1" si="31"/>
        <v>25280663.643329062</v>
      </c>
    </row>
    <row r="993" spans="1:18">
      <c r="A993" s="20">
        <v>992</v>
      </c>
      <c r="B993" s="3">
        <f ca="1">_xlfn.NORM.INV(RAND(),AVERAGE(Assumptions!$D$4,Assumptions!$F$4),(Assumptions!$F$4-Assumptions!$D$4)/3.29)*44</f>
        <v>1135709.1174012125</v>
      </c>
      <c r="C993" s="6">
        <f ca="1">_xlfn.NORM.INV(RAND(),AVERAGE(Assumptions!$D$5,Assumptions!$F$5),(Assumptions!$F$5-Assumptions!$D$5)/3.29)*44</f>
        <v>1895410.6833262488</v>
      </c>
      <c r="D993" s="9">
        <f ca="1">_xlfn.NORM.INV(RAND(),AVERAGE(Assumptions!$D$6,Assumptions!$F$6),(Assumptions!$F$6-Assumptions!$D$6)/3.29)*RANDBETWEEN(2,5)</f>
        <v>-74546.782463330775</v>
      </c>
      <c r="E993" s="12">
        <f ca="1">_xlfn.NORM.INV(RAND(),AVERAGE(Assumptions!$D$17,Assumptions!$F$17),(Assumptions!$F$17-Assumptions!$D$17)/3.29)*8</f>
        <v>1034133.3074668312</v>
      </c>
      <c r="F993" s="15">
        <f ca="1">_xlfn.NORM.INV(RAND(),AVERAGE(Assumptions!$D$7,Assumptions!$F$7),(Assumptions!$F$7-Assumptions!$D$7)/3.29)*RANDBETWEEN(1,3)</f>
        <v>7823787.5973674627</v>
      </c>
      <c r="G993" s="3">
        <f ca="1">_xlfn.NORM.INV(RAND(),AVERAGE(Assumptions!$D$8,Assumptions!$F$8),(Assumptions!$F$8-Assumptions!$D$8)/3.29)*44</f>
        <v>1165527.2237109656</v>
      </c>
      <c r="H993" s="6">
        <f ca="1">_xlfn.NORM.INV(RAND(),AVERAGE(Assumptions!$D$9,Assumptions!$F$9),(Assumptions!$F$9-Assumptions!$D$9)/3.29)*21</f>
        <v>2475684.8982101055</v>
      </c>
      <c r="I993" s="9">
        <f ca="1">_xlfn.NORM.INV(RAND(),AVERAGE(Assumptions!$D$10,Assumptions!$F$10),(Assumptions!$F$10-Assumptions!$D$10)/3.29)*21</f>
        <v>1108394.7765263319</v>
      </c>
      <c r="J993" s="12">
        <f ca="1">NORMINV(RAND(),AVERAGE(Assumptions!$D$11,Assumptions!$F$11),(Assumptions!$F$11-Assumptions!$D$11)/3.29)*44</f>
        <v>2438955.3484844873</v>
      </c>
      <c r="K993" s="15">
        <f ca="1">_xlfn.NORM.INV(RAND(),AVERAGE(Assumptions!$D$12,Assumptions!$F$12),(Assumptions!$F$12-Assumptions!$D$12)/3.29)*44</f>
        <v>10787342.939631492</v>
      </c>
      <c r="L993" s="3">
        <f ca="1">_xlfn.NORM.INV(RAND(),AVERAGE(Assumptions!$D$13,Assumptions!$F$13),(Assumptions!$F$13-Assumptions!$D$13)/3.29)*44</f>
        <v>19127069.84237048</v>
      </c>
      <c r="M993" s="6">
        <f ca="1">_xlfn.NORM.INV(RAND(),AVERAGE(Assumptions!$D$14,Assumptions!$F$14),(Assumptions!$F$14-Assumptions!$D$14)/3.29)*44</f>
        <v>5064468.6084695579</v>
      </c>
      <c r="N993" s="9">
        <f ca="1">_xlfn.NORM.INV(RAND(),AVERAGE(Assumptions!$D$16,Assumptions!$F$16),(Assumptions!$F$16-Assumptions!$D$16)/3.29)*44</f>
        <v>10660300.442250624</v>
      </c>
      <c r="O993" s="12">
        <f ca="1">_xlfn.NORM.INV(RAND(),AVERAGE(Assumptions!$D$15,Assumptions!$F$15),(Assumptions!$F$15-Assumptions!$D$15)/3.29)*44</f>
        <v>121836864.37974352</v>
      </c>
      <c r="P993" s="15">
        <f>Assumptions!$D$18</f>
        <v>14641750.345627395</v>
      </c>
      <c r="Q993" s="3">
        <f t="shared" ca="1" si="30"/>
        <v>57194626.376991041</v>
      </c>
      <c r="R993" s="6">
        <f t="shared" ca="1" si="31"/>
        <v>71836376.722618431</v>
      </c>
    </row>
    <row r="994" spans="1:18">
      <c r="A994" s="20">
        <v>993</v>
      </c>
      <c r="B994" s="3">
        <f ca="1">_xlfn.NORM.INV(RAND(),AVERAGE(Assumptions!$D$4,Assumptions!$F$4),(Assumptions!$F$4-Assumptions!$D$4)/3.29)*44</f>
        <v>1292075.44666187</v>
      </c>
      <c r="C994" s="6">
        <f ca="1">_xlfn.NORM.INV(RAND(),AVERAGE(Assumptions!$D$5,Assumptions!$F$5),(Assumptions!$F$5-Assumptions!$D$5)/3.29)*44</f>
        <v>2074706.1232119489</v>
      </c>
      <c r="D994" s="9">
        <f ca="1">_xlfn.NORM.INV(RAND(),AVERAGE(Assumptions!$D$6,Assumptions!$F$6),(Assumptions!$F$6-Assumptions!$D$6)/3.29)*RANDBETWEEN(2,5)</f>
        <v>4864749.0188860968</v>
      </c>
      <c r="E994" s="12">
        <f ca="1">_xlfn.NORM.INV(RAND(),AVERAGE(Assumptions!$D$17,Assumptions!$F$17),(Assumptions!$F$17-Assumptions!$D$17)/3.29)*8</f>
        <v>958199.55319667282</v>
      </c>
      <c r="F994" s="15">
        <f ca="1">_xlfn.NORM.INV(RAND(),AVERAGE(Assumptions!$D$7,Assumptions!$F$7),(Assumptions!$F$7-Assumptions!$D$7)/3.29)*RANDBETWEEN(1,3)</f>
        <v>2108738.9043033123</v>
      </c>
      <c r="G994" s="3">
        <f ca="1">_xlfn.NORM.INV(RAND(),AVERAGE(Assumptions!$D$8,Assumptions!$F$8),(Assumptions!$F$8-Assumptions!$D$8)/3.29)*44</f>
        <v>1555537.620789743</v>
      </c>
      <c r="H994" s="6">
        <f ca="1">_xlfn.NORM.INV(RAND(),AVERAGE(Assumptions!$D$9,Assumptions!$F$9),(Assumptions!$F$9-Assumptions!$D$9)/3.29)*21</f>
        <v>3829419.6726068747</v>
      </c>
      <c r="I994" s="9">
        <f ca="1">_xlfn.NORM.INV(RAND(),AVERAGE(Assumptions!$D$10,Assumptions!$F$10),(Assumptions!$F$10-Assumptions!$D$10)/3.29)*21</f>
        <v>800282.31692153006</v>
      </c>
      <c r="J994" s="12">
        <f ca="1">NORMINV(RAND(),AVERAGE(Assumptions!$D$11,Assumptions!$F$11),(Assumptions!$F$11-Assumptions!$D$11)/3.29)*44</f>
        <v>4417041.9246344501</v>
      </c>
      <c r="K994" s="15">
        <f ca="1">_xlfn.NORM.INV(RAND(),AVERAGE(Assumptions!$D$12,Assumptions!$F$12),(Assumptions!$F$12-Assumptions!$D$12)/3.29)*44</f>
        <v>9250972.1675102804</v>
      </c>
      <c r="L994" s="3">
        <f ca="1">_xlfn.NORM.INV(RAND(),AVERAGE(Assumptions!$D$13,Assumptions!$F$13),(Assumptions!$F$13-Assumptions!$D$13)/3.29)*44</f>
        <v>4179640.2703372119</v>
      </c>
      <c r="M994" s="6">
        <f ca="1">_xlfn.NORM.INV(RAND(),AVERAGE(Assumptions!$D$14,Assumptions!$F$14),(Assumptions!$F$14-Assumptions!$D$14)/3.29)*44</f>
        <v>5618074.8145483267</v>
      </c>
      <c r="N994" s="9">
        <f ca="1">_xlfn.NORM.INV(RAND(),AVERAGE(Assumptions!$D$16,Assumptions!$F$16),(Assumptions!$F$16-Assumptions!$D$16)/3.29)*44</f>
        <v>14211363.804516559</v>
      </c>
      <c r="O994" s="12">
        <f ca="1">_xlfn.NORM.INV(RAND(),AVERAGE(Assumptions!$D$15,Assumptions!$F$15),(Assumptions!$F$15-Assumptions!$D$15)/3.29)*44</f>
        <v>86913062.474217311</v>
      </c>
      <c r="P994" s="15">
        <f>Assumptions!$D$18</f>
        <v>14641750.345627395</v>
      </c>
      <c r="Q994" s="3">
        <f t="shared" ca="1" si="30"/>
        <v>31752260.836092427</v>
      </c>
      <c r="R994" s="6">
        <f t="shared" ca="1" si="31"/>
        <v>46394011.181719825</v>
      </c>
    </row>
    <row r="995" spans="1:18">
      <c r="A995" s="20">
        <v>994</v>
      </c>
      <c r="B995" s="3">
        <f ca="1">_xlfn.NORM.INV(RAND(),AVERAGE(Assumptions!$D$4,Assumptions!$F$4),(Assumptions!$F$4-Assumptions!$D$4)/3.29)*44</f>
        <v>1199415.7041577634</v>
      </c>
      <c r="C995" s="6">
        <f ca="1">_xlfn.NORM.INV(RAND(),AVERAGE(Assumptions!$D$5,Assumptions!$F$5),(Assumptions!$F$5-Assumptions!$D$5)/3.29)*44</f>
        <v>1745142.6465034203</v>
      </c>
      <c r="D995" s="9">
        <f ca="1">_xlfn.NORM.INV(RAND(),AVERAGE(Assumptions!$D$6,Assumptions!$F$6),(Assumptions!$F$6-Assumptions!$D$6)/3.29)*RANDBETWEEN(2,5)</f>
        <v>3220385.3367338479</v>
      </c>
      <c r="E995" s="12">
        <f ca="1">_xlfn.NORM.INV(RAND(),AVERAGE(Assumptions!$D$17,Assumptions!$F$17),(Assumptions!$F$17-Assumptions!$D$17)/3.29)*8</f>
        <v>933891.90832911537</v>
      </c>
      <c r="F995" s="15">
        <f ca="1">_xlfn.NORM.INV(RAND(),AVERAGE(Assumptions!$D$7,Assumptions!$F$7),(Assumptions!$F$7-Assumptions!$D$7)/3.29)*RANDBETWEEN(1,3)</f>
        <v>6879897.1674978491</v>
      </c>
      <c r="G995" s="3">
        <f ca="1">_xlfn.NORM.INV(RAND(),AVERAGE(Assumptions!$D$8,Assumptions!$F$8),(Assumptions!$F$8-Assumptions!$D$8)/3.29)*44</f>
        <v>820574.43610619893</v>
      </c>
      <c r="H995" s="6">
        <f ca="1">_xlfn.NORM.INV(RAND(),AVERAGE(Assumptions!$D$9,Assumptions!$F$9),(Assumptions!$F$9-Assumptions!$D$9)/3.29)*21</f>
        <v>4877036.8051529061</v>
      </c>
      <c r="I995" s="9">
        <f ca="1">_xlfn.NORM.INV(RAND(),AVERAGE(Assumptions!$D$10,Assumptions!$F$10),(Assumptions!$F$10-Assumptions!$D$10)/3.29)*21</f>
        <v>988568.00374180952</v>
      </c>
      <c r="J995" s="12">
        <f ca="1">NORMINV(RAND(),AVERAGE(Assumptions!$D$11,Assumptions!$F$11),(Assumptions!$F$11-Assumptions!$D$11)/3.29)*44</f>
        <v>3371809.7623617407</v>
      </c>
      <c r="K995" s="15">
        <f ca="1">_xlfn.NORM.INV(RAND(),AVERAGE(Assumptions!$D$12,Assumptions!$F$12),(Assumptions!$F$12-Assumptions!$D$12)/3.29)*44</f>
        <v>8086408.8236500612</v>
      </c>
      <c r="L995" s="3">
        <f ca="1">_xlfn.NORM.INV(RAND(),AVERAGE(Assumptions!$D$13,Assumptions!$F$13),(Assumptions!$F$13-Assumptions!$D$13)/3.29)*44</f>
        <v>7333692.0291304123</v>
      </c>
      <c r="M995" s="6">
        <f ca="1">_xlfn.NORM.INV(RAND(),AVERAGE(Assumptions!$D$14,Assumptions!$F$14),(Assumptions!$F$14-Assumptions!$D$14)/3.29)*44</f>
        <v>4209194.049320586</v>
      </c>
      <c r="N995" s="9">
        <f ca="1">_xlfn.NORM.INV(RAND(),AVERAGE(Assumptions!$D$16,Assumptions!$F$16),(Assumptions!$F$16-Assumptions!$D$16)/3.29)*44</f>
        <v>9178215.7277066801</v>
      </c>
      <c r="O995" s="12">
        <f ca="1">_xlfn.NORM.INV(RAND(),AVERAGE(Assumptions!$D$15,Assumptions!$F$15),(Assumptions!$F$15-Assumptions!$D$15)/3.29)*44</f>
        <v>135202740.54435128</v>
      </c>
      <c r="P995" s="15">
        <f>Assumptions!$D$18</f>
        <v>14641750.345627395</v>
      </c>
      <c r="Q995" s="3">
        <f t="shared" ca="1" si="30"/>
        <v>82358508.143958896</v>
      </c>
      <c r="R995" s="6">
        <f t="shared" ca="1" si="31"/>
        <v>97000258.489586294</v>
      </c>
    </row>
    <row r="996" spans="1:18">
      <c r="A996" s="20">
        <v>995</v>
      </c>
      <c r="B996" s="3">
        <f ca="1">_xlfn.NORM.INV(RAND(),AVERAGE(Assumptions!$D$4,Assumptions!$F$4),(Assumptions!$F$4-Assumptions!$D$4)/3.29)*44</f>
        <v>1242748.2364451406</v>
      </c>
      <c r="C996" s="6">
        <f ca="1">_xlfn.NORM.INV(RAND(),AVERAGE(Assumptions!$D$5,Assumptions!$F$5),(Assumptions!$F$5-Assumptions!$D$5)/3.29)*44</f>
        <v>1661986.5214308063</v>
      </c>
      <c r="D996" s="9">
        <f ca="1">_xlfn.NORM.INV(RAND(),AVERAGE(Assumptions!$D$6,Assumptions!$F$6),(Assumptions!$F$6-Assumptions!$D$6)/3.29)*RANDBETWEEN(2,5)</f>
        <v>5949975.1037099073</v>
      </c>
      <c r="E996" s="12">
        <f ca="1">_xlfn.NORM.INV(RAND(),AVERAGE(Assumptions!$D$17,Assumptions!$F$17),(Assumptions!$F$17-Assumptions!$D$17)/3.29)*8</f>
        <v>1143293.6207555952</v>
      </c>
      <c r="F996" s="15">
        <f ca="1">_xlfn.NORM.INV(RAND(),AVERAGE(Assumptions!$D$7,Assumptions!$F$7),(Assumptions!$F$7-Assumptions!$D$7)/3.29)*RANDBETWEEN(1,3)</f>
        <v>7685710.2823328162</v>
      </c>
      <c r="G996" s="3">
        <f ca="1">_xlfn.NORM.INV(RAND(),AVERAGE(Assumptions!$D$8,Assumptions!$F$8),(Assumptions!$F$8-Assumptions!$D$8)/3.29)*44</f>
        <v>976343.04186325835</v>
      </c>
      <c r="H996" s="6">
        <f ca="1">_xlfn.NORM.INV(RAND(),AVERAGE(Assumptions!$D$9,Assumptions!$F$9),(Assumptions!$F$9-Assumptions!$D$9)/3.29)*21</f>
        <v>2785894.0479273344</v>
      </c>
      <c r="I996" s="9">
        <f ca="1">_xlfn.NORM.INV(RAND(),AVERAGE(Assumptions!$D$10,Assumptions!$F$10),(Assumptions!$F$10-Assumptions!$D$10)/3.29)*21</f>
        <v>1010108.4110034294</v>
      </c>
      <c r="J996" s="12">
        <f ca="1">NORMINV(RAND(),AVERAGE(Assumptions!$D$11,Assumptions!$F$11),(Assumptions!$F$11-Assumptions!$D$11)/3.29)*44</f>
        <v>3000536.7818886056</v>
      </c>
      <c r="K996" s="15">
        <f ca="1">_xlfn.NORM.INV(RAND(),AVERAGE(Assumptions!$D$12,Assumptions!$F$12),(Assumptions!$F$12-Assumptions!$D$12)/3.29)*44</f>
        <v>8996178.996888537</v>
      </c>
      <c r="L996" s="3">
        <f ca="1">_xlfn.NORM.INV(RAND(),AVERAGE(Assumptions!$D$13,Assumptions!$F$13),(Assumptions!$F$13-Assumptions!$D$13)/3.29)*44</f>
        <v>18328299.41881213</v>
      </c>
      <c r="M996" s="6">
        <f ca="1">_xlfn.NORM.INV(RAND(),AVERAGE(Assumptions!$D$14,Assumptions!$F$14),(Assumptions!$F$14-Assumptions!$D$14)/3.29)*44</f>
        <v>8009437.4101359444</v>
      </c>
      <c r="N996" s="9">
        <f ca="1">_xlfn.NORM.INV(RAND(),AVERAGE(Assumptions!$D$16,Assumptions!$F$16),(Assumptions!$F$16-Assumptions!$D$16)/3.29)*44</f>
        <v>14000654.073738573</v>
      </c>
      <c r="O996" s="12">
        <f ca="1">_xlfn.NORM.INV(RAND(),AVERAGE(Assumptions!$D$15,Assumptions!$F$15),(Assumptions!$F$15-Assumptions!$D$15)/3.29)*44</f>
        <v>92752992.762814373</v>
      </c>
      <c r="P996" s="15">
        <f>Assumptions!$D$18</f>
        <v>14641750.345627395</v>
      </c>
      <c r="Q996" s="3">
        <f t="shared" ca="1" si="30"/>
        <v>17961826.815882295</v>
      </c>
      <c r="R996" s="6">
        <f t="shared" ca="1" si="31"/>
        <v>32603577.161509693</v>
      </c>
    </row>
    <row r="997" spans="1:18">
      <c r="A997" s="20">
        <v>996</v>
      </c>
      <c r="B997" s="3">
        <f ca="1">_xlfn.NORM.INV(RAND(),AVERAGE(Assumptions!$D$4,Assumptions!$F$4),(Assumptions!$F$4-Assumptions!$D$4)/3.29)*44</f>
        <v>1254022.7211655013</v>
      </c>
      <c r="C997" s="6">
        <f ca="1">_xlfn.NORM.INV(RAND(),AVERAGE(Assumptions!$D$5,Assumptions!$F$5),(Assumptions!$F$5-Assumptions!$D$5)/3.29)*44</f>
        <v>1889375.3642943026</v>
      </c>
      <c r="D997" s="9">
        <f ca="1">_xlfn.NORM.INV(RAND(),AVERAGE(Assumptions!$D$6,Assumptions!$F$6),(Assumptions!$F$6-Assumptions!$D$6)/3.29)*RANDBETWEEN(2,5)</f>
        <v>1596556.5869744997</v>
      </c>
      <c r="E997" s="12">
        <f ca="1">_xlfn.NORM.INV(RAND(),AVERAGE(Assumptions!$D$17,Assumptions!$F$17),(Assumptions!$F$17-Assumptions!$D$17)/3.29)*8</f>
        <v>1121646.782693909</v>
      </c>
      <c r="F997" s="15">
        <f ca="1">_xlfn.NORM.INV(RAND(),AVERAGE(Assumptions!$D$7,Assumptions!$F$7),(Assumptions!$F$7-Assumptions!$D$7)/3.29)*RANDBETWEEN(1,3)</f>
        <v>2995973.9851810639</v>
      </c>
      <c r="G997" s="3">
        <f ca="1">_xlfn.NORM.INV(RAND(),AVERAGE(Assumptions!$D$8,Assumptions!$F$8),(Assumptions!$F$8-Assumptions!$D$8)/3.29)*44</f>
        <v>1078629.0261583794</v>
      </c>
      <c r="H997" s="6">
        <f ca="1">_xlfn.NORM.INV(RAND(),AVERAGE(Assumptions!$D$9,Assumptions!$F$9),(Assumptions!$F$9-Assumptions!$D$9)/3.29)*21</f>
        <v>3329377.1272085663</v>
      </c>
      <c r="I997" s="9">
        <f ca="1">_xlfn.NORM.INV(RAND(),AVERAGE(Assumptions!$D$10,Assumptions!$F$10),(Assumptions!$F$10-Assumptions!$D$10)/3.29)*21</f>
        <v>933652.06507380784</v>
      </c>
      <c r="J997" s="12">
        <f ca="1">NORMINV(RAND(),AVERAGE(Assumptions!$D$11,Assumptions!$F$11),(Assumptions!$F$11-Assumptions!$D$11)/3.29)*44</f>
        <v>4884608.3251031889</v>
      </c>
      <c r="K997" s="15">
        <f ca="1">_xlfn.NORM.INV(RAND(),AVERAGE(Assumptions!$D$12,Assumptions!$F$12),(Assumptions!$F$12-Assumptions!$D$12)/3.29)*44</f>
        <v>8673337.0577649716</v>
      </c>
      <c r="L997" s="3">
        <f ca="1">_xlfn.NORM.INV(RAND(),AVERAGE(Assumptions!$D$13,Assumptions!$F$13),(Assumptions!$F$13-Assumptions!$D$13)/3.29)*44</f>
        <v>16777821.449633405</v>
      </c>
      <c r="M997" s="6">
        <f ca="1">_xlfn.NORM.INV(RAND(),AVERAGE(Assumptions!$D$14,Assumptions!$F$14),(Assumptions!$F$14-Assumptions!$D$14)/3.29)*44</f>
        <v>5569394.695479976</v>
      </c>
      <c r="N997" s="9">
        <f ca="1">_xlfn.NORM.INV(RAND(),AVERAGE(Assumptions!$D$16,Assumptions!$F$16),(Assumptions!$F$16-Assumptions!$D$16)/3.29)*44</f>
        <v>12477115.462642919</v>
      </c>
      <c r="O997" s="12">
        <f ca="1">_xlfn.NORM.INV(RAND(),AVERAGE(Assumptions!$D$15,Assumptions!$F$15),(Assumptions!$F$15-Assumptions!$D$15)/3.29)*44</f>
        <v>115469390.15421635</v>
      </c>
      <c r="P997" s="15">
        <f>Assumptions!$D$18</f>
        <v>14641750.345627395</v>
      </c>
      <c r="Q997" s="3">
        <f t="shared" ca="1" si="30"/>
        <v>52887879.504841864</v>
      </c>
      <c r="R997" s="6">
        <f t="shared" ca="1" si="31"/>
        <v>67529629.850469261</v>
      </c>
    </row>
    <row r="998" spans="1:18">
      <c r="A998" s="20">
        <v>997</v>
      </c>
      <c r="B998" s="3">
        <f ca="1">_xlfn.NORM.INV(RAND(),AVERAGE(Assumptions!$D$4,Assumptions!$F$4),(Assumptions!$F$4-Assumptions!$D$4)/3.29)*44</f>
        <v>1155742.5426205781</v>
      </c>
      <c r="C998" s="6">
        <f ca="1">_xlfn.NORM.INV(RAND(),AVERAGE(Assumptions!$D$5,Assumptions!$F$5),(Assumptions!$F$5-Assumptions!$D$5)/3.29)*44</f>
        <v>1925406.7804486633</v>
      </c>
      <c r="D998" s="9">
        <f ca="1">_xlfn.NORM.INV(RAND(),AVERAGE(Assumptions!$D$6,Assumptions!$F$6),(Assumptions!$F$6-Assumptions!$D$6)/3.29)*RANDBETWEEN(2,5)</f>
        <v>4402043.6200518804</v>
      </c>
      <c r="E998" s="12">
        <f ca="1">_xlfn.NORM.INV(RAND(),AVERAGE(Assumptions!$D$17,Assumptions!$F$17),(Assumptions!$F$17-Assumptions!$D$17)/3.29)*8</f>
        <v>934311.31100978167</v>
      </c>
      <c r="F998" s="15">
        <f ca="1">_xlfn.NORM.INV(RAND(),AVERAGE(Assumptions!$D$7,Assumptions!$F$7),(Assumptions!$F$7-Assumptions!$D$7)/3.29)*RANDBETWEEN(1,3)</f>
        <v>11000677.122502986</v>
      </c>
      <c r="G998" s="3">
        <f ca="1">_xlfn.NORM.INV(RAND(),AVERAGE(Assumptions!$D$8,Assumptions!$F$8),(Assumptions!$F$8-Assumptions!$D$8)/3.29)*44</f>
        <v>1021952.871987173</v>
      </c>
      <c r="H998" s="6">
        <f ca="1">_xlfn.NORM.INV(RAND(),AVERAGE(Assumptions!$D$9,Assumptions!$F$9),(Assumptions!$F$9-Assumptions!$D$9)/3.29)*21</f>
        <v>2914755.3384541259</v>
      </c>
      <c r="I998" s="9">
        <f ca="1">_xlfn.NORM.INV(RAND(),AVERAGE(Assumptions!$D$10,Assumptions!$F$10),(Assumptions!$F$10-Assumptions!$D$10)/3.29)*21</f>
        <v>710642.11740106146</v>
      </c>
      <c r="J998" s="12">
        <f ca="1">NORMINV(RAND(),AVERAGE(Assumptions!$D$11,Assumptions!$F$11),(Assumptions!$F$11-Assumptions!$D$11)/3.29)*44</f>
        <v>2676034.6162870112</v>
      </c>
      <c r="K998" s="15">
        <f ca="1">_xlfn.NORM.INV(RAND(),AVERAGE(Assumptions!$D$12,Assumptions!$F$12),(Assumptions!$F$12-Assumptions!$D$12)/3.29)*44</f>
        <v>8249170.8175996495</v>
      </c>
      <c r="L998" s="3">
        <f ca="1">_xlfn.NORM.INV(RAND(),AVERAGE(Assumptions!$D$13,Assumptions!$F$13),(Assumptions!$F$13-Assumptions!$D$13)/3.29)*44</f>
        <v>15939222.721599141</v>
      </c>
      <c r="M998" s="6">
        <f ca="1">_xlfn.NORM.INV(RAND(),AVERAGE(Assumptions!$D$14,Assumptions!$F$14),(Assumptions!$F$14-Assumptions!$D$14)/3.29)*44</f>
        <v>5583670.5484634982</v>
      </c>
      <c r="N998" s="9">
        <f ca="1">_xlfn.NORM.INV(RAND(),AVERAGE(Assumptions!$D$16,Assumptions!$F$16),(Assumptions!$F$16-Assumptions!$D$16)/3.29)*44</f>
        <v>14741416.973334162</v>
      </c>
      <c r="O998" s="12">
        <f ca="1">_xlfn.NORM.INV(RAND(),AVERAGE(Assumptions!$D$15,Assumptions!$F$15),(Assumptions!$F$15-Assumptions!$D$15)/3.29)*44</f>
        <v>94390070.981085852</v>
      </c>
      <c r="P998" s="15">
        <f>Assumptions!$D$18</f>
        <v>14641750.345627395</v>
      </c>
      <c r="Q998" s="3">
        <f t="shared" ca="1" si="30"/>
        <v>23135023.599326149</v>
      </c>
      <c r="R998" s="6">
        <f t="shared" ca="1" si="31"/>
        <v>37776773.944953546</v>
      </c>
    </row>
    <row r="999" spans="1:18">
      <c r="A999" s="20">
        <v>998</v>
      </c>
      <c r="B999" s="3">
        <f ca="1">_xlfn.NORM.INV(RAND(),AVERAGE(Assumptions!$D$4,Assumptions!$F$4),(Assumptions!$F$4-Assumptions!$D$4)/3.29)*44</f>
        <v>1184680.1240746761</v>
      </c>
      <c r="C999" s="6">
        <f ca="1">_xlfn.NORM.INV(RAND(),AVERAGE(Assumptions!$D$5,Assumptions!$F$5),(Assumptions!$F$5-Assumptions!$D$5)/3.29)*44</f>
        <v>1942275.953019334</v>
      </c>
      <c r="D999" s="9">
        <f ca="1">_xlfn.NORM.INV(RAND(),AVERAGE(Assumptions!$D$6,Assumptions!$F$6),(Assumptions!$F$6-Assumptions!$D$6)/3.29)*RANDBETWEEN(2,5)</f>
        <v>1621111.5936537478</v>
      </c>
      <c r="E999" s="12">
        <f ca="1">_xlfn.NORM.INV(RAND(),AVERAGE(Assumptions!$D$17,Assumptions!$F$17),(Assumptions!$F$17-Assumptions!$D$17)/3.29)*8</f>
        <v>923543.96340868704</v>
      </c>
      <c r="F999" s="15">
        <f ca="1">_xlfn.NORM.INV(RAND(),AVERAGE(Assumptions!$D$7,Assumptions!$F$7),(Assumptions!$F$7-Assumptions!$D$7)/3.29)*RANDBETWEEN(1,3)</f>
        <v>2946983.8966104244</v>
      </c>
      <c r="G999" s="3">
        <f ca="1">_xlfn.NORM.INV(RAND(),AVERAGE(Assumptions!$D$8,Assumptions!$F$8),(Assumptions!$F$8-Assumptions!$D$8)/3.29)*44</f>
        <v>795667.28050513216</v>
      </c>
      <c r="H999" s="6">
        <f ca="1">_xlfn.NORM.INV(RAND(),AVERAGE(Assumptions!$D$9,Assumptions!$F$9),(Assumptions!$F$9-Assumptions!$D$9)/3.29)*21</f>
        <v>6385327.342341518</v>
      </c>
      <c r="I999" s="9">
        <f ca="1">_xlfn.NORM.INV(RAND(),AVERAGE(Assumptions!$D$10,Assumptions!$F$10),(Assumptions!$F$10-Assumptions!$D$10)/3.29)*21</f>
        <v>1034709.1979882069</v>
      </c>
      <c r="J999" s="12">
        <f ca="1">NORMINV(RAND(),AVERAGE(Assumptions!$D$11,Assumptions!$F$11),(Assumptions!$F$11-Assumptions!$D$11)/3.29)*44</f>
        <v>4116086.568322089</v>
      </c>
      <c r="K999" s="15">
        <f ca="1">_xlfn.NORM.INV(RAND(),AVERAGE(Assumptions!$D$12,Assumptions!$F$12),(Assumptions!$F$12-Assumptions!$D$12)/3.29)*44</f>
        <v>6458916.838242149</v>
      </c>
      <c r="L999" s="3">
        <f ca="1">_xlfn.NORM.INV(RAND(),AVERAGE(Assumptions!$D$13,Assumptions!$F$13),(Assumptions!$F$13-Assumptions!$D$13)/3.29)*44</f>
        <v>16519956.882208019</v>
      </c>
      <c r="M999" s="6">
        <f ca="1">_xlfn.NORM.INV(RAND(),AVERAGE(Assumptions!$D$14,Assumptions!$F$14),(Assumptions!$F$14-Assumptions!$D$14)/3.29)*44</f>
        <v>5589873.7223449154</v>
      </c>
      <c r="N999" s="9">
        <f ca="1">_xlfn.NORM.INV(RAND(),AVERAGE(Assumptions!$D$16,Assumptions!$F$16),(Assumptions!$F$16-Assumptions!$D$16)/3.29)*44</f>
        <v>13030487.656956322</v>
      </c>
      <c r="O999" s="12">
        <f ca="1">_xlfn.NORM.INV(RAND(),AVERAGE(Assumptions!$D$15,Assumptions!$F$15),(Assumptions!$F$15-Assumptions!$D$15)/3.29)*44</f>
        <v>72914704.001435742</v>
      </c>
      <c r="P999" s="15">
        <f>Assumptions!$D$18</f>
        <v>14641750.345627395</v>
      </c>
      <c r="Q999" s="3">
        <f t="shared" ca="1" si="30"/>
        <v>10365082.981760524</v>
      </c>
      <c r="R999" s="6">
        <f t="shared" ca="1" si="31"/>
        <v>25006833.327387922</v>
      </c>
    </row>
    <row r="1000" spans="1:18">
      <c r="A1000" s="20">
        <v>999</v>
      </c>
      <c r="B1000" s="3">
        <f ca="1">_xlfn.NORM.INV(RAND(),AVERAGE(Assumptions!$D$4,Assumptions!$F$4),(Assumptions!$F$4-Assumptions!$D$4)/3.29)*44</f>
        <v>1146140.5033403868</v>
      </c>
      <c r="C1000" s="6">
        <f ca="1">_xlfn.NORM.INV(RAND(),AVERAGE(Assumptions!$D$5,Assumptions!$F$5),(Assumptions!$F$5-Assumptions!$D$5)/3.29)*44</f>
        <v>1953742.5808040635</v>
      </c>
      <c r="D1000" s="9">
        <f ca="1">_xlfn.NORM.INV(RAND(),AVERAGE(Assumptions!$D$6,Assumptions!$F$6),(Assumptions!$F$6-Assumptions!$D$6)/3.29)*RANDBETWEEN(2,5)</f>
        <v>7324861.4603502713</v>
      </c>
      <c r="E1000" s="12">
        <f ca="1">_xlfn.NORM.INV(RAND(),AVERAGE(Assumptions!$D$17,Assumptions!$F$17),(Assumptions!$F$17-Assumptions!$D$17)/3.29)*8</f>
        <v>937627.94018231134</v>
      </c>
      <c r="F1000" s="15">
        <f ca="1">_xlfn.NORM.INV(RAND(),AVERAGE(Assumptions!$D$7,Assumptions!$F$7),(Assumptions!$F$7-Assumptions!$D$7)/3.29)*RANDBETWEEN(1,3)</f>
        <v>3739584.4435301479</v>
      </c>
      <c r="G1000" s="3">
        <f ca="1">_xlfn.NORM.INV(RAND(),AVERAGE(Assumptions!$D$8,Assumptions!$F$8),(Assumptions!$F$8-Assumptions!$D$8)/3.29)*44</f>
        <v>1446615.158791061</v>
      </c>
      <c r="H1000" s="6">
        <f ca="1">_xlfn.NORM.INV(RAND(),AVERAGE(Assumptions!$D$9,Assumptions!$F$9),(Assumptions!$F$9-Assumptions!$D$9)/3.29)*21</f>
        <v>3434221.8495324999</v>
      </c>
      <c r="I1000" s="9">
        <f ca="1">_xlfn.NORM.INV(RAND(),AVERAGE(Assumptions!$D$10,Assumptions!$F$10),(Assumptions!$F$10-Assumptions!$D$10)/3.29)*21</f>
        <v>920036.23856715194</v>
      </c>
      <c r="J1000" s="12">
        <f ca="1">NORMINV(RAND(),AVERAGE(Assumptions!$D$11,Assumptions!$F$11),(Assumptions!$F$11-Assumptions!$D$11)/3.29)*44</f>
        <v>2278815.5287687117</v>
      </c>
      <c r="K1000" s="15">
        <f ca="1">_xlfn.NORM.INV(RAND(),AVERAGE(Assumptions!$D$12,Assumptions!$F$12),(Assumptions!$F$12-Assumptions!$D$12)/3.29)*44</f>
        <v>7730425.109185311</v>
      </c>
      <c r="L1000" s="3">
        <f ca="1">_xlfn.NORM.INV(RAND(),AVERAGE(Assumptions!$D$13,Assumptions!$F$13),(Assumptions!$F$13-Assumptions!$D$13)/3.29)*44</f>
        <v>23313763.006343715</v>
      </c>
      <c r="M1000" s="6">
        <f ca="1">_xlfn.NORM.INV(RAND(),AVERAGE(Assumptions!$D$14,Assumptions!$F$14),(Assumptions!$F$14-Assumptions!$D$14)/3.29)*44</f>
        <v>6509324.2743697967</v>
      </c>
      <c r="N1000" s="9">
        <f ca="1">_xlfn.NORM.INV(RAND(),AVERAGE(Assumptions!$D$16,Assumptions!$F$16),(Assumptions!$F$16-Assumptions!$D$16)/3.29)*44</f>
        <v>9335062.7155732084</v>
      </c>
      <c r="O1000" s="12">
        <f ca="1">_xlfn.NORM.INV(RAND(),AVERAGE(Assumptions!$D$15,Assumptions!$F$15),(Assumptions!$F$15-Assumptions!$D$15)/3.29)*44</f>
        <v>102192952.15510881</v>
      </c>
      <c r="P1000" s="15">
        <f>Assumptions!$D$18</f>
        <v>14641750.345627395</v>
      </c>
      <c r="Q1000" s="3">
        <f t="shared" ca="1" si="30"/>
        <v>32122731.345770165</v>
      </c>
      <c r="R1000" s="6">
        <f t="shared" ca="1" si="31"/>
        <v>46764481.691397563</v>
      </c>
    </row>
    <row r="1001" spans="1:18">
      <c r="A1001" s="20">
        <v>1000</v>
      </c>
      <c r="B1001" s="3">
        <f ca="1">_xlfn.NORM.INV(RAND(),AVERAGE(Assumptions!$D$4,Assumptions!$F$4),(Assumptions!$F$4-Assumptions!$D$4)/3.29)*44</f>
        <v>1099178.7808328811</v>
      </c>
      <c r="C1001" s="6">
        <f ca="1">_xlfn.NORM.INV(RAND(),AVERAGE(Assumptions!$D$5,Assumptions!$F$5),(Assumptions!$F$5-Assumptions!$D$5)/3.29)*44</f>
        <v>1750458.1404686575</v>
      </c>
      <c r="D1001" s="9">
        <f ca="1">_xlfn.NORM.INV(RAND(),AVERAGE(Assumptions!$D$6,Assumptions!$F$6),(Assumptions!$F$6-Assumptions!$D$6)/3.29)*RANDBETWEEN(2,5)</f>
        <v>4424472.1802755687</v>
      </c>
      <c r="E1001" s="12">
        <f ca="1">_xlfn.NORM.INV(RAND(),AVERAGE(Assumptions!$D$17,Assumptions!$F$17),(Assumptions!$F$17-Assumptions!$D$17)/3.29)*8</f>
        <v>922875.48216049129</v>
      </c>
      <c r="F1001" s="15">
        <f ca="1">_xlfn.NORM.INV(RAND(),AVERAGE(Assumptions!$D$7,Assumptions!$F$7),(Assumptions!$F$7-Assumptions!$D$7)/3.29)*RANDBETWEEN(1,3)</f>
        <v>12207335.271311494</v>
      </c>
      <c r="G1001" s="3">
        <f ca="1">_xlfn.NORM.INV(RAND(),AVERAGE(Assumptions!$D$8,Assumptions!$F$8),(Assumptions!$F$8-Assumptions!$D$8)/3.29)*44</f>
        <v>1207918.138721826</v>
      </c>
      <c r="H1001" s="6">
        <f ca="1">_xlfn.NORM.INV(RAND(),AVERAGE(Assumptions!$D$9,Assumptions!$F$9),(Assumptions!$F$9-Assumptions!$D$9)/3.29)*21</f>
        <v>2322128.2012492367</v>
      </c>
      <c r="I1001" s="9">
        <f ca="1">_xlfn.NORM.INV(RAND(),AVERAGE(Assumptions!$D$10,Assumptions!$F$10),(Assumptions!$F$10-Assumptions!$D$10)/3.29)*21</f>
        <v>1233391.3023329489</v>
      </c>
      <c r="J1001" s="12">
        <f ca="1">NORMINV(RAND(),AVERAGE(Assumptions!$D$11,Assumptions!$F$11),(Assumptions!$F$11-Assumptions!$D$11)/3.29)*44</f>
        <v>3920858.0516338423</v>
      </c>
      <c r="K1001" s="15">
        <f ca="1">_xlfn.NORM.INV(RAND(),AVERAGE(Assumptions!$D$12,Assumptions!$F$12),(Assumptions!$F$12-Assumptions!$D$12)/3.29)*44</f>
        <v>5813853.0180388484</v>
      </c>
      <c r="L1001" s="3">
        <f ca="1">_xlfn.NORM.INV(RAND(),AVERAGE(Assumptions!$D$13,Assumptions!$F$13),(Assumptions!$F$13-Assumptions!$D$13)/3.29)*44</f>
        <v>9960325.9581358209</v>
      </c>
      <c r="M1001" s="6">
        <f ca="1">_xlfn.NORM.INV(RAND(),AVERAGE(Assumptions!$D$14,Assumptions!$F$14),(Assumptions!$F$14-Assumptions!$D$14)/3.29)*44</f>
        <v>7087710.8724132339</v>
      </c>
      <c r="N1001" s="9">
        <f ca="1">_xlfn.NORM.INV(RAND(),AVERAGE(Assumptions!$D$16,Assumptions!$F$16),(Assumptions!$F$16-Assumptions!$D$16)/3.29)*44</f>
        <v>200549.73435571883</v>
      </c>
      <c r="O1001" s="12">
        <f ca="1">_xlfn.NORM.INV(RAND(),AVERAGE(Assumptions!$D$15,Assumptions!$F$15),(Assumptions!$F$15-Assumptions!$D$15)/3.29)*44</f>
        <v>106389410.8745375</v>
      </c>
      <c r="P1001" s="15">
        <f>Assumptions!$D$18</f>
        <v>14641750.345627395</v>
      </c>
      <c r="Q1001" s="3">
        <f t="shared" ca="1" si="30"/>
        <v>54238355.742606923</v>
      </c>
      <c r="R1001" s="6">
        <f t="shared" ca="1" si="31"/>
        <v>68880106.08823432</v>
      </c>
    </row>
    <row r="1002" spans="1:18">
      <c r="A1002" s="20">
        <v>1001</v>
      </c>
      <c r="B1002" s="3">
        <f ca="1">_xlfn.NORM.INV(RAND(),AVERAGE(Assumptions!$D$4,Assumptions!$F$4),(Assumptions!$F$4-Assumptions!$D$4)/3.29)*44</f>
        <v>1214998.5579072908</v>
      </c>
      <c r="C1002" s="6">
        <f ca="1">_xlfn.NORM.INV(RAND(),AVERAGE(Assumptions!$D$5,Assumptions!$F$5),(Assumptions!$F$5-Assumptions!$D$5)/3.29)*44</f>
        <v>1606663.2058665974</v>
      </c>
      <c r="D1002" s="9">
        <f ca="1">_xlfn.NORM.INV(RAND(),AVERAGE(Assumptions!$D$6,Assumptions!$F$6),(Assumptions!$F$6-Assumptions!$D$6)/3.29)*RANDBETWEEN(2,5)</f>
        <v>6751665.4012382319</v>
      </c>
      <c r="E1002" s="12">
        <f ca="1">_xlfn.NORM.INV(RAND(),AVERAGE(Assumptions!$D$17,Assumptions!$F$17),(Assumptions!$F$17-Assumptions!$D$17)/3.29)*8</f>
        <v>862571.76925180433</v>
      </c>
      <c r="F1002" s="15">
        <f ca="1">_xlfn.NORM.INV(RAND(),AVERAGE(Assumptions!$D$7,Assumptions!$F$7),(Assumptions!$F$7-Assumptions!$D$7)/3.29)*RANDBETWEEN(1,3)</f>
        <v>2071192.6748601804</v>
      </c>
      <c r="G1002" s="3">
        <f ca="1">_xlfn.NORM.INV(RAND(),AVERAGE(Assumptions!$D$8,Assumptions!$F$8),(Assumptions!$F$8-Assumptions!$D$8)/3.29)*44</f>
        <v>985232.40966637549</v>
      </c>
      <c r="H1002" s="6">
        <f ca="1">_xlfn.NORM.INV(RAND(),AVERAGE(Assumptions!$D$9,Assumptions!$F$9),(Assumptions!$F$9-Assumptions!$D$9)/3.29)*21</f>
        <v>5804525.8350014333</v>
      </c>
      <c r="I1002" s="9">
        <f ca="1">_xlfn.NORM.INV(RAND(),AVERAGE(Assumptions!$D$10,Assumptions!$F$10),(Assumptions!$F$10-Assumptions!$D$10)/3.29)*21</f>
        <v>1069496.6242599636</v>
      </c>
      <c r="J1002" s="12">
        <f ca="1">NORMINV(RAND(),AVERAGE(Assumptions!$D$11,Assumptions!$F$11),(Assumptions!$F$11-Assumptions!$D$11)/3.29)*44</f>
        <v>1725011.0395712282</v>
      </c>
      <c r="K1002" s="15">
        <f ca="1">_xlfn.NORM.INV(RAND(),AVERAGE(Assumptions!$D$12,Assumptions!$F$12),(Assumptions!$F$12-Assumptions!$D$12)/3.29)*44</f>
        <v>8701750.448557131</v>
      </c>
      <c r="L1002" s="3">
        <f ca="1">_xlfn.NORM.INV(RAND(),AVERAGE(Assumptions!$D$13,Assumptions!$F$13),(Assumptions!$F$13-Assumptions!$D$13)/3.29)*44</f>
        <v>12695744.696294658</v>
      </c>
      <c r="M1002" s="6">
        <f ca="1">_xlfn.NORM.INV(RAND(),AVERAGE(Assumptions!$D$14,Assumptions!$F$14),(Assumptions!$F$14-Assumptions!$D$14)/3.29)*44</f>
        <v>6332631.7959735701</v>
      </c>
      <c r="N1002" s="9">
        <f ca="1">_xlfn.NORM.INV(RAND(),AVERAGE(Assumptions!$D$16,Assumptions!$F$16),(Assumptions!$F$16-Assumptions!$D$16)/3.29)*44</f>
        <v>14214607.393050352</v>
      </c>
      <c r="O1002" s="12">
        <f ca="1">_xlfn.NORM.INV(RAND(),AVERAGE(Assumptions!$D$15,Assumptions!$F$15),(Assumptions!$F$15-Assumptions!$D$15)/3.29)*44</f>
        <v>71326231.620774835</v>
      </c>
      <c r="P1002" s="15">
        <f>Assumptions!$D$18</f>
        <v>14641750.345627395</v>
      </c>
      <c r="Q1002" s="3">
        <f t="shared" ca="1" si="30"/>
        <v>7290139.7692760229</v>
      </c>
      <c r="R1002" s="6">
        <f t="shared" ca="1" si="31"/>
        <v>21931890.11490342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E569-6B06-4177-86E6-0543937A6DFC}">
  <sheetPr>
    <tabColor theme="4" tint="0.59999389629810485"/>
  </sheetPr>
  <dimension ref="A1"/>
  <sheetViews>
    <sheetView showGridLines="0" zoomScale="85" zoomScaleNormal="85" workbookViewId="0">
      <selection activeCell="AC24" sqref="AC24"/>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747A-45AE-4DD2-B391-C50426424E37}">
  <sheetPr>
    <tabColor theme="5" tint="0.39997558519241921"/>
  </sheetPr>
  <dimension ref="D3:AA24"/>
  <sheetViews>
    <sheetView showGridLines="0" workbookViewId="0">
      <selection activeCell="D5" sqref="D5:J24"/>
    </sheetView>
  </sheetViews>
  <sheetFormatPr defaultRowHeight="15"/>
  <cols>
    <col min="1" max="16384" width="9.140625" style="43"/>
  </cols>
  <sheetData>
    <row r="3" spans="4:25">
      <c r="D3" s="51" t="s">
        <v>53</v>
      </c>
      <c r="E3" s="51"/>
      <c r="F3" s="51"/>
      <c r="G3" s="51"/>
      <c r="H3" s="51"/>
      <c r="I3" s="51"/>
      <c r="J3" s="51"/>
      <c r="T3" s="54" t="s">
        <v>54</v>
      </c>
      <c r="U3" s="54"/>
      <c r="V3" s="54"/>
      <c r="W3" s="54"/>
      <c r="X3" s="54"/>
      <c r="Y3" s="54"/>
    </row>
    <row r="4" spans="4:25">
      <c r="D4" s="51"/>
      <c r="E4" s="51"/>
      <c r="F4" s="51"/>
      <c r="G4" s="51"/>
      <c r="H4" s="51"/>
      <c r="I4" s="51"/>
      <c r="J4" s="51"/>
      <c r="T4" s="54"/>
      <c r="U4" s="54"/>
      <c r="V4" s="54"/>
      <c r="W4" s="54"/>
      <c r="X4" s="54"/>
      <c r="Y4" s="54"/>
    </row>
    <row r="5" spans="4:25" ht="15" customHeight="1">
      <c r="D5" s="50" t="s">
        <v>56</v>
      </c>
      <c r="E5" s="50"/>
      <c r="F5" s="50"/>
      <c r="G5" s="50"/>
      <c r="H5" s="50"/>
      <c r="I5" s="50"/>
      <c r="J5" s="50"/>
      <c r="T5" s="52" t="s">
        <v>55</v>
      </c>
      <c r="U5" s="52"/>
      <c r="V5" s="52"/>
      <c r="W5" s="52"/>
      <c r="X5" s="52"/>
      <c r="Y5" s="52"/>
    </row>
    <row r="6" spans="4:25">
      <c r="D6" s="50"/>
      <c r="E6" s="50"/>
      <c r="F6" s="50"/>
      <c r="G6" s="50"/>
      <c r="H6" s="50"/>
      <c r="I6" s="50"/>
      <c r="J6" s="50"/>
      <c r="T6" s="53"/>
      <c r="U6" s="53"/>
      <c r="V6" s="53"/>
      <c r="W6" s="53"/>
      <c r="X6" s="53"/>
      <c r="Y6" s="53"/>
    </row>
    <row r="7" spans="4:25">
      <c r="D7" s="50"/>
      <c r="E7" s="50"/>
      <c r="F7" s="50"/>
      <c r="G7" s="50"/>
      <c r="H7" s="50"/>
      <c r="I7" s="50"/>
      <c r="J7" s="50"/>
      <c r="T7" s="53"/>
      <c r="U7" s="53"/>
      <c r="V7" s="53"/>
      <c r="W7" s="53"/>
      <c r="X7" s="53"/>
      <c r="Y7" s="53"/>
    </row>
    <row r="8" spans="4:25">
      <c r="D8" s="50"/>
      <c r="E8" s="50"/>
      <c r="F8" s="50"/>
      <c r="G8" s="50"/>
      <c r="H8" s="50"/>
      <c r="I8" s="50"/>
      <c r="J8" s="50"/>
      <c r="T8" s="53"/>
      <c r="U8" s="53"/>
      <c r="V8" s="53"/>
      <c r="W8" s="53"/>
      <c r="X8" s="53"/>
      <c r="Y8" s="53"/>
    </row>
    <row r="9" spans="4:25">
      <c r="D9" s="50"/>
      <c r="E9" s="50"/>
      <c r="F9" s="50"/>
      <c r="G9" s="50"/>
      <c r="H9" s="50"/>
      <c r="I9" s="50"/>
      <c r="J9" s="50"/>
      <c r="T9" s="53"/>
      <c r="U9" s="53"/>
      <c r="V9" s="53"/>
      <c r="W9" s="53"/>
      <c r="X9" s="53"/>
      <c r="Y9" s="53"/>
    </row>
    <row r="10" spans="4:25">
      <c r="D10" s="50"/>
      <c r="E10" s="50"/>
      <c r="F10" s="50"/>
      <c r="G10" s="50"/>
      <c r="H10" s="50"/>
      <c r="I10" s="50"/>
      <c r="J10" s="50"/>
      <c r="T10" s="53"/>
      <c r="U10" s="53"/>
      <c r="V10" s="53"/>
      <c r="W10" s="53"/>
      <c r="X10" s="53"/>
      <c r="Y10" s="53"/>
    </row>
    <row r="11" spans="4:25">
      <c r="D11" s="50"/>
      <c r="E11" s="50"/>
      <c r="F11" s="50"/>
      <c r="G11" s="50"/>
      <c r="H11" s="50"/>
      <c r="I11" s="50"/>
      <c r="J11" s="50"/>
      <c r="T11" s="53"/>
      <c r="U11" s="53"/>
      <c r="V11" s="53"/>
      <c r="W11" s="53"/>
      <c r="X11" s="53"/>
      <c r="Y11" s="53"/>
    </row>
    <row r="12" spans="4:25">
      <c r="D12" s="50"/>
      <c r="E12" s="50"/>
      <c r="F12" s="50"/>
      <c r="G12" s="50"/>
      <c r="H12" s="50"/>
      <c r="I12" s="50"/>
      <c r="J12" s="50"/>
      <c r="T12" s="53"/>
      <c r="U12" s="53"/>
      <c r="V12" s="53"/>
      <c r="W12" s="53"/>
      <c r="X12" s="53"/>
      <c r="Y12" s="53"/>
    </row>
    <row r="13" spans="4:25">
      <c r="D13" s="50"/>
      <c r="E13" s="50"/>
      <c r="F13" s="50"/>
      <c r="G13" s="50"/>
      <c r="H13" s="50"/>
      <c r="I13" s="50"/>
      <c r="J13" s="50"/>
      <c r="T13" s="53"/>
      <c r="U13" s="53"/>
      <c r="V13" s="53"/>
      <c r="W13" s="53"/>
      <c r="X13" s="53"/>
      <c r="Y13" s="53"/>
    </row>
    <row r="14" spans="4:25">
      <c r="D14" s="50"/>
      <c r="E14" s="50"/>
      <c r="F14" s="50"/>
      <c r="G14" s="50"/>
      <c r="H14" s="50"/>
      <c r="I14" s="50"/>
      <c r="J14" s="50"/>
      <c r="T14" s="53"/>
      <c r="U14" s="53"/>
      <c r="V14" s="53"/>
      <c r="W14" s="53"/>
      <c r="X14" s="53"/>
      <c r="Y14" s="53"/>
    </row>
    <row r="15" spans="4:25">
      <c r="D15" s="50"/>
      <c r="E15" s="50"/>
      <c r="F15" s="50"/>
      <c r="G15" s="50"/>
      <c r="H15" s="50"/>
      <c r="I15" s="50"/>
      <c r="J15" s="50"/>
      <c r="T15" s="53"/>
      <c r="U15" s="53"/>
      <c r="V15" s="53"/>
      <c r="W15" s="53"/>
      <c r="X15" s="53"/>
      <c r="Y15" s="53"/>
    </row>
    <row r="16" spans="4:25">
      <c r="D16" s="50"/>
      <c r="E16" s="50"/>
      <c r="F16" s="50"/>
      <c r="G16" s="50"/>
      <c r="H16" s="50"/>
      <c r="I16" s="50"/>
      <c r="J16" s="50"/>
      <c r="T16" s="53"/>
      <c r="U16" s="53"/>
      <c r="V16" s="53"/>
      <c r="W16" s="53"/>
      <c r="X16" s="53"/>
      <c r="Y16" s="53"/>
    </row>
    <row r="17" spans="4:27">
      <c r="D17" s="50"/>
      <c r="E17" s="50"/>
      <c r="F17" s="50"/>
      <c r="G17" s="50"/>
      <c r="H17" s="50"/>
      <c r="I17" s="50"/>
      <c r="J17" s="50"/>
      <c r="T17" s="53"/>
      <c r="U17" s="53"/>
      <c r="V17" s="53"/>
      <c r="W17" s="53"/>
      <c r="X17" s="53"/>
      <c r="Y17" s="53"/>
      <c r="Z17" s="44"/>
      <c r="AA17" s="44"/>
    </row>
    <row r="18" spans="4:27">
      <c r="D18" s="50"/>
      <c r="E18" s="50"/>
      <c r="F18" s="50"/>
      <c r="G18" s="50"/>
      <c r="H18" s="50"/>
      <c r="I18" s="50"/>
      <c r="J18" s="50"/>
      <c r="T18" s="53"/>
      <c r="U18" s="53"/>
      <c r="V18" s="53"/>
      <c r="W18" s="53"/>
      <c r="X18" s="53"/>
      <c r="Y18" s="53"/>
      <c r="Z18" s="44"/>
      <c r="AA18" s="44"/>
    </row>
    <row r="19" spans="4:27">
      <c r="D19" s="50"/>
      <c r="E19" s="50"/>
      <c r="F19" s="50"/>
      <c r="G19" s="50"/>
      <c r="H19" s="50"/>
      <c r="I19" s="50"/>
      <c r="J19" s="50"/>
      <c r="T19" s="53"/>
      <c r="U19" s="53"/>
      <c r="V19" s="53"/>
      <c r="W19" s="53"/>
      <c r="X19" s="53"/>
      <c r="Y19" s="53"/>
      <c r="Z19" s="44"/>
      <c r="AA19" s="44"/>
    </row>
    <row r="20" spans="4:27">
      <c r="D20" s="50"/>
      <c r="E20" s="50"/>
      <c r="F20" s="50"/>
      <c r="G20" s="50"/>
      <c r="H20" s="50"/>
      <c r="I20" s="50"/>
      <c r="J20" s="50"/>
      <c r="V20" s="44"/>
      <c r="W20" s="44"/>
      <c r="X20" s="44"/>
      <c r="Y20" s="44"/>
      <c r="Z20" s="44"/>
      <c r="AA20" s="44"/>
    </row>
    <row r="21" spans="4:27">
      <c r="D21" s="50"/>
      <c r="E21" s="50"/>
      <c r="F21" s="50"/>
      <c r="G21" s="50"/>
      <c r="H21" s="50"/>
      <c r="I21" s="50"/>
      <c r="J21" s="50"/>
      <c r="V21" s="44"/>
      <c r="W21" s="44"/>
      <c r="X21" s="44"/>
      <c r="Y21" s="44"/>
      <c r="Z21" s="44"/>
      <c r="AA21" s="44"/>
    </row>
    <row r="22" spans="4:27">
      <c r="D22" s="50"/>
      <c r="E22" s="50"/>
      <c r="F22" s="50"/>
      <c r="G22" s="50"/>
      <c r="H22" s="50"/>
      <c r="I22" s="50"/>
      <c r="J22" s="50"/>
      <c r="V22" s="44"/>
      <c r="W22" s="44"/>
      <c r="X22" s="44"/>
      <c r="Y22" s="44"/>
      <c r="Z22" s="44"/>
      <c r="AA22" s="44"/>
    </row>
    <row r="23" spans="4:27">
      <c r="D23" s="50"/>
      <c r="E23" s="50"/>
      <c r="F23" s="50"/>
      <c r="G23" s="50"/>
      <c r="H23" s="50"/>
      <c r="I23" s="50"/>
      <c r="J23" s="50"/>
      <c r="V23" s="44"/>
      <c r="W23" s="44"/>
      <c r="X23" s="44"/>
      <c r="Y23" s="44"/>
      <c r="Z23" s="44"/>
      <c r="AA23" s="44"/>
    </row>
    <row r="24" spans="4:27">
      <c r="D24" s="50"/>
      <c r="E24" s="50"/>
      <c r="F24" s="50"/>
      <c r="G24" s="50"/>
      <c r="H24" s="50"/>
      <c r="I24" s="50"/>
      <c r="J24" s="50"/>
      <c r="V24" s="44"/>
      <c r="W24" s="44"/>
      <c r="X24" s="44"/>
    </row>
  </sheetData>
  <mergeCells count="4">
    <mergeCell ref="D5:J24"/>
    <mergeCell ref="D3:J4"/>
    <mergeCell ref="T5:Y19"/>
    <mergeCell ref="T3:Y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Welcome</vt:lpstr>
      <vt:lpstr>Assumptions</vt:lpstr>
      <vt:lpstr>Monte Carlo Simulation</vt:lpstr>
      <vt:lpstr>Histogram</vt:lpstr>
      <vt:lpstr>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AADIT SINGH</dc:creator>
  <cp:lastModifiedBy>__</cp:lastModifiedBy>
  <dcterms:created xsi:type="dcterms:W3CDTF">2025-08-13T09:38:03Z</dcterms:created>
  <dcterms:modified xsi:type="dcterms:W3CDTF">2026-03-18T09:42:36Z</dcterms:modified>
</cp:coreProperties>
</file>